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vaibhav umbarkar\Downloads\"/>
    </mc:Choice>
  </mc:AlternateContent>
  <xr:revisionPtr revIDLastSave="0" documentId="13_ncr:1_{93E7F474-38B3-4E42-9E24-8C17FE1492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Text to columns" sheetId="2" r:id="rId2"/>
    <sheet name="Excercise 1" sheetId="3" r:id="rId3"/>
    <sheet name="Excercise2 " sheetId="4" r:id="rId4"/>
    <sheet name="Excercise 3" sheetId="5" r:id="rId5"/>
    <sheet name="Excercise 4" sheetId="6" r:id="rId6"/>
  </sheets>
  <definedNames>
    <definedName name="_xlnm._FilterDatabase" localSheetId="0" hidden="1">Data!$E$1:$E$1000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10" roundtripDataChecksum="6CottV+3/dltFccxsVqpKlewSZGrZsjwvOF0yfvA8Lc="/>
    </ext>
  </extLst>
</workbook>
</file>

<file path=xl/calcChain.xml><?xml version="1.0" encoding="utf-8"?>
<calcChain xmlns="http://schemas.openxmlformats.org/spreadsheetml/2006/main">
  <c r="T6" i="1" l="1"/>
  <c r="V6" i="1"/>
  <c r="X6" i="1" s="1"/>
  <c r="T7" i="1"/>
  <c r="V7" i="1"/>
  <c r="X7" i="1" s="1"/>
  <c r="T8" i="1"/>
  <c r="V8" i="1"/>
  <c r="X8" i="1" s="1"/>
  <c r="T9" i="1"/>
  <c r="V9" i="1"/>
  <c r="X9" i="1"/>
  <c r="T10" i="1"/>
  <c r="V10" i="1"/>
  <c r="X10" i="1" s="1"/>
  <c r="T11" i="1"/>
  <c r="V11" i="1"/>
  <c r="X11" i="1"/>
  <c r="T12" i="1"/>
  <c r="V12" i="1"/>
  <c r="X12" i="1"/>
  <c r="T13" i="1"/>
  <c r="V13" i="1"/>
  <c r="X13" i="1"/>
  <c r="T14" i="1"/>
  <c r="V14" i="1"/>
  <c r="X14" i="1" s="1"/>
  <c r="T15" i="1"/>
  <c r="V15" i="1"/>
  <c r="X15" i="1"/>
  <c r="T16" i="1"/>
  <c r="V16" i="1"/>
  <c r="X16" i="1"/>
  <c r="T17" i="1"/>
  <c r="V17" i="1"/>
  <c r="X17" i="1"/>
  <c r="T18" i="1"/>
  <c r="V18" i="1"/>
  <c r="X18" i="1" s="1"/>
  <c r="T19" i="1"/>
  <c r="V19" i="1"/>
  <c r="X19" i="1"/>
  <c r="T20" i="1"/>
  <c r="V20" i="1"/>
  <c r="X20" i="1"/>
  <c r="T21" i="1"/>
  <c r="V21" i="1"/>
  <c r="X21" i="1"/>
  <c r="T22" i="1"/>
  <c r="V22" i="1"/>
  <c r="X22" i="1" s="1"/>
  <c r="T23" i="1"/>
  <c r="V23" i="1"/>
  <c r="X23" i="1"/>
  <c r="T24" i="1"/>
  <c r="V24" i="1"/>
  <c r="X24" i="1"/>
  <c r="T25" i="1"/>
  <c r="V25" i="1"/>
  <c r="X25" i="1"/>
  <c r="T26" i="1"/>
  <c r="V26" i="1"/>
  <c r="X26" i="1" s="1"/>
  <c r="T27" i="1"/>
  <c r="V27" i="1"/>
  <c r="X27" i="1"/>
  <c r="T28" i="1"/>
  <c r="V28" i="1"/>
  <c r="X28" i="1"/>
  <c r="T29" i="1"/>
  <c r="V29" i="1"/>
  <c r="X29" i="1"/>
  <c r="T30" i="1"/>
  <c r="V30" i="1"/>
  <c r="X30" i="1" s="1"/>
  <c r="T31" i="1"/>
  <c r="V31" i="1"/>
  <c r="X31" i="1"/>
  <c r="T32" i="1"/>
  <c r="V32" i="1"/>
  <c r="X32" i="1"/>
  <c r="T33" i="1"/>
  <c r="V33" i="1"/>
  <c r="X33" i="1"/>
  <c r="T34" i="1"/>
  <c r="V34" i="1"/>
  <c r="X34" i="1" s="1"/>
  <c r="T35" i="1"/>
  <c r="V35" i="1"/>
  <c r="X35" i="1"/>
  <c r="T36" i="1"/>
  <c r="V36" i="1"/>
  <c r="X36" i="1"/>
  <c r="T37" i="1"/>
  <c r="V37" i="1"/>
  <c r="X37" i="1"/>
  <c r="T38" i="1"/>
  <c r="V38" i="1"/>
  <c r="X38" i="1" s="1"/>
  <c r="T39" i="1"/>
  <c r="V39" i="1"/>
  <c r="X39" i="1"/>
  <c r="T40" i="1"/>
  <c r="V40" i="1"/>
  <c r="X40" i="1"/>
  <c r="T41" i="1"/>
  <c r="V41" i="1"/>
  <c r="X41" i="1"/>
  <c r="T42" i="1"/>
  <c r="V42" i="1"/>
  <c r="X42" i="1" s="1"/>
  <c r="T43" i="1"/>
  <c r="V43" i="1"/>
  <c r="X43" i="1"/>
  <c r="T44" i="1"/>
  <c r="V44" i="1"/>
  <c r="X44" i="1"/>
  <c r="T45" i="1"/>
  <c r="V45" i="1"/>
  <c r="X45" i="1"/>
  <c r="T46" i="1"/>
  <c r="V46" i="1"/>
  <c r="X46" i="1" s="1"/>
  <c r="T47" i="1"/>
  <c r="V47" i="1"/>
  <c r="X47" i="1"/>
  <c r="T48" i="1"/>
  <c r="V48" i="1"/>
  <c r="X48" i="1"/>
  <c r="T49" i="1"/>
  <c r="V49" i="1"/>
  <c r="X49" i="1"/>
  <c r="T50" i="1"/>
  <c r="V50" i="1"/>
  <c r="X50" i="1" s="1"/>
  <c r="T51" i="1"/>
  <c r="V51" i="1"/>
  <c r="X51" i="1"/>
  <c r="T52" i="1"/>
  <c r="V52" i="1"/>
  <c r="X52" i="1"/>
  <c r="T53" i="1"/>
  <c r="V53" i="1"/>
  <c r="X53" i="1"/>
  <c r="T54" i="1"/>
  <c r="V54" i="1"/>
  <c r="X54" i="1" s="1"/>
  <c r="T55" i="1"/>
  <c r="V55" i="1"/>
  <c r="X55" i="1"/>
  <c r="T56" i="1"/>
  <c r="V56" i="1"/>
  <c r="X56" i="1"/>
  <c r="T57" i="1"/>
  <c r="V57" i="1"/>
  <c r="X57" i="1"/>
  <c r="T58" i="1"/>
  <c r="V58" i="1"/>
  <c r="X58" i="1" s="1"/>
  <c r="T59" i="1"/>
  <c r="V59" i="1"/>
  <c r="X59" i="1"/>
  <c r="T60" i="1"/>
  <c r="V60" i="1"/>
  <c r="X60" i="1"/>
  <c r="T61" i="1"/>
  <c r="V61" i="1"/>
  <c r="X61" i="1"/>
  <c r="T62" i="1"/>
  <c r="V62" i="1"/>
  <c r="X62" i="1" s="1"/>
  <c r="T63" i="1"/>
  <c r="V63" i="1"/>
  <c r="X63" i="1"/>
  <c r="T64" i="1"/>
  <c r="V64" i="1"/>
  <c r="X64" i="1"/>
  <c r="T65" i="1"/>
  <c r="V65" i="1"/>
  <c r="X65" i="1"/>
  <c r="T66" i="1"/>
  <c r="V66" i="1"/>
  <c r="X66" i="1" s="1"/>
  <c r="T67" i="1"/>
  <c r="V67" i="1"/>
  <c r="X67" i="1"/>
  <c r="T68" i="1"/>
  <c r="V68" i="1"/>
  <c r="X68" i="1"/>
  <c r="T69" i="1"/>
  <c r="V69" i="1"/>
  <c r="X69" i="1"/>
  <c r="T70" i="1"/>
  <c r="V70" i="1"/>
  <c r="X70" i="1" s="1"/>
  <c r="T71" i="1"/>
  <c r="V71" i="1"/>
  <c r="X71" i="1" s="1"/>
  <c r="T72" i="1"/>
  <c r="V72" i="1"/>
  <c r="X72" i="1"/>
  <c r="T73" i="1"/>
  <c r="V73" i="1"/>
  <c r="X73" i="1"/>
  <c r="T74" i="1"/>
  <c r="V74" i="1"/>
  <c r="X74" i="1" s="1"/>
  <c r="T75" i="1"/>
  <c r="V75" i="1"/>
  <c r="X75" i="1" s="1"/>
  <c r="T76" i="1"/>
  <c r="V76" i="1"/>
  <c r="X76" i="1"/>
  <c r="T77" i="1"/>
  <c r="V77" i="1"/>
  <c r="X77" i="1"/>
  <c r="T78" i="1"/>
  <c r="V78" i="1"/>
  <c r="X78" i="1" s="1"/>
  <c r="T79" i="1"/>
  <c r="V79" i="1"/>
  <c r="X79" i="1" s="1"/>
  <c r="T80" i="1"/>
  <c r="V80" i="1"/>
  <c r="X80" i="1"/>
  <c r="T81" i="1"/>
  <c r="V81" i="1"/>
  <c r="X81" i="1"/>
  <c r="T82" i="1"/>
  <c r="V82" i="1"/>
  <c r="X82" i="1" s="1"/>
  <c r="T83" i="1"/>
  <c r="V83" i="1"/>
  <c r="X83" i="1" s="1"/>
  <c r="T84" i="1"/>
  <c r="V84" i="1"/>
  <c r="X84" i="1"/>
  <c r="T85" i="1"/>
  <c r="V85" i="1"/>
  <c r="X85" i="1"/>
  <c r="T86" i="1"/>
  <c r="V86" i="1"/>
  <c r="X86" i="1" s="1"/>
  <c r="T87" i="1"/>
  <c r="V87" i="1"/>
  <c r="X87" i="1" s="1"/>
  <c r="T88" i="1"/>
  <c r="V88" i="1"/>
  <c r="X88" i="1"/>
  <c r="T89" i="1"/>
  <c r="V89" i="1"/>
  <c r="X89" i="1"/>
  <c r="T90" i="1"/>
  <c r="V90" i="1"/>
  <c r="X90" i="1" s="1"/>
  <c r="T91" i="1"/>
  <c r="V91" i="1"/>
  <c r="X91" i="1" s="1"/>
  <c r="T92" i="1"/>
  <c r="V92" i="1"/>
  <c r="X92" i="1"/>
  <c r="T93" i="1"/>
  <c r="V93" i="1"/>
  <c r="X93" i="1"/>
  <c r="T94" i="1"/>
  <c r="V94" i="1"/>
  <c r="X94" i="1" s="1"/>
  <c r="T95" i="1"/>
  <c r="V95" i="1"/>
  <c r="X95" i="1" s="1"/>
  <c r="T96" i="1"/>
  <c r="V96" i="1"/>
  <c r="X96" i="1"/>
  <c r="T97" i="1"/>
  <c r="V97" i="1"/>
  <c r="X97" i="1"/>
  <c r="T98" i="1"/>
  <c r="V98" i="1"/>
  <c r="X98" i="1" s="1"/>
  <c r="T99" i="1"/>
  <c r="V99" i="1"/>
  <c r="X99" i="1" s="1"/>
  <c r="T100" i="1"/>
  <c r="V100" i="1"/>
  <c r="X100" i="1"/>
  <c r="T101" i="1"/>
  <c r="V101" i="1"/>
  <c r="X101" i="1"/>
  <c r="T102" i="1"/>
  <c r="V102" i="1"/>
  <c r="X102" i="1" s="1"/>
  <c r="T103" i="1"/>
  <c r="V103" i="1"/>
  <c r="X103" i="1" s="1"/>
  <c r="T104" i="1"/>
  <c r="V104" i="1"/>
  <c r="X104" i="1"/>
  <c r="T105" i="1"/>
  <c r="V105" i="1"/>
  <c r="X105" i="1"/>
  <c r="T106" i="1"/>
  <c r="V106" i="1"/>
  <c r="X106" i="1" s="1"/>
  <c r="T107" i="1"/>
  <c r="V107" i="1"/>
  <c r="X107" i="1" s="1"/>
  <c r="T108" i="1"/>
  <c r="V108" i="1"/>
  <c r="X108" i="1"/>
  <c r="T109" i="1"/>
  <c r="V109" i="1"/>
  <c r="X109" i="1"/>
  <c r="T110" i="1"/>
  <c r="V110" i="1"/>
  <c r="X110" i="1" s="1"/>
  <c r="T111" i="1"/>
  <c r="V111" i="1"/>
  <c r="X111" i="1" s="1"/>
  <c r="T112" i="1"/>
  <c r="V112" i="1"/>
  <c r="X112" i="1"/>
  <c r="T113" i="1"/>
  <c r="V113" i="1"/>
  <c r="X113" i="1"/>
  <c r="T114" i="1"/>
  <c r="V114" i="1"/>
  <c r="X114" i="1" s="1"/>
  <c r="T115" i="1"/>
  <c r="V115" i="1"/>
  <c r="X115" i="1" s="1"/>
  <c r="T116" i="1"/>
  <c r="V116" i="1"/>
  <c r="X116" i="1"/>
  <c r="T117" i="1"/>
  <c r="V117" i="1"/>
  <c r="X117" i="1"/>
  <c r="T118" i="1"/>
  <c r="V118" i="1"/>
  <c r="X118" i="1" s="1"/>
  <c r="T119" i="1"/>
  <c r="V119" i="1"/>
  <c r="X119" i="1" s="1"/>
  <c r="T120" i="1"/>
  <c r="V120" i="1"/>
  <c r="X120" i="1"/>
  <c r="T121" i="1"/>
  <c r="V121" i="1"/>
  <c r="X121" i="1"/>
  <c r="T122" i="1"/>
  <c r="V122" i="1"/>
  <c r="X122" i="1" s="1"/>
  <c r="T123" i="1"/>
  <c r="V123" i="1"/>
  <c r="X123" i="1" s="1"/>
  <c r="T124" i="1"/>
  <c r="V124" i="1"/>
  <c r="X124" i="1"/>
  <c r="T125" i="1"/>
  <c r="V125" i="1"/>
  <c r="X125" i="1"/>
  <c r="T126" i="1"/>
  <c r="V126" i="1"/>
  <c r="X126" i="1" s="1"/>
  <c r="T127" i="1"/>
  <c r="V127" i="1"/>
  <c r="X127" i="1" s="1"/>
  <c r="T128" i="1"/>
  <c r="V128" i="1"/>
  <c r="X128" i="1"/>
  <c r="T129" i="1"/>
  <c r="V129" i="1"/>
  <c r="X129" i="1"/>
  <c r="T130" i="1"/>
  <c r="V130" i="1"/>
  <c r="X130" i="1" s="1"/>
  <c r="T131" i="1"/>
  <c r="V131" i="1"/>
  <c r="X131" i="1" s="1"/>
  <c r="T132" i="1"/>
  <c r="V132" i="1"/>
  <c r="X132" i="1"/>
  <c r="T133" i="1"/>
  <c r="V133" i="1"/>
  <c r="X133" i="1" s="1"/>
  <c r="T134" i="1"/>
  <c r="V134" i="1"/>
  <c r="X134" i="1" s="1"/>
  <c r="T135" i="1"/>
  <c r="V135" i="1"/>
  <c r="X135" i="1" s="1"/>
  <c r="T136" i="1"/>
  <c r="V136" i="1"/>
  <c r="X136" i="1"/>
  <c r="T137" i="1"/>
  <c r="V137" i="1"/>
  <c r="X137" i="1"/>
  <c r="T138" i="1"/>
  <c r="V138" i="1"/>
  <c r="X138" i="1" s="1"/>
  <c r="T139" i="1"/>
  <c r="V139" i="1"/>
  <c r="X139" i="1" s="1"/>
  <c r="T140" i="1"/>
  <c r="V140" i="1"/>
  <c r="X140" i="1"/>
  <c r="T141" i="1"/>
  <c r="V141" i="1"/>
  <c r="X141" i="1"/>
  <c r="T142" i="1"/>
  <c r="V142" i="1"/>
  <c r="X142" i="1" s="1"/>
  <c r="T143" i="1"/>
  <c r="V143" i="1"/>
  <c r="X143" i="1" s="1"/>
  <c r="T144" i="1"/>
  <c r="V144" i="1"/>
  <c r="X144" i="1"/>
  <c r="T145" i="1"/>
  <c r="V145" i="1"/>
  <c r="X145" i="1"/>
  <c r="T146" i="1"/>
  <c r="V146" i="1"/>
  <c r="X146" i="1" s="1"/>
  <c r="T147" i="1"/>
  <c r="V147" i="1"/>
  <c r="X147" i="1" s="1"/>
  <c r="T148" i="1"/>
  <c r="V148" i="1"/>
  <c r="X148" i="1"/>
  <c r="T149" i="1"/>
  <c r="V149" i="1"/>
  <c r="X149" i="1"/>
  <c r="T150" i="1"/>
  <c r="V150" i="1"/>
  <c r="X150" i="1" s="1"/>
  <c r="T151" i="1"/>
  <c r="V151" i="1"/>
  <c r="X151" i="1" s="1"/>
  <c r="T152" i="1"/>
  <c r="V152" i="1"/>
  <c r="X152" i="1"/>
  <c r="T153" i="1"/>
  <c r="V153" i="1"/>
  <c r="X153" i="1"/>
  <c r="T154" i="1"/>
  <c r="V154" i="1"/>
  <c r="X154" i="1" s="1"/>
  <c r="T155" i="1"/>
  <c r="V155" i="1"/>
  <c r="X155" i="1" s="1"/>
  <c r="T156" i="1"/>
  <c r="V156" i="1"/>
  <c r="X156" i="1"/>
  <c r="T157" i="1"/>
  <c r="V157" i="1"/>
  <c r="X157" i="1"/>
  <c r="T158" i="1"/>
  <c r="V158" i="1"/>
  <c r="X158" i="1" s="1"/>
  <c r="T159" i="1"/>
  <c r="V159" i="1"/>
  <c r="X159" i="1" s="1"/>
  <c r="T160" i="1"/>
  <c r="V160" i="1"/>
  <c r="X160" i="1"/>
  <c r="T161" i="1"/>
  <c r="V161" i="1"/>
  <c r="X161" i="1"/>
  <c r="T162" i="1"/>
  <c r="V162" i="1"/>
  <c r="X162" i="1" s="1"/>
  <c r="T163" i="1"/>
  <c r="V163" i="1"/>
  <c r="X163" i="1" s="1"/>
  <c r="T164" i="1"/>
  <c r="V164" i="1"/>
  <c r="X164" i="1"/>
  <c r="T165" i="1"/>
  <c r="V165" i="1"/>
  <c r="X165" i="1"/>
  <c r="T166" i="1"/>
  <c r="V166" i="1"/>
  <c r="X166" i="1" s="1"/>
  <c r="T167" i="1"/>
  <c r="V167" i="1"/>
  <c r="X167" i="1" s="1"/>
  <c r="T168" i="1"/>
  <c r="V168" i="1"/>
  <c r="X168" i="1"/>
  <c r="T169" i="1"/>
  <c r="V169" i="1"/>
  <c r="X169" i="1"/>
  <c r="T170" i="1"/>
  <c r="V170" i="1"/>
  <c r="X170" i="1" s="1"/>
  <c r="T171" i="1"/>
  <c r="V171" i="1"/>
  <c r="X171" i="1" s="1"/>
  <c r="T172" i="1"/>
  <c r="V172" i="1"/>
  <c r="X172" i="1"/>
  <c r="T173" i="1"/>
  <c r="V173" i="1"/>
  <c r="X173" i="1"/>
  <c r="T174" i="1"/>
  <c r="V174" i="1"/>
  <c r="X174" i="1" s="1"/>
  <c r="T175" i="1"/>
  <c r="V175" i="1"/>
  <c r="X175" i="1" s="1"/>
  <c r="T176" i="1"/>
  <c r="V176" i="1"/>
  <c r="X176" i="1"/>
  <c r="T177" i="1"/>
  <c r="V177" i="1"/>
  <c r="X177" i="1"/>
  <c r="T178" i="1"/>
  <c r="V178" i="1"/>
  <c r="X178" i="1" s="1"/>
  <c r="T179" i="1"/>
  <c r="V179" i="1"/>
  <c r="X179" i="1" s="1"/>
  <c r="T180" i="1"/>
  <c r="V180" i="1"/>
  <c r="X180" i="1"/>
  <c r="T181" i="1"/>
  <c r="V181" i="1"/>
  <c r="X181" i="1"/>
  <c r="T182" i="1"/>
  <c r="V182" i="1"/>
  <c r="X182" i="1" s="1"/>
  <c r="T183" i="1"/>
  <c r="V183" i="1"/>
  <c r="X183" i="1" s="1"/>
  <c r="T184" i="1"/>
  <c r="V184" i="1"/>
  <c r="X184" i="1"/>
  <c r="T185" i="1"/>
  <c r="V185" i="1"/>
  <c r="X185" i="1"/>
  <c r="T186" i="1"/>
  <c r="V186" i="1"/>
  <c r="X186" i="1" s="1"/>
  <c r="T187" i="1"/>
  <c r="V187" i="1"/>
  <c r="X187" i="1" s="1"/>
  <c r="T188" i="1"/>
  <c r="V188" i="1"/>
  <c r="X188" i="1"/>
  <c r="T189" i="1"/>
  <c r="V189" i="1"/>
  <c r="X189" i="1"/>
  <c r="T190" i="1"/>
  <c r="V190" i="1"/>
  <c r="X190" i="1" s="1"/>
  <c r="T191" i="1"/>
  <c r="V191" i="1"/>
  <c r="X191" i="1" s="1"/>
  <c r="T192" i="1"/>
  <c r="V192" i="1"/>
  <c r="X192" i="1"/>
  <c r="T193" i="1"/>
  <c r="V193" i="1"/>
  <c r="X193" i="1"/>
  <c r="T194" i="1"/>
  <c r="V194" i="1"/>
  <c r="X194" i="1" s="1"/>
  <c r="T195" i="1"/>
  <c r="V195" i="1"/>
  <c r="X195" i="1" s="1"/>
  <c r="T196" i="1"/>
  <c r="V196" i="1"/>
  <c r="X196" i="1"/>
  <c r="T197" i="1"/>
  <c r="V197" i="1"/>
  <c r="X197" i="1"/>
  <c r="T198" i="1"/>
  <c r="V198" i="1"/>
  <c r="X198" i="1" s="1"/>
  <c r="T199" i="1"/>
  <c r="V199" i="1"/>
  <c r="X199" i="1" s="1"/>
  <c r="T200" i="1"/>
  <c r="V200" i="1"/>
  <c r="X200" i="1"/>
  <c r="T201" i="1"/>
  <c r="V201" i="1"/>
  <c r="X201" i="1"/>
  <c r="T202" i="1"/>
  <c r="V202" i="1"/>
  <c r="X202" i="1" s="1"/>
  <c r="T203" i="1"/>
  <c r="V203" i="1"/>
  <c r="X203" i="1" s="1"/>
  <c r="T204" i="1"/>
  <c r="V204" i="1"/>
  <c r="X204" i="1"/>
  <c r="T205" i="1"/>
  <c r="V205" i="1"/>
  <c r="X205" i="1"/>
  <c r="T206" i="1"/>
  <c r="V206" i="1"/>
  <c r="X206" i="1" s="1"/>
  <c r="T207" i="1"/>
  <c r="V207" i="1"/>
  <c r="X207" i="1" s="1"/>
  <c r="T208" i="1"/>
  <c r="V208" i="1"/>
  <c r="X208" i="1"/>
  <c r="T209" i="1"/>
  <c r="V209" i="1"/>
  <c r="X209" i="1"/>
  <c r="T210" i="1"/>
  <c r="V210" i="1"/>
  <c r="X210" i="1" s="1"/>
  <c r="T211" i="1"/>
  <c r="V211" i="1"/>
  <c r="X211" i="1" s="1"/>
  <c r="T212" i="1"/>
  <c r="V212" i="1"/>
  <c r="X212" i="1"/>
  <c r="T213" i="1"/>
  <c r="V213" i="1"/>
  <c r="X213" i="1"/>
  <c r="T214" i="1"/>
  <c r="V214" i="1"/>
  <c r="X214" i="1" s="1"/>
  <c r="V5" i="1"/>
  <c r="X5" i="1" s="1"/>
  <c r="T5" i="1"/>
  <c r="R5" i="1"/>
  <c r="M18" i="1"/>
</calcChain>
</file>

<file path=xl/sharedStrings.xml><?xml version="1.0" encoding="utf-8"?>
<sst xmlns="http://schemas.openxmlformats.org/spreadsheetml/2006/main" count="4044" uniqueCount="896">
  <si>
    <t>JE Code</t>
  </si>
  <si>
    <t>Store</t>
  </si>
  <si>
    <t>Country</t>
  </si>
  <si>
    <t>Region</t>
  </si>
  <si>
    <t>Date</t>
  </si>
  <si>
    <t>Item</t>
  </si>
  <si>
    <t>First Name</t>
  </si>
  <si>
    <t>Last Name</t>
  </si>
  <si>
    <t>List Price</t>
  </si>
  <si>
    <t>Actual Price</t>
  </si>
  <si>
    <t>Discount %</t>
  </si>
  <si>
    <t>I-1001</t>
  </si>
  <si>
    <t>Moscow</t>
  </si>
  <si>
    <t>Russia</t>
  </si>
  <si>
    <t>EMEA</t>
  </si>
  <si>
    <t>Microwave</t>
  </si>
  <si>
    <t>MAY</t>
  </si>
  <si>
    <t>WILMOT</t>
  </si>
  <si>
    <t>I-1002</t>
  </si>
  <si>
    <t>Toronto</t>
  </si>
  <si>
    <t>Canada</t>
  </si>
  <si>
    <t>NA</t>
  </si>
  <si>
    <t>4/23/2015</t>
  </si>
  <si>
    <t>DAVID</t>
  </si>
  <si>
    <t>SHINER</t>
  </si>
  <si>
    <t>I-1003</t>
  </si>
  <si>
    <t>Sao Paolo</t>
  </si>
  <si>
    <t>Brazil</t>
  </si>
  <si>
    <t>LATAM</t>
  </si>
  <si>
    <t>Air conditioner</t>
  </si>
  <si>
    <t>GARY</t>
  </si>
  <si>
    <t>REYNOLDS</t>
  </si>
  <si>
    <t>I-1004</t>
  </si>
  <si>
    <t>Istanbul</t>
  </si>
  <si>
    <t>Turkey</t>
  </si>
  <si>
    <t>8/14/2018</t>
  </si>
  <si>
    <t>Ceiling fan</t>
  </si>
  <si>
    <t>MARK</t>
  </si>
  <si>
    <t>BUNTAIN</t>
  </si>
  <si>
    <t>I-1005</t>
  </si>
  <si>
    <t>Sydney</t>
  </si>
  <si>
    <t>Australia</t>
  </si>
  <si>
    <t>APAC</t>
  </si>
  <si>
    <t>Toaster</t>
  </si>
  <si>
    <t>CHRISTINE</t>
  </si>
  <si>
    <t>DAVIES</t>
  </si>
  <si>
    <t>I-1007</t>
  </si>
  <si>
    <t>Lima</t>
  </si>
  <si>
    <t>Peru</t>
  </si>
  <si>
    <t>Dishwasher</t>
  </si>
  <si>
    <t>CHRISTOPHER</t>
  </si>
  <si>
    <t>CRESSWELL</t>
  </si>
  <si>
    <t>I-1008</t>
  </si>
  <si>
    <t>Tijuana</t>
  </si>
  <si>
    <t>Mexico</t>
  </si>
  <si>
    <t>Iron</t>
  </si>
  <si>
    <t>GILLIAN</t>
  </si>
  <si>
    <t>ALLNUTT</t>
  </si>
  <si>
    <t>I-1009</t>
  </si>
  <si>
    <t>London</t>
  </si>
  <si>
    <t>UK</t>
  </si>
  <si>
    <t>Washing Machine</t>
  </si>
  <si>
    <t>FRANCIS</t>
  </si>
  <si>
    <t>GODDEN</t>
  </si>
  <si>
    <t>I-1011</t>
  </si>
  <si>
    <t>Riyadh</t>
  </si>
  <si>
    <t>Saudi Arabia</t>
  </si>
  <si>
    <t>Refrigerator</t>
  </si>
  <si>
    <t>DANNY</t>
  </si>
  <si>
    <t>BROOKS</t>
  </si>
  <si>
    <t>I-1012</t>
  </si>
  <si>
    <t>Bangkok</t>
  </si>
  <si>
    <t>Thailand</t>
  </si>
  <si>
    <t>8/21/2014</t>
  </si>
  <si>
    <t>JOHN</t>
  </si>
  <si>
    <t>JENKINS</t>
  </si>
  <si>
    <t>I-1013</t>
  </si>
  <si>
    <t>RICHARD</t>
  </si>
  <si>
    <t>I-1014</t>
  </si>
  <si>
    <t>Delhi</t>
  </si>
  <si>
    <t>India</t>
  </si>
  <si>
    <t>5/30/2014</t>
  </si>
  <si>
    <t>Oven</t>
  </si>
  <si>
    <t>TESSA</t>
  </si>
  <si>
    <t>MORROW</t>
  </si>
  <si>
    <t>I-1015</t>
  </si>
  <si>
    <t>JAMES</t>
  </si>
  <si>
    <t>RICKETTS</t>
  </si>
  <si>
    <t>I-1016</t>
  </si>
  <si>
    <t>Ho Chi Minh City</t>
  </si>
  <si>
    <t>Vietnam</t>
  </si>
  <si>
    <t>5/24/2015</t>
  </si>
  <si>
    <t>SUSAN</t>
  </si>
  <si>
    <t>DIXON</t>
  </si>
  <si>
    <t>I-1017</t>
  </si>
  <si>
    <t>Tel Aviv</t>
  </si>
  <si>
    <t>Israel</t>
  </si>
  <si>
    <t>THOMAS</t>
  </si>
  <si>
    <t>GORDON</t>
  </si>
  <si>
    <t>I-1019</t>
  </si>
  <si>
    <t>ROBIN</t>
  </si>
  <si>
    <t>HALL</t>
  </si>
  <si>
    <t>I-1020</t>
  </si>
  <si>
    <t>Osaka</t>
  </si>
  <si>
    <t>Japan</t>
  </si>
  <si>
    <t>7/23/2016</t>
  </si>
  <si>
    <t>KENNETH</t>
  </si>
  <si>
    <t>WALTER</t>
  </si>
  <si>
    <t>I-1021</t>
  </si>
  <si>
    <t>Prague</t>
  </si>
  <si>
    <t>Czech Republic</t>
  </si>
  <si>
    <t>9/28/2017</t>
  </si>
  <si>
    <t>EDWARD</t>
  </si>
  <si>
    <t>KHAN</t>
  </si>
  <si>
    <t>I-1022</t>
  </si>
  <si>
    <t>Capetown</t>
  </si>
  <si>
    <t>South Africa</t>
  </si>
  <si>
    <t>4/17/2015</t>
  </si>
  <si>
    <t>NICHOLAS</t>
  </si>
  <si>
    <t>HOLLOWAY</t>
  </si>
  <si>
    <t>I-1023</t>
  </si>
  <si>
    <t>Bangalore</t>
  </si>
  <si>
    <t>11/13/2018</t>
  </si>
  <si>
    <t>Coffee grinder</t>
  </si>
  <si>
    <t>DELIA</t>
  </si>
  <si>
    <t>MUHAMMAD</t>
  </si>
  <si>
    <t>I-1024</t>
  </si>
  <si>
    <t>Seattle</t>
  </si>
  <si>
    <t>USA</t>
  </si>
  <si>
    <t>2/13/2018</t>
  </si>
  <si>
    <t>LESLEYANN</t>
  </si>
  <si>
    <t>POPE</t>
  </si>
  <si>
    <t>I-1026</t>
  </si>
  <si>
    <t>Birmingham</t>
  </si>
  <si>
    <t>3/22/2016</t>
  </si>
  <si>
    <t>Vacuum Cleaner</t>
  </si>
  <si>
    <t>DAMIEN</t>
  </si>
  <si>
    <t>SMITH</t>
  </si>
  <si>
    <t>I-1027</t>
  </si>
  <si>
    <t>Seoul</t>
  </si>
  <si>
    <t>South Korea</t>
  </si>
  <si>
    <t>STEVEN</t>
  </si>
  <si>
    <t>WOOD</t>
  </si>
  <si>
    <t>I-1029</t>
  </si>
  <si>
    <t>Guangzhou</t>
  </si>
  <si>
    <t>China</t>
  </si>
  <si>
    <t>10/28/2015</t>
  </si>
  <si>
    <t>GLENYS</t>
  </si>
  <si>
    <t>WRIGHT</t>
  </si>
  <si>
    <t>I-1030</t>
  </si>
  <si>
    <t>Berlin</t>
  </si>
  <si>
    <t>Germany</t>
  </si>
  <si>
    <t>12/14/2017</t>
  </si>
  <si>
    <t>KATE</t>
  </si>
  <si>
    <t>PEARCE</t>
  </si>
  <si>
    <t>I-1031</t>
  </si>
  <si>
    <t>Kansas City</t>
  </si>
  <si>
    <t>ROBERT</t>
  </si>
  <si>
    <t>ARNOLD</t>
  </si>
  <si>
    <t>I-1033</t>
  </si>
  <si>
    <t>10/19/2014</t>
  </si>
  <si>
    <t>DARREN</t>
  </si>
  <si>
    <t>I-1035</t>
  </si>
  <si>
    <t>10/13/2015</t>
  </si>
  <si>
    <t>MAYANK</t>
  </si>
  <si>
    <t>ALI</t>
  </si>
  <si>
    <t>I-1036</t>
  </si>
  <si>
    <t>11/23/2018</t>
  </si>
  <si>
    <t>GLEN</t>
  </si>
  <si>
    <t>CAMPBELL</t>
  </si>
  <si>
    <t>I-1037</t>
  </si>
  <si>
    <t>7/31/2016</t>
  </si>
  <si>
    <t>STEPHEN</t>
  </si>
  <si>
    <t>I-1038</t>
  </si>
  <si>
    <t>Paris</t>
  </si>
  <si>
    <t>France</t>
  </si>
  <si>
    <t>11/30/2015</t>
  </si>
  <si>
    <t>CAROLINE</t>
  </si>
  <si>
    <t>ECCLES</t>
  </si>
  <si>
    <t>I-1040</t>
  </si>
  <si>
    <t>Los Angeles</t>
  </si>
  <si>
    <t>9/15/2017</t>
  </si>
  <si>
    <t>COLIN</t>
  </si>
  <si>
    <t>MATTHEWS</t>
  </si>
  <si>
    <t>I-1042</t>
  </si>
  <si>
    <t>10/30/2016</t>
  </si>
  <si>
    <t>WILLIAM</t>
  </si>
  <si>
    <t>MARTIN</t>
  </si>
  <si>
    <t>I-1043</t>
  </si>
  <si>
    <t>3/25/2018</t>
  </si>
  <si>
    <t>MICHAEL</t>
  </si>
  <si>
    <t>BELL</t>
  </si>
  <si>
    <t>I-1044</t>
  </si>
  <si>
    <t>Shenzhen</t>
  </si>
  <si>
    <t>7/27/2017</t>
  </si>
  <si>
    <t>ROGER</t>
  </si>
  <si>
    <t>RUST</t>
  </si>
  <si>
    <t>I-1047</t>
  </si>
  <si>
    <t>Warsaw</t>
  </si>
  <si>
    <t>Poland</t>
  </si>
  <si>
    <t>HIN</t>
  </si>
  <si>
    <t>BRAGG</t>
  </si>
  <si>
    <t>I-1048</t>
  </si>
  <si>
    <t>Amsterdam</t>
  </si>
  <si>
    <t>Netherlands</t>
  </si>
  <si>
    <t>ALLYSON</t>
  </si>
  <si>
    <t>RUSH</t>
  </si>
  <si>
    <t>I-1052</t>
  </si>
  <si>
    <t>Rome</t>
  </si>
  <si>
    <t>Italy</t>
  </si>
  <si>
    <t>ELAINE</t>
  </si>
  <si>
    <t>WHITFIELD</t>
  </si>
  <si>
    <t>I-1055</t>
  </si>
  <si>
    <t>9/16/2014</t>
  </si>
  <si>
    <t>RITA</t>
  </si>
  <si>
    <t>HILL</t>
  </si>
  <si>
    <t>I-1056</t>
  </si>
  <si>
    <t>Blender</t>
  </si>
  <si>
    <t>DEANNA</t>
  </si>
  <si>
    <t>WANG</t>
  </si>
  <si>
    <t>I-1058</t>
  </si>
  <si>
    <t>3/26/2018</t>
  </si>
  <si>
    <t>JILL</t>
  </si>
  <si>
    <t>THOMPSON</t>
  </si>
  <si>
    <t>I-1059</t>
  </si>
  <si>
    <t>6/23/2014</t>
  </si>
  <si>
    <t>CHERYL</t>
  </si>
  <si>
    <t>GLOVER</t>
  </si>
  <si>
    <t>I-1060</t>
  </si>
  <si>
    <t>San Fransisco</t>
  </si>
  <si>
    <t>8/30/2018</t>
  </si>
  <si>
    <t>GILLAN</t>
  </si>
  <si>
    <t>CLARK</t>
  </si>
  <si>
    <t>I-1061</t>
  </si>
  <si>
    <t>Bogota</t>
  </si>
  <si>
    <t>Colombia</t>
  </si>
  <si>
    <t>ANTONY</t>
  </si>
  <si>
    <t>WESTLAKE</t>
  </si>
  <si>
    <t>I-1064</t>
  </si>
  <si>
    <t>2/17/2017</t>
  </si>
  <si>
    <t>CHRISTINA</t>
  </si>
  <si>
    <t>PEDLEY</t>
  </si>
  <si>
    <t>I-1065</t>
  </si>
  <si>
    <t>3/16/2014</t>
  </si>
  <si>
    <t>RONALD</t>
  </si>
  <si>
    <t>BUTLER</t>
  </si>
  <si>
    <t>I-1068</t>
  </si>
  <si>
    <t>DONALD</t>
  </si>
  <si>
    <t>BARRATT</t>
  </si>
  <si>
    <t>I-1069</t>
  </si>
  <si>
    <t>Shanghai</t>
  </si>
  <si>
    <t>9/15/2016</t>
  </si>
  <si>
    <t>WOLF</t>
  </si>
  <si>
    <t>CHRISTIAN</t>
  </si>
  <si>
    <t>I-1070</t>
  </si>
  <si>
    <t>Mexico City</t>
  </si>
  <si>
    <t>7/26/2018</t>
  </si>
  <si>
    <t>BRENDON</t>
  </si>
  <si>
    <t>DYER</t>
  </si>
  <si>
    <t>I-1071</t>
  </si>
  <si>
    <t>Buenos Aires</t>
  </si>
  <si>
    <t>Argentina</t>
  </si>
  <si>
    <t>STUART</t>
  </si>
  <si>
    <t>BROWN</t>
  </si>
  <si>
    <t>I-1072</t>
  </si>
  <si>
    <t>2/19/2014</t>
  </si>
  <si>
    <t>ALEN</t>
  </si>
  <si>
    <t>DINAN</t>
  </si>
  <si>
    <t>I-1073</t>
  </si>
  <si>
    <t>11/17/2017</t>
  </si>
  <si>
    <t>JACQUELINE</t>
  </si>
  <si>
    <t>CLAMP</t>
  </si>
  <si>
    <t>I-1075</t>
  </si>
  <si>
    <t>Dublin</t>
  </si>
  <si>
    <t>Ireland</t>
  </si>
  <si>
    <t>4/29/2017</t>
  </si>
  <si>
    <t>ANDREW</t>
  </si>
  <si>
    <t>PHILLIPS</t>
  </si>
  <si>
    <t>I-1076</t>
  </si>
  <si>
    <t>8/15/2014</t>
  </si>
  <si>
    <t>ALAN</t>
  </si>
  <si>
    <t>DAVIE</t>
  </si>
  <si>
    <t>I-1077</t>
  </si>
  <si>
    <t>Madria</t>
  </si>
  <si>
    <t>Spain</t>
  </si>
  <si>
    <t>3/14/2018</t>
  </si>
  <si>
    <t>PENELOPE</t>
  </si>
  <si>
    <t>FREELAND</t>
  </si>
  <si>
    <t>I-1078</t>
  </si>
  <si>
    <t>MICHELLE</t>
  </si>
  <si>
    <t>MURRAY</t>
  </si>
  <si>
    <t>I-1079</t>
  </si>
  <si>
    <t>8/31/2016</t>
  </si>
  <si>
    <t>PAUL</t>
  </si>
  <si>
    <t>RULE</t>
  </si>
  <si>
    <t>I-1080</t>
  </si>
  <si>
    <t>8/23/2015</t>
  </si>
  <si>
    <t>IAN</t>
  </si>
  <si>
    <t>MCCARTAN</t>
  </si>
  <si>
    <t>I-1081</t>
  </si>
  <si>
    <t>8/24/2015</t>
  </si>
  <si>
    <t>SHELLEY</t>
  </si>
  <si>
    <t>MANNIX</t>
  </si>
  <si>
    <t>I-1082</t>
  </si>
  <si>
    <t>JANET</t>
  </si>
  <si>
    <t>FORD</t>
  </si>
  <si>
    <t>I-1085</t>
  </si>
  <si>
    <t>CRAIG</t>
  </si>
  <si>
    <t>JOHNSON</t>
  </si>
  <si>
    <t>I-1089</t>
  </si>
  <si>
    <t>Kuala Lumpur</t>
  </si>
  <si>
    <t>Malaysia</t>
  </si>
  <si>
    <t>4/22/2016</t>
  </si>
  <si>
    <t>TRUDI</t>
  </si>
  <si>
    <t>GRIFFIN</t>
  </si>
  <si>
    <t>I-1090</t>
  </si>
  <si>
    <t>VALERIE</t>
  </si>
  <si>
    <t>I-1091</t>
  </si>
  <si>
    <t>11/20/2014</t>
  </si>
  <si>
    <t>DERMOT</t>
  </si>
  <si>
    <t>BAILEY</t>
  </si>
  <si>
    <t>I-1092</t>
  </si>
  <si>
    <t>ABDUL</t>
  </si>
  <si>
    <t>HEYWOOD</t>
  </si>
  <si>
    <t>I-1093</t>
  </si>
  <si>
    <t>7/15/2017</t>
  </si>
  <si>
    <t>MARY</t>
  </si>
  <si>
    <t>MITCHELL</t>
  </si>
  <si>
    <t>I-1096</t>
  </si>
  <si>
    <t>NEIL</t>
  </si>
  <si>
    <t>MCAVOY</t>
  </si>
  <si>
    <t>I-1097</t>
  </si>
  <si>
    <t>6/30/2017</t>
  </si>
  <si>
    <t>HOWARD</t>
  </si>
  <si>
    <t>JONES</t>
  </si>
  <si>
    <t>I-1098</t>
  </si>
  <si>
    <t>Chicago</t>
  </si>
  <si>
    <t>10/29/2014</t>
  </si>
  <si>
    <t>HEATHER</t>
  </si>
  <si>
    <t>MCGILL</t>
  </si>
  <si>
    <t>I-1100</t>
  </si>
  <si>
    <t>4/27/2018</t>
  </si>
  <si>
    <t>ALEXANDER</t>
  </si>
  <si>
    <t>HILLIER</t>
  </si>
  <si>
    <t>I-1101</t>
  </si>
  <si>
    <t>Jerusalem</t>
  </si>
  <si>
    <t>FIONA</t>
  </si>
  <si>
    <t>I-1105</t>
  </si>
  <si>
    <t>7/24/2018</t>
  </si>
  <si>
    <t>CLAIRE</t>
  </si>
  <si>
    <t>STOREY</t>
  </si>
  <si>
    <t>I-1107</t>
  </si>
  <si>
    <t>New York</t>
  </si>
  <si>
    <t>9/22/2014</t>
  </si>
  <si>
    <t>BARBARA</t>
  </si>
  <si>
    <t>TURNER</t>
  </si>
  <si>
    <t>I-1108</t>
  </si>
  <si>
    <t>1/30/2017</t>
  </si>
  <si>
    <t>AUDREY</t>
  </si>
  <si>
    <t>KANE</t>
  </si>
  <si>
    <t>I-1111</t>
  </si>
  <si>
    <t>VICTORIA</t>
  </si>
  <si>
    <t>SHERWIN</t>
  </si>
  <si>
    <t>I-1112</t>
  </si>
  <si>
    <t>Cairo</t>
  </si>
  <si>
    <t>Egypt</t>
  </si>
  <si>
    <t>10/16/2017</t>
  </si>
  <si>
    <t>MAREK</t>
  </si>
  <si>
    <t>KWIATKOWSKI</t>
  </si>
  <si>
    <t>I-1114</t>
  </si>
  <si>
    <t>KEN</t>
  </si>
  <si>
    <t>ROGERSON</t>
  </si>
  <si>
    <t>I-1118</t>
  </si>
  <si>
    <t>Bucharest</t>
  </si>
  <si>
    <t>Romania</t>
  </si>
  <si>
    <t>CONSTANCE</t>
  </si>
  <si>
    <t>TIDEY</t>
  </si>
  <si>
    <t>I-1119</t>
  </si>
  <si>
    <t>11/16/2015</t>
  </si>
  <si>
    <t>ROY</t>
  </si>
  <si>
    <t>I-1121</t>
  </si>
  <si>
    <t>4/17/2014</t>
  </si>
  <si>
    <t>BARRIE</t>
  </si>
  <si>
    <t>I-1126</t>
  </si>
  <si>
    <t>Athens</t>
  </si>
  <si>
    <t>Greece</t>
  </si>
  <si>
    <t>4/28/2018</t>
  </si>
  <si>
    <t>SARAH</t>
  </si>
  <si>
    <t>CHADWICK</t>
  </si>
  <si>
    <t>I-1129</t>
  </si>
  <si>
    <t>DENISE</t>
  </si>
  <si>
    <t>I-1131</t>
  </si>
  <si>
    <t>ZULFIQAR</t>
  </si>
  <si>
    <t>MIRZA</t>
  </si>
  <si>
    <t>I-1132</t>
  </si>
  <si>
    <t>PHILIP</t>
  </si>
  <si>
    <t>SUTHERLAND</t>
  </si>
  <si>
    <t>I-1133</t>
  </si>
  <si>
    <t>CHANDRAKANT</t>
  </si>
  <si>
    <t>ATKINS</t>
  </si>
  <si>
    <t>I-1134</t>
  </si>
  <si>
    <t>DEREK</t>
  </si>
  <si>
    <t>HARRIS</t>
  </si>
  <si>
    <t>I-1137</t>
  </si>
  <si>
    <t>JOANNE</t>
  </si>
  <si>
    <t>SAYER</t>
  </si>
  <si>
    <t>I-1139</t>
  </si>
  <si>
    <t>12/25/2017</t>
  </si>
  <si>
    <t>LISA</t>
  </si>
  <si>
    <t>MANNING</t>
  </si>
  <si>
    <t>I-1143</t>
  </si>
  <si>
    <t>BASIL</t>
  </si>
  <si>
    <t>BAIN</t>
  </si>
  <si>
    <t>I-1146</t>
  </si>
  <si>
    <t>Tokyo</t>
  </si>
  <si>
    <t>TONY</t>
  </si>
  <si>
    <t>MILNER</t>
  </si>
  <si>
    <t>I-1147</t>
  </si>
  <si>
    <t>Vienna</t>
  </si>
  <si>
    <t>Austria</t>
  </si>
  <si>
    <t>4/30/2017</t>
  </si>
  <si>
    <t>PETER</t>
  </si>
  <si>
    <t>I-1150</t>
  </si>
  <si>
    <t>NICK</t>
  </si>
  <si>
    <t>GEE</t>
  </si>
  <si>
    <t>I-1153</t>
  </si>
  <si>
    <t>8/31/2018</t>
  </si>
  <si>
    <t>JACOB</t>
  </si>
  <si>
    <t>PERCIVAL</t>
  </si>
  <si>
    <t>I-1156</t>
  </si>
  <si>
    <t>GEOFFREY</t>
  </si>
  <si>
    <t>PATEL</t>
  </si>
  <si>
    <t>I-1158</t>
  </si>
  <si>
    <t>4/15/2017</t>
  </si>
  <si>
    <t>ROSEMARY</t>
  </si>
  <si>
    <t>AZIZ</t>
  </si>
  <si>
    <t>I-1159</t>
  </si>
  <si>
    <t>6/25/2015</t>
  </si>
  <si>
    <t>CORDIA</t>
  </si>
  <si>
    <t>ALSTON</t>
  </si>
  <si>
    <t>I-1160</t>
  </si>
  <si>
    <t>KEVIN</t>
  </si>
  <si>
    <t>MCLAUCHLIN</t>
  </si>
  <si>
    <t>I-1161</t>
  </si>
  <si>
    <t>Dubai</t>
  </si>
  <si>
    <t>UAE</t>
  </si>
  <si>
    <t>5/19/2016</t>
  </si>
  <si>
    <t>MARIE</t>
  </si>
  <si>
    <t>I-1168</t>
  </si>
  <si>
    <t>3/25/2017</t>
  </si>
  <si>
    <t>MALCOLM</t>
  </si>
  <si>
    <t>GRIFFITH</t>
  </si>
  <si>
    <t>I-1169</t>
  </si>
  <si>
    <t>1/16/2018</t>
  </si>
  <si>
    <t>ALISON</t>
  </si>
  <si>
    <t>YOUNGER</t>
  </si>
  <si>
    <t>I-1182</t>
  </si>
  <si>
    <t>Santiago</t>
  </si>
  <si>
    <t>Chile</t>
  </si>
  <si>
    <t>RAM</t>
  </si>
  <si>
    <t>MATHEWS</t>
  </si>
  <si>
    <t>I-1183</t>
  </si>
  <si>
    <t>8/19/2016</t>
  </si>
  <si>
    <t>NAEEM</t>
  </si>
  <si>
    <t>PERRY</t>
  </si>
  <si>
    <t>I-1184</t>
  </si>
  <si>
    <t>ANTHONY</t>
  </si>
  <si>
    <t>CONNOLLY</t>
  </si>
  <si>
    <t>I-1186</t>
  </si>
  <si>
    <t>6/22/2015</t>
  </si>
  <si>
    <t>BRENDA</t>
  </si>
  <si>
    <t>LIGHTFOOT</t>
  </si>
  <si>
    <t>I-1187</t>
  </si>
  <si>
    <t>9/24/2016</t>
  </si>
  <si>
    <t>CHLOE</t>
  </si>
  <si>
    <t>LYONS</t>
  </si>
  <si>
    <t>I-1191</t>
  </si>
  <si>
    <t>ARMAND</t>
  </si>
  <si>
    <t>AHMED</t>
  </si>
  <si>
    <t>I-1194</t>
  </si>
  <si>
    <t>4/13/2016</t>
  </si>
  <si>
    <t>ISLA</t>
  </si>
  <si>
    <t>PARSONS</t>
  </si>
  <si>
    <t>I-1198</t>
  </si>
  <si>
    <t>11/25/2017</t>
  </si>
  <si>
    <t>JULIA</t>
  </si>
  <si>
    <t>HURREN</t>
  </si>
  <si>
    <t>I-1199</t>
  </si>
  <si>
    <t>SIMON</t>
  </si>
  <si>
    <t>HIRST</t>
  </si>
  <si>
    <t>I-1206</t>
  </si>
  <si>
    <t>1/25/2016</t>
  </si>
  <si>
    <t>XUN</t>
  </si>
  <si>
    <t>SIMMS</t>
  </si>
  <si>
    <t>I-1207</t>
  </si>
  <si>
    <t>1/26/2015</t>
  </si>
  <si>
    <t>GUSTAVO</t>
  </si>
  <si>
    <t>TAIWO</t>
  </si>
  <si>
    <t>I-1210</t>
  </si>
  <si>
    <t>8/26/2018</t>
  </si>
  <si>
    <t>BARRY</t>
  </si>
  <si>
    <t>BALDWIN</t>
  </si>
  <si>
    <t>I-1211</t>
  </si>
  <si>
    <t>ELIZABETH</t>
  </si>
  <si>
    <t>I-1219</t>
  </si>
  <si>
    <t>TRACY</t>
  </si>
  <si>
    <t>STANLEY</t>
  </si>
  <si>
    <t>I-1229</t>
  </si>
  <si>
    <t>ARTHUR</t>
  </si>
  <si>
    <t>MONCRIEFF</t>
  </si>
  <si>
    <t>I-1232</t>
  </si>
  <si>
    <t>7/14/2015</t>
  </si>
  <si>
    <t>AIDAN</t>
  </si>
  <si>
    <t>PERROTT</t>
  </si>
  <si>
    <t>I-1233</t>
  </si>
  <si>
    <t>4/21/2014</t>
  </si>
  <si>
    <t>ALEXANDRA</t>
  </si>
  <si>
    <t>I-1234</t>
  </si>
  <si>
    <t>7/26/2015</t>
  </si>
  <si>
    <t>ZHAN</t>
  </si>
  <si>
    <t>I-1235</t>
  </si>
  <si>
    <t>DANIEL</t>
  </si>
  <si>
    <t>HENDERSON</t>
  </si>
  <si>
    <t>I-1239</t>
  </si>
  <si>
    <t>NICOLE</t>
  </si>
  <si>
    <t>MARSHALL</t>
  </si>
  <si>
    <t>I-1242</t>
  </si>
  <si>
    <t>NATASHA</t>
  </si>
  <si>
    <t>CARVALHO</t>
  </si>
  <si>
    <t>I-1243</t>
  </si>
  <si>
    <t>RONNETTE</t>
  </si>
  <si>
    <t>STOCKS</t>
  </si>
  <si>
    <t>I-1244</t>
  </si>
  <si>
    <t>1/27/2016</t>
  </si>
  <si>
    <t>PAULINE</t>
  </si>
  <si>
    <t>I-1249</t>
  </si>
  <si>
    <t>DOUGLAS</t>
  </si>
  <si>
    <t>I-1251</t>
  </si>
  <si>
    <t>11/22/2017</t>
  </si>
  <si>
    <t>BRUCE</t>
  </si>
  <si>
    <t>MCPHEE</t>
  </si>
  <si>
    <t>I-1254</t>
  </si>
  <si>
    <t>9/30/2015</t>
  </si>
  <si>
    <t>BRYAN</t>
  </si>
  <si>
    <t>MASON</t>
  </si>
  <si>
    <t>I-1255</t>
  </si>
  <si>
    <t>REBECCA</t>
  </si>
  <si>
    <t>DELO</t>
  </si>
  <si>
    <t>I-1258</t>
  </si>
  <si>
    <t>5/20/2017</t>
  </si>
  <si>
    <t>ABU</t>
  </si>
  <si>
    <t>MOORE</t>
  </si>
  <si>
    <t>I-1261</t>
  </si>
  <si>
    <t>7/20/2014</t>
  </si>
  <si>
    <t>CAROLE</t>
  </si>
  <si>
    <t>OWEN</t>
  </si>
  <si>
    <t>I-1262</t>
  </si>
  <si>
    <t>6/17/2018</t>
  </si>
  <si>
    <t>RACHEL</t>
  </si>
  <si>
    <t>OLIVER</t>
  </si>
  <si>
    <t>I-1264</t>
  </si>
  <si>
    <t>CARL</t>
  </si>
  <si>
    <t>SNAPE</t>
  </si>
  <si>
    <t>I-1266</t>
  </si>
  <si>
    <t>CHARLES</t>
  </si>
  <si>
    <t>I-1267</t>
  </si>
  <si>
    <t>5/28/2015</t>
  </si>
  <si>
    <t>WOLFGANG</t>
  </si>
  <si>
    <t>I-1272</t>
  </si>
  <si>
    <t>LEONARD</t>
  </si>
  <si>
    <t>GREEN</t>
  </si>
  <si>
    <t>I-1277</t>
  </si>
  <si>
    <t>10/23/2018</t>
  </si>
  <si>
    <t>PARESH</t>
  </si>
  <si>
    <t>I-1296</t>
  </si>
  <si>
    <t>NICOLA</t>
  </si>
  <si>
    <t>NATHAN</t>
  </si>
  <si>
    <t>I-1298</t>
  </si>
  <si>
    <t>ZOE</t>
  </si>
  <si>
    <t>MUNDAY</t>
  </si>
  <si>
    <t>I-1300</t>
  </si>
  <si>
    <t>OLIVIA</t>
  </si>
  <si>
    <t>I-1302</t>
  </si>
  <si>
    <t>5/20/2015</t>
  </si>
  <si>
    <t>ERIC</t>
  </si>
  <si>
    <t>WALKER</t>
  </si>
  <si>
    <t>I-1311</t>
  </si>
  <si>
    <t>DAMILOLA</t>
  </si>
  <si>
    <t>RAYMOND</t>
  </si>
  <si>
    <t>I-1323</t>
  </si>
  <si>
    <t>9/14/2014</t>
  </si>
  <si>
    <t>TIMOTHY</t>
  </si>
  <si>
    <t>I-1331</t>
  </si>
  <si>
    <t>1/27/2014</t>
  </si>
  <si>
    <t>IRENE</t>
  </si>
  <si>
    <t>SKIBA</t>
  </si>
  <si>
    <t>I-1334</t>
  </si>
  <si>
    <t>PATRICIA</t>
  </si>
  <si>
    <t>SEWELL</t>
  </si>
  <si>
    <t>I-1340</t>
  </si>
  <si>
    <t>11/21/2014</t>
  </si>
  <si>
    <t>MARGARET</t>
  </si>
  <si>
    <t>BUCK</t>
  </si>
  <si>
    <t>I-1341</t>
  </si>
  <si>
    <t>GWYN</t>
  </si>
  <si>
    <t>TAYLOR</t>
  </si>
  <si>
    <t>I-1344</t>
  </si>
  <si>
    <t>KIRSTY</t>
  </si>
  <si>
    <t>AMOS</t>
  </si>
  <si>
    <t>I-1349</t>
  </si>
  <si>
    <t>4/21/2018</t>
  </si>
  <si>
    <t>ROSALIND</t>
  </si>
  <si>
    <t>CHANDLER</t>
  </si>
  <si>
    <t>I-1350</t>
  </si>
  <si>
    <t>2/22/2014</t>
  </si>
  <si>
    <t>KELLY</t>
  </si>
  <si>
    <t>I-1351</t>
  </si>
  <si>
    <t>5/13/2018</t>
  </si>
  <si>
    <t>EMILY</t>
  </si>
  <si>
    <t>BRIERLEY</t>
  </si>
  <si>
    <t>I-1360</t>
  </si>
  <si>
    <t>10/23/2015</t>
  </si>
  <si>
    <t>ERNIE</t>
  </si>
  <si>
    <t>I-1362</t>
  </si>
  <si>
    <t>HAROLD</t>
  </si>
  <si>
    <t>LUNN</t>
  </si>
  <si>
    <t>I-1369</t>
  </si>
  <si>
    <t>RYAN</t>
  </si>
  <si>
    <t>GOAD</t>
  </si>
  <si>
    <t>I-1372</t>
  </si>
  <si>
    <t>11/27/2017</t>
  </si>
  <si>
    <t>TERENCE</t>
  </si>
  <si>
    <t>I-1374</t>
  </si>
  <si>
    <t>CATHERINE</t>
  </si>
  <si>
    <t>RAHMAN</t>
  </si>
  <si>
    <t>I-1376</t>
  </si>
  <si>
    <t>2/16/2014</t>
  </si>
  <si>
    <t>ELLEN</t>
  </si>
  <si>
    <t>LILLIE</t>
  </si>
  <si>
    <t>I-1379</t>
  </si>
  <si>
    <t>EMMA</t>
  </si>
  <si>
    <t>GIBBONS</t>
  </si>
  <si>
    <t>I-1388</t>
  </si>
  <si>
    <t>MARCUS</t>
  </si>
  <si>
    <t>I-1397</t>
  </si>
  <si>
    <t>11/28/2015</t>
  </si>
  <si>
    <t>KAREN</t>
  </si>
  <si>
    <t>HOPEWELL</t>
  </si>
  <si>
    <t>I-1402</t>
  </si>
  <si>
    <t>4/20/2017</t>
  </si>
  <si>
    <t>GOLAM</t>
  </si>
  <si>
    <t>REID</t>
  </si>
  <si>
    <t>I-1407</t>
  </si>
  <si>
    <t>8/13/2018</t>
  </si>
  <si>
    <t>MISHRA</t>
  </si>
  <si>
    <t>I-1420</t>
  </si>
  <si>
    <t>11/14/2017</t>
  </si>
  <si>
    <t>DENNING</t>
  </si>
  <si>
    <t>I-1437</t>
  </si>
  <si>
    <t>7/22/2017</t>
  </si>
  <si>
    <t>JASON</t>
  </si>
  <si>
    <t>EDMUND</t>
  </si>
  <si>
    <t>I-1438</t>
  </si>
  <si>
    <t>8/24/2017</t>
  </si>
  <si>
    <t>MELANIE</t>
  </si>
  <si>
    <t>FLETCHER</t>
  </si>
  <si>
    <t>I-1447</t>
  </si>
  <si>
    <t>JODIE</t>
  </si>
  <si>
    <t>FAIRHURST</t>
  </si>
  <si>
    <t>I-1455</t>
  </si>
  <si>
    <t>KYLE</t>
  </si>
  <si>
    <t>ANDERSON</t>
  </si>
  <si>
    <t>I-1460</t>
  </si>
  <si>
    <t>7/23/2017</t>
  </si>
  <si>
    <t>MAUREEN</t>
  </si>
  <si>
    <t>I-1488</t>
  </si>
  <si>
    <t>8/19/2018</t>
  </si>
  <si>
    <t>ALICE</t>
  </si>
  <si>
    <t>CANNING</t>
  </si>
  <si>
    <t>I-1492</t>
  </si>
  <si>
    <t>5/19/2014</t>
  </si>
  <si>
    <t>JEREMY</t>
  </si>
  <si>
    <t>I-1496</t>
  </si>
  <si>
    <t>JORDAN</t>
  </si>
  <si>
    <t>ANDREWS</t>
  </si>
  <si>
    <t>I-1498</t>
  </si>
  <si>
    <t>HELEN</t>
  </si>
  <si>
    <t>WATT</t>
  </si>
  <si>
    <t>I-1548</t>
  </si>
  <si>
    <t>12/19/2018</t>
  </si>
  <si>
    <t>MATTHEW</t>
  </si>
  <si>
    <t>CROWE</t>
  </si>
  <si>
    <t>I-1577</t>
  </si>
  <si>
    <t>ROSE</t>
  </si>
  <si>
    <t>ROWNTREE</t>
  </si>
  <si>
    <t>I-1579</t>
  </si>
  <si>
    <t>GEORGE</t>
  </si>
  <si>
    <t>STEVENSON</t>
  </si>
  <si>
    <t>I-1605</t>
  </si>
  <si>
    <t>4/30/2016</t>
  </si>
  <si>
    <t>OLIVE</t>
  </si>
  <si>
    <t>FOSTER</t>
  </si>
  <si>
    <t>I-1606</t>
  </si>
  <si>
    <t>5/15/2014</t>
  </si>
  <si>
    <t>JONATHAN</t>
  </si>
  <si>
    <t>WILL</t>
  </si>
  <si>
    <t>I-1621</t>
  </si>
  <si>
    <t>3/16/2016</t>
  </si>
  <si>
    <t>SUZANNA</t>
  </si>
  <si>
    <t>I-1631</t>
  </si>
  <si>
    <t>LUCY</t>
  </si>
  <si>
    <t>DOWNS</t>
  </si>
  <si>
    <t>I-1633</t>
  </si>
  <si>
    <t>AUSTIN</t>
  </si>
  <si>
    <t>I-1636</t>
  </si>
  <si>
    <t>JESUS</t>
  </si>
  <si>
    <t>TIMMINS</t>
  </si>
  <si>
    <t>I-1645</t>
  </si>
  <si>
    <t>IFTIKHAR</t>
  </si>
  <si>
    <t>HAYWOOD</t>
  </si>
  <si>
    <t>I-1661</t>
  </si>
  <si>
    <t>AMELIA</t>
  </si>
  <si>
    <t>SCOTT</t>
  </si>
  <si>
    <t>I-1682</t>
  </si>
  <si>
    <t>DIANE</t>
  </si>
  <si>
    <t>BATTY</t>
  </si>
  <si>
    <t>I-1689</t>
  </si>
  <si>
    <t>FRANK</t>
  </si>
  <si>
    <t>I-1692</t>
  </si>
  <si>
    <t>8/29/2016</t>
  </si>
  <si>
    <t>NOEL</t>
  </si>
  <si>
    <t>BULL</t>
  </si>
  <si>
    <t>I-1697</t>
  </si>
  <si>
    <t>1/28/2016</t>
  </si>
  <si>
    <t>LLOYD</t>
  </si>
  <si>
    <t>NORTON</t>
  </si>
  <si>
    <t>I-1744</t>
  </si>
  <si>
    <t>FRANCES</t>
  </si>
  <si>
    <t>WELLER</t>
  </si>
  <si>
    <t>I-1749</t>
  </si>
  <si>
    <t>6/17/2017</t>
  </si>
  <si>
    <t>PHILLIP</t>
  </si>
  <si>
    <t>CLARKE</t>
  </si>
  <si>
    <t>I-1789</t>
  </si>
  <si>
    <t>9/21/2014</t>
  </si>
  <si>
    <t>RON</t>
  </si>
  <si>
    <t>GOODMAN</t>
  </si>
  <si>
    <t>I-1791</t>
  </si>
  <si>
    <t>SAFFRON</t>
  </si>
  <si>
    <t>CRUSE</t>
  </si>
  <si>
    <t>I-1799</t>
  </si>
  <si>
    <t>2/24/2015</t>
  </si>
  <si>
    <t>FATIMA</t>
  </si>
  <si>
    <t>I-1812</t>
  </si>
  <si>
    <t>12/22/2018</t>
  </si>
  <si>
    <t>RORY</t>
  </si>
  <si>
    <t>BULLION</t>
  </si>
  <si>
    <t>I-1826</t>
  </si>
  <si>
    <t>KETAN</t>
  </si>
  <si>
    <t>I-1859</t>
  </si>
  <si>
    <t>7/28/2017</t>
  </si>
  <si>
    <t>BALJINDER</t>
  </si>
  <si>
    <t>I-1887</t>
  </si>
  <si>
    <t>APRIL</t>
  </si>
  <si>
    <t>CHILDS</t>
  </si>
  <si>
    <t>I-1941</t>
  </si>
  <si>
    <t>10/31/2018</t>
  </si>
  <si>
    <t>DELL</t>
  </si>
  <si>
    <t>LOCKWOOD</t>
  </si>
  <si>
    <t>I-1949</t>
  </si>
  <si>
    <t>6/21/2017</t>
  </si>
  <si>
    <t>RUSSELL</t>
  </si>
  <si>
    <t>THORLEY</t>
  </si>
  <si>
    <t>I-1965</t>
  </si>
  <si>
    <t>JOHANNA</t>
  </si>
  <si>
    <t>COLLINS</t>
  </si>
  <si>
    <t>I-1980</t>
  </si>
  <si>
    <t>2/27/2014</t>
  </si>
  <si>
    <t>SELWYN</t>
  </si>
  <si>
    <t>KITCHING</t>
  </si>
  <si>
    <t>I-1999</t>
  </si>
  <si>
    <t>CAROL</t>
  </si>
  <si>
    <t>CORMACK</t>
  </si>
  <si>
    <t>I-2087</t>
  </si>
  <si>
    <t>ALASTAIR</t>
  </si>
  <si>
    <t>MILLS</t>
  </si>
  <si>
    <t>I-2159</t>
  </si>
  <si>
    <t>KEITH</t>
  </si>
  <si>
    <t>DRAGE</t>
  </si>
  <si>
    <t>I-2218</t>
  </si>
  <si>
    <t>SANDRA</t>
  </si>
  <si>
    <t>REW</t>
  </si>
  <si>
    <t>I-2610</t>
  </si>
  <si>
    <t>1/18/2015</t>
  </si>
  <si>
    <t>TOM</t>
  </si>
  <si>
    <t>I-2767</t>
  </si>
  <si>
    <t>Vancouver</t>
  </si>
  <si>
    <t>BRIAN</t>
  </si>
  <si>
    <t>I-2774</t>
  </si>
  <si>
    <t>SAVITA</t>
  </si>
  <si>
    <t>SIMPSON</t>
  </si>
  <si>
    <t>I-2837</t>
  </si>
  <si>
    <t>SOPHIE</t>
  </si>
  <si>
    <t>PETERSEN</t>
  </si>
  <si>
    <t>I-2864</t>
  </si>
  <si>
    <t>8/18/2014</t>
  </si>
  <si>
    <t>ANDI</t>
  </si>
  <si>
    <t>LIU</t>
  </si>
  <si>
    <t>I-2959</t>
  </si>
  <si>
    <t>SHARON</t>
  </si>
  <si>
    <t>HUBBLE</t>
  </si>
  <si>
    <t>I-3055</t>
  </si>
  <si>
    <t>11/20/2018</t>
  </si>
  <si>
    <t>MAXINE</t>
  </si>
  <si>
    <t>STOCKDALE</t>
  </si>
  <si>
    <t>I-3227</t>
  </si>
  <si>
    <t>JULIE</t>
  </si>
  <si>
    <t>Con-Reg</t>
  </si>
  <si>
    <t>Russia||EMEA</t>
  </si>
  <si>
    <t>Split both the country and region and fill the columns</t>
  </si>
  <si>
    <t>Canada||NA</t>
  </si>
  <si>
    <t>Brazil||LATAM</t>
  </si>
  <si>
    <t>Turkey||EMEA</t>
  </si>
  <si>
    <t>Australia||APAC</t>
  </si>
  <si>
    <t>China||APAC</t>
  </si>
  <si>
    <t>Peru||LATAM</t>
  </si>
  <si>
    <t>Mexico||LATAM</t>
  </si>
  <si>
    <t>UK||EMEA</t>
  </si>
  <si>
    <t>Saudi Arabia||EMEA</t>
  </si>
  <si>
    <t>Thailand||APAC</t>
  </si>
  <si>
    <t>India||APAC</t>
  </si>
  <si>
    <t>Vietnam||APAC</t>
  </si>
  <si>
    <t>Israel||EMEA</t>
  </si>
  <si>
    <t>Greece||EMEA</t>
  </si>
  <si>
    <t>Japan||APAC</t>
  </si>
  <si>
    <t>Czech Republic||EMEA</t>
  </si>
  <si>
    <t>South Africa||EMEA</t>
  </si>
  <si>
    <t>USA||NA</t>
  </si>
  <si>
    <t>South Korea||APAC</t>
  </si>
  <si>
    <t>Germany||EMEA</t>
  </si>
  <si>
    <t>France||EMEA</t>
  </si>
  <si>
    <t>Italy||EMEA</t>
  </si>
  <si>
    <t>Poland||EMEA</t>
  </si>
  <si>
    <t>Netherlands||EMEA</t>
  </si>
  <si>
    <t>Ireland||EMEA</t>
  </si>
  <si>
    <t>Colombia||LATAM</t>
  </si>
  <si>
    <t>Argentina||LATAM</t>
  </si>
  <si>
    <t>Spain||EMEA</t>
  </si>
  <si>
    <t>Austria||EMEA</t>
  </si>
  <si>
    <t>Egypt||EMEA</t>
  </si>
  <si>
    <t>Malaysia||APAC</t>
  </si>
  <si>
    <t>Romania||EMEA</t>
  </si>
  <si>
    <t>UAE||EMEA</t>
  </si>
  <si>
    <t>Chile||LATAM</t>
  </si>
  <si>
    <t>calculate the aggregate functions of the actual price and round the values with 2 decimals</t>
  </si>
  <si>
    <t>I-1006</t>
  </si>
  <si>
    <t>Total</t>
  </si>
  <si>
    <t>Count</t>
  </si>
  <si>
    <t>Average</t>
  </si>
  <si>
    <t>Min</t>
  </si>
  <si>
    <t>Max</t>
  </si>
  <si>
    <t>For each region calculate the Average of actual price of all the the listed items</t>
  </si>
  <si>
    <r>
      <rPr>
        <sz val="11"/>
        <color theme="1"/>
        <rFont val="Calibri"/>
      </rPr>
      <t xml:space="preserve">lookup the values of items and Actual price of each sales person from the previous sheet using </t>
    </r>
    <r>
      <rPr>
        <b/>
        <sz val="11"/>
        <color theme="1"/>
        <rFont val="Calibri"/>
      </rPr>
      <t>Vlookup and index,match</t>
    </r>
  </si>
  <si>
    <t>Where ever you don’t find the value fill it with not found</t>
  </si>
  <si>
    <t>Using Vlookup</t>
  </si>
  <si>
    <t>Using Match and Index</t>
  </si>
  <si>
    <t>Salesperson</t>
  </si>
  <si>
    <t>May Wilmot</t>
  </si>
  <si>
    <t>David Shiner</t>
  </si>
  <si>
    <t>Gary Reynolds</t>
  </si>
  <si>
    <t>Mark Buntai</t>
  </si>
  <si>
    <t>Mark Buntain</t>
  </si>
  <si>
    <t>Christine Davies</t>
  </si>
  <si>
    <t>Gary Shaw</t>
  </si>
  <si>
    <t>Christopher Cresswell</t>
  </si>
  <si>
    <t>Gillian Allnutt</t>
  </si>
  <si>
    <t>Francis Godden</t>
  </si>
  <si>
    <t>Francis Godde</t>
  </si>
  <si>
    <t>Danny Brooks</t>
  </si>
  <si>
    <t>John Jenkins</t>
  </si>
  <si>
    <t>Richard Allnutt</t>
  </si>
  <si>
    <t>Tessa Morrow</t>
  </si>
  <si>
    <t>James Ricketts</t>
  </si>
  <si>
    <t>Susan Dixon</t>
  </si>
  <si>
    <t>Thomas Gordon</t>
  </si>
  <si>
    <t>David Walker</t>
  </si>
  <si>
    <t>Robin Hall</t>
  </si>
  <si>
    <t>Kenneth Walter</t>
  </si>
  <si>
    <t>Sales Person</t>
  </si>
  <si>
    <t>Concate the values of First name and last name from data table in sales person column</t>
  </si>
  <si>
    <t>Create a data validation in cell C4 to create a Drop down list of Sales Person</t>
  </si>
  <si>
    <t xml:space="preserve">Lookup the value of the sales person and which contry they belong to </t>
  </si>
  <si>
    <t xml:space="preserve">Create a data validation rule of drop down for sales person and Items and Lookup the value of Actual Price </t>
  </si>
  <si>
    <t>total_actual_price</t>
  </si>
  <si>
    <t>category</t>
  </si>
  <si>
    <t>Proper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</si>
</sst>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1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0000"/>
      <name val="Calibri"/>
    </font>
    <font>
      <b/>
      <sz val="14"/>
      <color rgb="FF000000"/>
      <name val="Calibri"/>
    </font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theme="1"/>
      <name val="Calibri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D6DCE4"/>
        <bgColor rgb="FFD6DCE4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3" fillId="0" borderId="0" xfId="0" applyFont="1"/>
    <xf numFmtId="10" fontId="3" fillId="0" borderId="0" xfId="0" applyNumberFormat="1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/>
    <xf numFmtId="0" fontId="6" fillId="2" borderId="2" xfId="0" applyFont="1" applyFill="1" applyBorder="1"/>
    <xf numFmtId="0" fontId="3" fillId="3" borderId="1" xfId="0" applyFont="1" applyFill="1" applyBorder="1"/>
    <xf numFmtId="0" fontId="7" fillId="3" borderId="2" xfId="0" applyFont="1" applyFill="1" applyBorder="1"/>
    <xf numFmtId="0" fontId="8" fillId="0" borderId="2" xfId="0" applyFont="1" applyBorder="1"/>
    <xf numFmtId="0" fontId="6" fillId="0" borderId="0" xfId="0" applyFont="1"/>
    <xf numFmtId="0" fontId="8" fillId="0" borderId="3" xfId="0" applyFont="1" applyBorder="1"/>
    <xf numFmtId="0" fontId="6" fillId="4" borderId="2" xfId="0" applyFont="1" applyFill="1" applyBorder="1"/>
    <xf numFmtId="0" fontId="7" fillId="4" borderId="2" xfId="0" applyFont="1" applyFill="1" applyBorder="1"/>
    <xf numFmtId="0" fontId="3" fillId="0" borderId="2" xfId="0" applyFont="1" applyBorder="1"/>
    <xf numFmtId="0" fontId="8" fillId="5" borderId="2" xfId="0" applyFont="1" applyFill="1" applyBorder="1"/>
    <xf numFmtId="0" fontId="7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9" fillId="0" borderId="7" xfId="0" applyFont="1" applyBorder="1"/>
    <xf numFmtId="0" fontId="7" fillId="5" borderId="3" xfId="0" applyFont="1" applyFill="1" applyBorder="1" applyAlignment="1">
      <alignment horizontal="center"/>
    </xf>
    <xf numFmtId="0" fontId="9" fillId="0" borderId="5" xfId="0" applyFont="1" applyBorder="1"/>
    <xf numFmtId="0" fontId="9" fillId="0" borderId="6" xfId="0" applyFont="1" applyBorder="1"/>
    <xf numFmtId="0" fontId="6" fillId="6" borderId="3" xfId="0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4" fontId="3" fillId="0" borderId="0" xfId="0" applyNumberFormat="1" applyFont="1"/>
    <xf numFmtId="164" fontId="0" fillId="0" borderId="0" xfId="0" applyNumberFormat="1"/>
    <xf numFmtId="1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7" borderId="0" xfId="0" applyFont="1" applyFill="1"/>
    <xf numFmtId="0" fontId="3" fillId="7" borderId="0" xfId="0" applyFont="1" applyFill="1"/>
    <xf numFmtId="0" fontId="3" fillId="7" borderId="0" xfId="0" applyFont="1" applyFill="1" applyAlignment="1">
      <alignment horizontal="left"/>
    </xf>
    <xf numFmtId="164" fontId="3" fillId="7" borderId="0" xfId="0" applyNumberFormat="1" applyFont="1" applyFill="1"/>
  </cellXfs>
  <cellStyles count="1">
    <cellStyle name="Normal" xfId="0" builtinId="0"/>
  </cellStyles>
  <dxfs count="21"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14" formatCode="0.00%"/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14" formatCode="0.00%"/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14" formatCode="0.00%"/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numFmt numFmtId="14" formatCode="0.00%"/>
      <fill>
        <patternFill>
          <bgColor rgb="FFFFFF00"/>
        </patternFill>
      </fill>
    </dxf>
    <dxf>
      <fill>
        <patternFill>
          <bgColor rgb="FFFF0000"/>
        </patternFill>
      </fill>
    </dxf>
    <dxf>
      <numFmt numFmtId="14" formatCode="0.00%"/>
      <fill>
        <patternFill>
          <bgColor rgb="FFFFFF00"/>
        </patternFill>
      </fill>
    </dxf>
    <dxf>
      <fill>
        <patternFill>
          <bgColor rgb="FFFF0000"/>
        </patternFill>
      </fill>
    </dxf>
    <dxf>
      <numFmt numFmtId="14" formatCode="0.00%"/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304800</xdr:colOff>
      <xdr:row>1</xdr:row>
      <xdr:rowOff>47625</xdr:rowOff>
    </xdr:from>
    <xdr:ext cx="3657600" cy="25908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521963" y="2489363"/>
          <a:ext cx="3648075" cy="258127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lang="en-US" sz="1200" b="1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1) Change all the columns in proper formats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lang="en-US" sz="1200" b="1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2) Change the actual price to Rupees.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lang="en-US" sz="1200" b="1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3) Highlight the row which has 50 or more than 50% discount.</a:t>
          </a: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lang="en-US" sz="1200" b="1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4) Highlight the rows  which are having 0% Discount.</a:t>
          </a: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lang="en-US" sz="1200" b="1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5) Calculate the total Actual price.</a:t>
          </a: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lang="en-US" sz="1200" b="1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6) Create a column category where you have actual price more than 500 as Expensive and remaining as inexpensive</a:t>
          </a: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7) Create a new sales person column and combine the first name and last name columns</a:t>
          </a:r>
          <a:endParaRPr sz="12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8) change the salesperson column to proper case.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abSelected="1" topLeftCell="E1" zoomScaleNormal="100" workbookViewId="0">
      <selection activeCell="O17" sqref="O17"/>
    </sheetView>
  </sheetViews>
  <sheetFormatPr defaultColWidth="14.44140625" defaultRowHeight="15" customHeight="1"/>
  <cols>
    <col min="1" max="1" width="10.5546875" customWidth="1"/>
    <col min="2" max="4" width="8.6640625" customWidth="1"/>
    <col min="5" max="5" width="12" style="32" customWidth="1"/>
    <col min="6" max="6" width="14.88671875" customWidth="1"/>
    <col min="7" max="7" width="12" customWidth="1"/>
    <col min="8" max="8" width="13.33203125" customWidth="1"/>
    <col min="9" max="9" width="8.6640625" customWidth="1"/>
    <col min="10" max="10" width="8.6640625" style="29" customWidth="1"/>
    <col min="11" max="11" width="10.6640625" customWidth="1"/>
    <col min="12" max="12" width="18.44140625" customWidth="1"/>
    <col min="13" max="13" width="11.44140625" customWidth="1"/>
    <col min="14" max="17" width="8.6640625" customWidth="1"/>
    <col min="18" max="18" width="17" customWidth="1"/>
    <col min="19" max="19" width="10" customWidth="1"/>
    <col min="20" max="21" width="8.6640625" customWidth="1"/>
    <col min="22" max="22" width="23.77734375" customWidth="1"/>
    <col min="23" max="23" width="8.6640625" customWidth="1"/>
    <col min="24" max="24" width="22.21875" customWidth="1"/>
    <col min="25" max="26" width="8.6640625" customWidth="1"/>
  </cols>
  <sheetData>
    <row r="1" spans="1:24" ht="14.4">
      <c r="A1" s="33" t="s">
        <v>0</v>
      </c>
      <c r="B1" s="34" t="s">
        <v>1</v>
      </c>
      <c r="C1" s="34" t="s">
        <v>2</v>
      </c>
      <c r="D1" s="34" t="s">
        <v>3</v>
      </c>
      <c r="E1" s="35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6" t="s">
        <v>9</v>
      </c>
      <c r="K1" s="34" t="s">
        <v>10</v>
      </c>
    </row>
    <row r="2" spans="1:24" ht="14.4">
      <c r="A2" s="1" t="s">
        <v>11</v>
      </c>
      <c r="B2" s="2" t="s">
        <v>12</v>
      </c>
      <c r="C2" s="2" t="s">
        <v>13</v>
      </c>
      <c r="D2" s="2" t="s">
        <v>14</v>
      </c>
      <c r="E2" s="30">
        <v>43379</v>
      </c>
      <c r="F2" s="2" t="s">
        <v>15</v>
      </c>
      <c r="G2" s="1" t="s">
        <v>16</v>
      </c>
      <c r="H2" s="1" t="s">
        <v>17</v>
      </c>
      <c r="I2" s="2">
        <v>80</v>
      </c>
      <c r="J2" s="28">
        <v>79</v>
      </c>
      <c r="K2" s="3">
        <v>1.2500000000000001E-2</v>
      </c>
    </row>
    <row r="3" spans="1:24" ht="14.4">
      <c r="A3" s="1" t="s">
        <v>18</v>
      </c>
      <c r="B3" s="2" t="s">
        <v>19</v>
      </c>
      <c r="C3" s="2" t="s">
        <v>20</v>
      </c>
      <c r="D3" s="2" t="s">
        <v>21</v>
      </c>
      <c r="E3" s="31" t="s">
        <v>22</v>
      </c>
      <c r="F3" s="2" t="s">
        <v>15</v>
      </c>
      <c r="G3" s="1" t="s">
        <v>23</v>
      </c>
      <c r="H3" s="1" t="s">
        <v>24</v>
      </c>
      <c r="I3" s="2">
        <v>80</v>
      </c>
      <c r="J3" s="28">
        <v>54</v>
      </c>
      <c r="K3" s="3">
        <v>0.32500000000000001</v>
      </c>
      <c r="S3" s="27"/>
      <c r="T3" s="27"/>
    </row>
    <row r="4" spans="1:24" ht="18">
      <c r="A4" s="1" t="s">
        <v>25</v>
      </c>
      <c r="B4" s="2" t="s">
        <v>26</v>
      </c>
      <c r="C4" s="2" t="s">
        <v>27</v>
      </c>
      <c r="D4" s="2" t="s">
        <v>28</v>
      </c>
      <c r="E4" s="30">
        <v>42828</v>
      </c>
      <c r="F4" s="2" t="s">
        <v>29</v>
      </c>
      <c r="G4" s="1" t="s">
        <v>30</v>
      </c>
      <c r="H4" s="1" t="s">
        <v>31</v>
      </c>
      <c r="I4" s="2">
        <v>700</v>
      </c>
      <c r="J4" s="28">
        <v>686</v>
      </c>
      <c r="K4" s="3">
        <v>0.02</v>
      </c>
      <c r="O4" s="4"/>
      <c r="R4" s="25" t="s">
        <v>893</v>
      </c>
      <c r="S4" s="28" t="s">
        <v>9</v>
      </c>
      <c r="T4" t="s">
        <v>894</v>
      </c>
      <c r="V4" s="26" t="s">
        <v>888</v>
      </c>
      <c r="X4" s="26" t="s">
        <v>895</v>
      </c>
    </row>
    <row r="5" spans="1:24" ht="18">
      <c r="A5" s="1" t="s">
        <v>32</v>
      </c>
      <c r="B5" s="2" t="s">
        <v>33</v>
      </c>
      <c r="C5" s="2" t="s">
        <v>34</v>
      </c>
      <c r="D5" s="2" t="s">
        <v>14</v>
      </c>
      <c r="E5" s="31" t="s">
        <v>35</v>
      </c>
      <c r="F5" s="2" t="s">
        <v>36</v>
      </c>
      <c r="G5" s="1" t="s">
        <v>37</v>
      </c>
      <c r="H5" s="1" t="s">
        <v>38</v>
      </c>
      <c r="I5" s="2">
        <v>150</v>
      </c>
      <c r="J5" s="28">
        <v>137</v>
      </c>
      <c r="K5" s="3">
        <v>8.6699999999999999E-2</v>
      </c>
      <c r="O5" s="4"/>
      <c r="R5">
        <f>SUM(J2:J211)</f>
        <v>58048</v>
      </c>
      <c r="S5" s="28">
        <v>79</v>
      </c>
      <c r="T5" t="str">
        <f>IF(S5&gt;500,"Expensive","Inexpesive")</f>
        <v>Inexpesive</v>
      </c>
      <c r="V5" t="str">
        <f>_xlfn.CONCAT(G2," ",H2)</f>
        <v>MAY WILMOT</v>
      </c>
      <c r="X5" t="str">
        <f>PROPER(V5)</f>
        <v>May Wilmot</v>
      </c>
    </row>
    <row r="6" spans="1:24" ht="18">
      <c r="A6" s="1" t="s">
        <v>39</v>
      </c>
      <c r="B6" s="2" t="s">
        <v>40</v>
      </c>
      <c r="C6" s="2" t="s">
        <v>41</v>
      </c>
      <c r="D6" s="2" t="s">
        <v>42</v>
      </c>
      <c r="E6" s="30">
        <v>42066</v>
      </c>
      <c r="F6" s="2" t="s">
        <v>43</v>
      </c>
      <c r="G6" s="1" t="s">
        <v>44</v>
      </c>
      <c r="H6" s="1" t="s">
        <v>45</v>
      </c>
      <c r="I6" s="2">
        <v>50</v>
      </c>
      <c r="J6" s="28">
        <v>37</v>
      </c>
      <c r="K6" s="3">
        <v>0.26</v>
      </c>
      <c r="O6" s="4"/>
      <c r="S6" s="28">
        <v>54</v>
      </c>
      <c r="T6" t="str">
        <f t="shared" ref="T6:T69" si="0">IF(S6&gt;500,"Expensive","Inexpesive")</f>
        <v>Inexpesive</v>
      </c>
      <c r="V6" t="str">
        <f>_xlfn.CONCAT(G3," ",H3)</f>
        <v>DAVID SHINER</v>
      </c>
      <c r="X6" t="str">
        <f t="shared" ref="X6:X69" si="1">PROPER(V6)</f>
        <v>David Shiner</v>
      </c>
    </row>
    <row r="7" spans="1:24" ht="18">
      <c r="A7" s="1" t="s">
        <v>46</v>
      </c>
      <c r="B7" s="2" t="s">
        <v>47</v>
      </c>
      <c r="C7" s="2" t="s">
        <v>48</v>
      </c>
      <c r="D7" s="2" t="s">
        <v>28</v>
      </c>
      <c r="E7" s="30">
        <v>42527</v>
      </c>
      <c r="F7" s="2" t="s">
        <v>49</v>
      </c>
      <c r="G7" s="1" t="s">
        <v>50</v>
      </c>
      <c r="H7" s="1" t="s">
        <v>51</v>
      </c>
      <c r="I7" s="2">
        <v>500</v>
      </c>
      <c r="J7" s="28">
        <v>465</v>
      </c>
      <c r="K7" s="3">
        <v>7.0000000000000007E-2</v>
      </c>
      <c r="O7" s="4"/>
      <c r="S7" s="28">
        <v>686</v>
      </c>
      <c r="T7" t="str">
        <f t="shared" si="0"/>
        <v>Expensive</v>
      </c>
      <c r="V7" t="str">
        <f>_xlfn.CONCAT(G4," ",H4)</f>
        <v>GARY REYNOLDS</v>
      </c>
      <c r="X7" t="str">
        <f t="shared" si="1"/>
        <v>Gary Reynolds</v>
      </c>
    </row>
    <row r="8" spans="1:24" ht="18">
      <c r="A8" s="1" t="s">
        <v>52</v>
      </c>
      <c r="B8" s="2" t="s">
        <v>53</v>
      </c>
      <c r="C8" s="2" t="s">
        <v>54</v>
      </c>
      <c r="D8" s="2" t="s">
        <v>28</v>
      </c>
      <c r="E8" s="30">
        <v>42528</v>
      </c>
      <c r="F8" s="2" t="s">
        <v>55</v>
      </c>
      <c r="G8" s="1" t="s">
        <v>56</v>
      </c>
      <c r="H8" s="1" t="s">
        <v>57</v>
      </c>
      <c r="I8" s="2">
        <v>30</v>
      </c>
      <c r="J8" s="28">
        <v>28</v>
      </c>
      <c r="K8" s="3">
        <v>6.6699999999999995E-2</v>
      </c>
      <c r="O8" s="4"/>
      <c r="S8" s="28">
        <v>137</v>
      </c>
      <c r="T8" t="str">
        <f t="shared" si="0"/>
        <v>Inexpesive</v>
      </c>
      <c r="V8" t="str">
        <f>_xlfn.CONCAT(G5," ",H5)</f>
        <v>MARK BUNTAIN</v>
      </c>
      <c r="X8" t="str">
        <f t="shared" si="1"/>
        <v>Mark Buntain</v>
      </c>
    </row>
    <row r="9" spans="1:24" ht="14.4">
      <c r="A9" s="1" t="s">
        <v>58</v>
      </c>
      <c r="B9" s="2" t="s">
        <v>59</v>
      </c>
      <c r="C9" s="2" t="s">
        <v>60</v>
      </c>
      <c r="D9" s="2" t="s">
        <v>14</v>
      </c>
      <c r="E9" s="30">
        <v>42349</v>
      </c>
      <c r="F9" s="2" t="s">
        <v>61</v>
      </c>
      <c r="G9" s="1" t="s">
        <v>62</v>
      </c>
      <c r="H9" s="1" t="s">
        <v>63</v>
      </c>
      <c r="I9" s="2">
        <v>800</v>
      </c>
      <c r="J9" s="28">
        <v>760</v>
      </c>
      <c r="K9" s="3">
        <v>0.05</v>
      </c>
      <c r="S9" s="28">
        <v>37</v>
      </c>
      <c r="T9" t="str">
        <f t="shared" si="0"/>
        <v>Inexpesive</v>
      </c>
      <c r="V9" t="str">
        <f>_xlfn.CONCAT(G6," ",H6)</f>
        <v>CHRISTINE DAVIES</v>
      </c>
      <c r="X9" t="str">
        <f t="shared" si="1"/>
        <v>Christine Davies</v>
      </c>
    </row>
    <row r="10" spans="1:24" ht="14.4">
      <c r="A10" s="1" t="s">
        <v>64</v>
      </c>
      <c r="B10" s="2" t="s">
        <v>65</v>
      </c>
      <c r="C10" s="2" t="s">
        <v>66</v>
      </c>
      <c r="D10" s="2" t="s">
        <v>14</v>
      </c>
      <c r="E10" s="30">
        <v>43015</v>
      </c>
      <c r="F10" s="2" t="s">
        <v>67</v>
      </c>
      <c r="G10" s="1" t="s">
        <v>68</v>
      </c>
      <c r="H10" s="1" t="s">
        <v>69</v>
      </c>
      <c r="I10" s="2">
        <v>1000</v>
      </c>
      <c r="J10" s="28">
        <v>500</v>
      </c>
      <c r="K10" s="3">
        <v>0.5</v>
      </c>
      <c r="S10" s="28">
        <v>465</v>
      </c>
      <c r="T10" t="str">
        <f t="shared" si="0"/>
        <v>Inexpesive</v>
      </c>
      <c r="V10" t="str">
        <f>_xlfn.CONCAT(G7," ",H7)</f>
        <v>CHRISTOPHER CRESSWELL</v>
      </c>
      <c r="X10" t="str">
        <f t="shared" si="1"/>
        <v>Christopher Cresswell</v>
      </c>
    </row>
    <row r="11" spans="1:24" ht="14.4">
      <c r="A11" s="1" t="s">
        <v>70</v>
      </c>
      <c r="B11" s="2" t="s">
        <v>71</v>
      </c>
      <c r="C11" s="2" t="s">
        <v>72</v>
      </c>
      <c r="D11" s="2" t="s">
        <v>42</v>
      </c>
      <c r="E11" s="31" t="s">
        <v>73</v>
      </c>
      <c r="F11" s="2" t="s">
        <v>29</v>
      </c>
      <c r="G11" s="1" t="s">
        <v>74</v>
      </c>
      <c r="H11" s="1" t="s">
        <v>75</v>
      </c>
      <c r="I11" s="2">
        <v>700</v>
      </c>
      <c r="J11" s="28">
        <v>679</v>
      </c>
      <c r="K11" s="3">
        <v>0.03</v>
      </c>
      <c r="S11" s="28">
        <v>28</v>
      </c>
      <c r="T11" t="str">
        <f t="shared" si="0"/>
        <v>Inexpesive</v>
      </c>
      <c r="V11" t="str">
        <f>_xlfn.CONCAT(G8," ",H8)</f>
        <v>GILLIAN ALLNUTT</v>
      </c>
      <c r="X11" t="str">
        <f t="shared" si="1"/>
        <v>Gillian Allnutt</v>
      </c>
    </row>
    <row r="12" spans="1:24" ht="14.4">
      <c r="A12" s="1" t="s">
        <v>76</v>
      </c>
      <c r="B12" s="2" t="s">
        <v>53</v>
      </c>
      <c r="C12" s="2" t="s">
        <v>54</v>
      </c>
      <c r="D12" s="2" t="s">
        <v>28</v>
      </c>
      <c r="E12" s="30">
        <v>42072</v>
      </c>
      <c r="F12" s="2" t="s">
        <v>55</v>
      </c>
      <c r="G12" s="1" t="s">
        <v>77</v>
      </c>
      <c r="H12" s="1" t="s">
        <v>57</v>
      </c>
      <c r="I12" s="2">
        <v>30</v>
      </c>
      <c r="J12" s="28">
        <v>28</v>
      </c>
      <c r="K12" s="3">
        <v>6.6699999999999995E-2</v>
      </c>
      <c r="S12" s="28">
        <v>760</v>
      </c>
      <c r="T12" t="str">
        <f t="shared" si="0"/>
        <v>Expensive</v>
      </c>
      <c r="V12" t="str">
        <f>_xlfn.CONCAT(G9," ",H9)</f>
        <v>FRANCIS GODDEN</v>
      </c>
      <c r="X12" t="str">
        <f t="shared" si="1"/>
        <v>Francis Godden</v>
      </c>
    </row>
    <row r="13" spans="1:24" ht="14.4">
      <c r="A13" s="1" t="s">
        <v>78</v>
      </c>
      <c r="B13" s="2" t="s">
        <v>79</v>
      </c>
      <c r="C13" s="2" t="s">
        <v>80</v>
      </c>
      <c r="D13" s="2" t="s">
        <v>42</v>
      </c>
      <c r="E13" s="31" t="s">
        <v>81</v>
      </c>
      <c r="F13" s="2" t="s">
        <v>82</v>
      </c>
      <c r="G13" s="1" t="s">
        <v>83</v>
      </c>
      <c r="H13" s="1" t="s">
        <v>84</v>
      </c>
      <c r="I13" s="2">
        <v>500</v>
      </c>
      <c r="J13" s="28">
        <v>490</v>
      </c>
      <c r="K13" s="3">
        <v>0.02</v>
      </c>
      <c r="S13" s="28">
        <v>500</v>
      </c>
      <c r="T13" t="str">
        <f t="shared" si="0"/>
        <v>Inexpesive</v>
      </c>
      <c r="V13" t="str">
        <f>_xlfn.CONCAT(G10," ",H10)</f>
        <v>DANNY BROOKS</v>
      </c>
      <c r="X13" t="str">
        <f t="shared" si="1"/>
        <v>Danny Brooks</v>
      </c>
    </row>
    <row r="14" spans="1:24" ht="14.4">
      <c r="A14" s="1" t="s">
        <v>85</v>
      </c>
      <c r="B14" s="2" t="s">
        <v>40</v>
      </c>
      <c r="C14" s="2" t="s">
        <v>41</v>
      </c>
      <c r="D14" s="2" t="s">
        <v>42</v>
      </c>
      <c r="E14" s="30">
        <v>43416</v>
      </c>
      <c r="F14" s="2" t="s">
        <v>61</v>
      </c>
      <c r="G14" s="1" t="s">
        <v>86</v>
      </c>
      <c r="H14" s="1" t="s">
        <v>87</v>
      </c>
      <c r="I14" s="2">
        <v>800</v>
      </c>
      <c r="J14" s="28">
        <v>672</v>
      </c>
      <c r="K14" s="3">
        <v>0.16</v>
      </c>
      <c r="S14" s="28">
        <v>679</v>
      </c>
      <c r="T14" t="str">
        <f t="shared" si="0"/>
        <v>Expensive</v>
      </c>
      <c r="V14" t="str">
        <f>_xlfn.CONCAT(G11," ",H11)</f>
        <v>JOHN JENKINS</v>
      </c>
      <c r="X14" t="str">
        <f t="shared" si="1"/>
        <v>John Jenkins</v>
      </c>
    </row>
    <row r="15" spans="1:24" ht="14.4">
      <c r="A15" s="1" t="s">
        <v>88</v>
      </c>
      <c r="B15" s="2" t="s">
        <v>89</v>
      </c>
      <c r="C15" s="2" t="s">
        <v>90</v>
      </c>
      <c r="D15" s="2" t="s">
        <v>42</v>
      </c>
      <c r="E15" s="31" t="s">
        <v>91</v>
      </c>
      <c r="F15" s="2" t="s">
        <v>15</v>
      </c>
      <c r="G15" s="1" t="s">
        <v>92</v>
      </c>
      <c r="H15" s="1" t="s">
        <v>93</v>
      </c>
      <c r="I15" s="2">
        <v>80</v>
      </c>
      <c r="J15" s="28">
        <v>78</v>
      </c>
      <c r="K15" s="3">
        <v>2.5000000000000001E-2</v>
      </c>
      <c r="S15" s="28">
        <v>28</v>
      </c>
      <c r="T15" t="str">
        <f t="shared" si="0"/>
        <v>Inexpesive</v>
      </c>
      <c r="V15" t="str">
        <f>_xlfn.CONCAT(G12," ",H12)</f>
        <v>RICHARD ALLNUTT</v>
      </c>
      <c r="X15" t="str">
        <f t="shared" si="1"/>
        <v>Richard Allnutt</v>
      </c>
    </row>
    <row r="16" spans="1:24" ht="14.4">
      <c r="A16" s="1" t="s">
        <v>94</v>
      </c>
      <c r="B16" s="2" t="s">
        <v>95</v>
      </c>
      <c r="C16" s="2" t="s">
        <v>96</v>
      </c>
      <c r="D16" s="2" t="s">
        <v>14</v>
      </c>
      <c r="E16" s="30">
        <v>41979</v>
      </c>
      <c r="F16" s="2" t="s">
        <v>67</v>
      </c>
      <c r="G16" s="1" t="s">
        <v>97</v>
      </c>
      <c r="H16" s="1" t="s">
        <v>98</v>
      </c>
      <c r="I16" s="2">
        <v>1000</v>
      </c>
      <c r="J16" s="28">
        <v>620</v>
      </c>
      <c r="K16" s="3">
        <v>0.38</v>
      </c>
      <c r="S16" s="28">
        <v>490</v>
      </c>
      <c r="T16" t="str">
        <f t="shared" si="0"/>
        <v>Inexpesive</v>
      </c>
      <c r="V16" t="str">
        <f>_xlfn.CONCAT(G13," ",H13)</f>
        <v>TESSA MORROW</v>
      </c>
      <c r="X16" t="str">
        <f t="shared" si="1"/>
        <v>Tessa Morrow</v>
      </c>
    </row>
    <row r="17" spans="1:24" ht="14.4">
      <c r="A17" s="1" t="s">
        <v>99</v>
      </c>
      <c r="B17" s="2" t="s">
        <v>19</v>
      </c>
      <c r="C17" s="2" t="s">
        <v>20</v>
      </c>
      <c r="D17" s="2" t="s">
        <v>21</v>
      </c>
      <c r="E17" s="30">
        <v>41709</v>
      </c>
      <c r="F17" s="2" t="s">
        <v>36</v>
      </c>
      <c r="G17" s="1" t="s">
        <v>100</v>
      </c>
      <c r="H17" s="1" t="s">
        <v>101</v>
      </c>
      <c r="I17" s="2">
        <v>150</v>
      </c>
      <c r="J17" s="28">
        <v>150</v>
      </c>
      <c r="K17" s="3">
        <v>0</v>
      </c>
      <c r="S17" s="28">
        <v>672</v>
      </c>
      <c r="T17" t="str">
        <f t="shared" si="0"/>
        <v>Expensive</v>
      </c>
      <c r="V17" t="str">
        <f>_xlfn.CONCAT(G14," ",H14)</f>
        <v>JAMES RICKETTS</v>
      </c>
      <c r="X17" t="str">
        <f t="shared" si="1"/>
        <v>James Ricketts</v>
      </c>
    </row>
    <row r="18" spans="1:24" ht="14.4">
      <c r="A18" s="1" t="s">
        <v>102</v>
      </c>
      <c r="B18" s="2" t="s">
        <v>103</v>
      </c>
      <c r="C18" s="2" t="s">
        <v>104</v>
      </c>
      <c r="D18" s="2" t="s">
        <v>42</v>
      </c>
      <c r="E18" s="31" t="s">
        <v>105</v>
      </c>
      <c r="F18" s="2" t="s">
        <v>67</v>
      </c>
      <c r="G18" s="1" t="s">
        <v>106</v>
      </c>
      <c r="H18" s="1" t="s">
        <v>107</v>
      </c>
      <c r="I18" s="2">
        <v>1000</v>
      </c>
      <c r="J18" s="28">
        <v>950</v>
      </c>
      <c r="K18" s="3">
        <v>0.05</v>
      </c>
      <c r="M18" s="5" t="str">
        <f>PROPER(CONCATENATE(G2," ",H2))</f>
        <v>May Wilmot</v>
      </c>
      <c r="S18" s="28">
        <v>78</v>
      </c>
      <c r="T18" t="str">
        <f t="shared" si="0"/>
        <v>Inexpesive</v>
      </c>
      <c r="V18" t="str">
        <f>_xlfn.CONCAT(G15," ",H15)</f>
        <v>SUSAN DIXON</v>
      </c>
      <c r="X18" t="str">
        <f t="shared" si="1"/>
        <v>Susan Dixon</v>
      </c>
    </row>
    <row r="19" spans="1:24" ht="14.4">
      <c r="A19" s="1" t="s">
        <v>108</v>
      </c>
      <c r="B19" s="2" t="s">
        <v>109</v>
      </c>
      <c r="C19" s="2" t="s">
        <v>110</v>
      </c>
      <c r="D19" s="2" t="s">
        <v>14</v>
      </c>
      <c r="E19" s="31" t="s">
        <v>111</v>
      </c>
      <c r="F19" s="2" t="s">
        <v>61</v>
      </c>
      <c r="G19" s="1" t="s">
        <v>112</v>
      </c>
      <c r="H19" s="1" t="s">
        <v>113</v>
      </c>
      <c r="I19" s="2">
        <v>800</v>
      </c>
      <c r="J19" s="28">
        <v>736</v>
      </c>
      <c r="K19" s="3">
        <v>0.08</v>
      </c>
      <c r="S19" s="28">
        <v>620</v>
      </c>
      <c r="T19" t="str">
        <f t="shared" si="0"/>
        <v>Expensive</v>
      </c>
      <c r="V19" t="str">
        <f>_xlfn.CONCAT(G16," ",H16)</f>
        <v>THOMAS GORDON</v>
      </c>
      <c r="X19" t="str">
        <f t="shared" si="1"/>
        <v>Thomas Gordon</v>
      </c>
    </row>
    <row r="20" spans="1:24" ht="14.4">
      <c r="A20" s="1" t="s">
        <v>114</v>
      </c>
      <c r="B20" s="2" t="s">
        <v>115</v>
      </c>
      <c r="C20" s="2" t="s">
        <v>116</v>
      </c>
      <c r="D20" s="2" t="s">
        <v>14</v>
      </c>
      <c r="E20" s="31" t="s">
        <v>117</v>
      </c>
      <c r="F20" s="2" t="s">
        <v>55</v>
      </c>
      <c r="G20" s="1" t="s">
        <v>118</v>
      </c>
      <c r="H20" s="1" t="s">
        <v>119</v>
      </c>
      <c r="I20" s="2">
        <v>30</v>
      </c>
      <c r="J20" s="28">
        <v>22</v>
      </c>
      <c r="K20" s="3">
        <v>0.26669999999999999</v>
      </c>
      <c r="S20" s="28">
        <v>150</v>
      </c>
      <c r="T20" t="str">
        <f t="shared" si="0"/>
        <v>Inexpesive</v>
      </c>
      <c r="V20" t="str">
        <f>_xlfn.CONCAT(G17," ",H17)</f>
        <v>ROBIN HALL</v>
      </c>
      <c r="X20" t="str">
        <f t="shared" si="1"/>
        <v>Robin Hall</v>
      </c>
    </row>
    <row r="21" spans="1:24" ht="15.75" customHeight="1">
      <c r="A21" s="1" t="s">
        <v>120</v>
      </c>
      <c r="B21" s="2" t="s">
        <v>121</v>
      </c>
      <c r="C21" s="2" t="s">
        <v>80</v>
      </c>
      <c r="D21" s="2" t="s">
        <v>42</v>
      </c>
      <c r="E21" s="31" t="s">
        <v>122</v>
      </c>
      <c r="F21" s="2" t="s">
        <v>123</v>
      </c>
      <c r="G21" s="1" t="s">
        <v>124</v>
      </c>
      <c r="H21" s="1" t="s">
        <v>125</v>
      </c>
      <c r="I21" s="2">
        <v>70</v>
      </c>
      <c r="J21" s="28">
        <v>67</v>
      </c>
      <c r="K21" s="3">
        <v>4.2900000000000001E-2</v>
      </c>
      <c r="S21" s="28">
        <v>950</v>
      </c>
      <c r="T21" t="str">
        <f t="shared" si="0"/>
        <v>Expensive</v>
      </c>
      <c r="V21" t="str">
        <f>_xlfn.CONCAT(G18," ",H18)</f>
        <v>KENNETH WALTER</v>
      </c>
      <c r="X21" t="str">
        <f t="shared" si="1"/>
        <v>Kenneth Walter</v>
      </c>
    </row>
    <row r="22" spans="1:24" ht="15.75" customHeight="1">
      <c r="A22" s="1" t="s">
        <v>126</v>
      </c>
      <c r="B22" s="2" t="s">
        <v>127</v>
      </c>
      <c r="C22" s="2" t="s">
        <v>128</v>
      </c>
      <c r="D22" s="2" t="s">
        <v>21</v>
      </c>
      <c r="E22" s="31" t="s">
        <v>129</v>
      </c>
      <c r="F22" s="2" t="s">
        <v>55</v>
      </c>
      <c r="G22" s="1" t="s">
        <v>130</v>
      </c>
      <c r="H22" s="1" t="s">
        <v>131</v>
      </c>
      <c r="I22" s="2">
        <v>30</v>
      </c>
      <c r="J22" s="28">
        <v>27</v>
      </c>
      <c r="K22" s="3">
        <v>0.1</v>
      </c>
      <c r="S22" s="28">
        <v>736</v>
      </c>
      <c r="T22" t="str">
        <f t="shared" si="0"/>
        <v>Expensive</v>
      </c>
      <c r="V22" t="str">
        <f>_xlfn.CONCAT(G19," ",H19)</f>
        <v>EDWARD KHAN</v>
      </c>
      <c r="X22" t="str">
        <f t="shared" si="1"/>
        <v>Edward Khan</v>
      </c>
    </row>
    <row r="23" spans="1:24" ht="15.75" customHeight="1">
      <c r="A23" s="1" t="s">
        <v>132</v>
      </c>
      <c r="B23" s="2" t="s">
        <v>133</v>
      </c>
      <c r="C23" s="2" t="s">
        <v>60</v>
      </c>
      <c r="D23" s="2" t="s">
        <v>14</v>
      </c>
      <c r="E23" s="31" t="s">
        <v>134</v>
      </c>
      <c r="F23" s="2" t="s">
        <v>135</v>
      </c>
      <c r="G23" s="1" t="s">
        <v>136</v>
      </c>
      <c r="H23" s="1" t="s">
        <v>137</v>
      </c>
      <c r="I23" s="2">
        <v>250</v>
      </c>
      <c r="J23" s="28">
        <v>238</v>
      </c>
      <c r="K23" s="3">
        <v>4.8000000000000001E-2</v>
      </c>
      <c r="S23" s="28">
        <v>22</v>
      </c>
      <c r="T23" t="str">
        <f t="shared" si="0"/>
        <v>Inexpesive</v>
      </c>
      <c r="V23" t="str">
        <f>_xlfn.CONCAT(G20," ",H20)</f>
        <v>NICHOLAS HOLLOWAY</v>
      </c>
      <c r="X23" t="str">
        <f t="shared" si="1"/>
        <v>Nicholas Holloway</v>
      </c>
    </row>
    <row r="24" spans="1:24" ht="15.75" customHeight="1">
      <c r="A24" s="1" t="s">
        <v>138</v>
      </c>
      <c r="B24" s="2" t="s">
        <v>139</v>
      </c>
      <c r="C24" s="2" t="s">
        <v>140</v>
      </c>
      <c r="D24" s="2" t="s">
        <v>42</v>
      </c>
      <c r="E24" s="30">
        <v>42918</v>
      </c>
      <c r="F24" s="2" t="s">
        <v>135</v>
      </c>
      <c r="G24" s="1" t="s">
        <v>141</v>
      </c>
      <c r="H24" s="1" t="s">
        <v>142</v>
      </c>
      <c r="I24" s="2">
        <v>250</v>
      </c>
      <c r="J24" s="28">
        <v>240</v>
      </c>
      <c r="K24" s="3">
        <v>0.04</v>
      </c>
      <c r="S24" s="28">
        <v>67</v>
      </c>
      <c r="T24" t="str">
        <f t="shared" si="0"/>
        <v>Inexpesive</v>
      </c>
      <c r="V24" t="str">
        <f>_xlfn.CONCAT(G21," ",H21)</f>
        <v>DELIA MUHAMMAD</v>
      </c>
      <c r="X24" t="str">
        <f t="shared" si="1"/>
        <v>Delia Muhammad</v>
      </c>
    </row>
    <row r="25" spans="1:24" ht="15.75" customHeight="1">
      <c r="A25" s="1" t="s">
        <v>143</v>
      </c>
      <c r="B25" s="2" t="s">
        <v>144</v>
      </c>
      <c r="C25" s="2" t="s">
        <v>145</v>
      </c>
      <c r="D25" s="2" t="s">
        <v>42</v>
      </c>
      <c r="E25" s="31" t="s">
        <v>146</v>
      </c>
      <c r="F25" s="2" t="s">
        <v>82</v>
      </c>
      <c r="G25" s="1" t="s">
        <v>147</v>
      </c>
      <c r="H25" s="1" t="s">
        <v>148</v>
      </c>
      <c r="I25" s="2">
        <v>500</v>
      </c>
      <c r="J25" s="28">
        <v>495</v>
      </c>
      <c r="K25" s="3">
        <v>0.01</v>
      </c>
      <c r="S25" s="28">
        <v>27</v>
      </c>
      <c r="T25" t="str">
        <f t="shared" si="0"/>
        <v>Inexpesive</v>
      </c>
      <c r="V25" t="str">
        <f>_xlfn.CONCAT(G22," ",H22)</f>
        <v>LESLEYANN POPE</v>
      </c>
      <c r="X25" t="str">
        <f t="shared" si="1"/>
        <v>Lesleyann Pope</v>
      </c>
    </row>
    <row r="26" spans="1:24" ht="15.75" customHeight="1">
      <c r="A26" s="1" t="s">
        <v>149</v>
      </c>
      <c r="B26" s="2" t="s">
        <v>150</v>
      </c>
      <c r="C26" s="2" t="s">
        <v>151</v>
      </c>
      <c r="D26" s="2" t="s">
        <v>14</v>
      </c>
      <c r="E26" s="31" t="s">
        <v>152</v>
      </c>
      <c r="F26" s="2" t="s">
        <v>123</v>
      </c>
      <c r="G26" s="1" t="s">
        <v>153</v>
      </c>
      <c r="H26" s="1" t="s">
        <v>154</v>
      </c>
      <c r="I26" s="2">
        <v>70</v>
      </c>
      <c r="J26" s="28">
        <v>64</v>
      </c>
      <c r="K26" s="3">
        <v>8.5699999999999998E-2</v>
      </c>
      <c r="S26" s="28">
        <v>238</v>
      </c>
      <c r="T26" t="str">
        <f t="shared" si="0"/>
        <v>Inexpesive</v>
      </c>
      <c r="V26" t="str">
        <f>_xlfn.CONCAT(G23," ",H23)</f>
        <v>DAMIEN SMITH</v>
      </c>
      <c r="X26" t="str">
        <f t="shared" si="1"/>
        <v>Damien Smith</v>
      </c>
    </row>
    <row r="27" spans="1:24" ht="15.75" customHeight="1">
      <c r="A27" s="1" t="s">
        <v>155</v>
      </c>
      <c r="B27" s="2" t="s">
        <v>156</v>
      </c>
      <c r="C27" s="2" t="s">
        <v>128</v>
      </c>
      <c r="D27" s="2" t="s">
        <v>21</v>
      </c>
      <c r="E27" s="30">
        <v>41919</v>
      </c>
      <c r="F27" s="2" t="s">
        <v>36</v>
      </c>
      <c r="G27" s="1" t="s">
        <v>157</v>
      </c>
      <c r="H27" s="1" t="s">
        <v>158</v>
      </c>
      <c r="I27" s="2">
        <v>150</v>
      </c>
      <c r="J27" s="28">
        <v>138</v>
      </c>
      <c r="K27" s="3">
        <v>0.08</v>
      </c>
      <c r="S27" s="28">
        <v>240</v>
      </c>
      <c r="T27" t="str">
        <f t="shared" si="0"/>
        <v>Inexpesive</v>
      </c>
      <c r="V27" t="str">
        <f>_xlfn.CONCAT(G24," ",H24)</f>
        <v>STEVEN WOOD</v>
      </c>
      <c r="X27" t="str">
        <f t="shared" si="1"/>
        <v>Steven Wood</v>
      </c>
    </row>
    <row r="28" spans="1:24" ht="15.75" customHeight="1">
      <c r="A28" s="1" t="s">
        <v>159</v>
      </c>
      <c r="B28" s="2" t="s">
        <v>12</v>
      </c>
      <c r="C28" s="2" t="s">
        <v>13</v>
      </c>
      <c r="D28" s="2" t="s">
        <v>14</v>
      </c>
      <c r="E28" s="31" t="s">
        <v>160</v>
      </c>
      <c r="F28" s="2" t="s">
        <v>67</v>
      </c>
      <c r="G28" s="1" t="s">
        <v>161</v>
      </c>
      <c r="H28" s="1" t="s">
        <v>69</v>
      </c>
      <c r="I28" s="2">
        <v>1000</v>
      </c>
      <c r="J28" s="28">
        <v>910</v>
      </c>
      <c r="K28" s="3">
        <v>0.09</v>
      </c>
      <c r="S28" s="28">
        <v>495</v>
      </c>
      <c r="T28" t="str">
        <f t="shared" si="0"/>
        <v>Inexpesive</v>
      </c>
      <c r="V28" t="str">
        <f>_xlfn.CONCAT(G25," ",H25)</f>
        <v>GLENYS WRIGHT</v>
      </c>
      <c r="X28" t="str">
        <f t="shared" si="1"/>
        <v>Glenys Wright</v>
      </c>
    </row>
    <row r="29" spans="1:24" ht="15.75" customHeight="1">
      <c r="A29" s="1" t="s">
        <v>162</v>
      </c>
      <c r="B29" s="2" t="s">
        <v>71</v>
      </c>
      <c r="C29" s="2" t="s">
        <v>72</v>
      </c>
      <c r="D29" s="2" t="s">
        <v>42</v>
      </c>
      <c r="E29" s="31" t="s">
        <v>163</v>
      </c>
      <c r="F29" s="2" t="s">
        <v>15</v>
      </c>
      <c r="G29" s="1" t="s">
        <v>164</v>
      </c>
      <c r="H29" s="1" t="s">
        <v>165</v>
      </c>
      <c r="I29" s="2">
        <v>80</v>
      </c>
      <c r="J29" s="28">
        <v>77</v>
      </c>
      <c r="K29" s="3">
        <v>3.7499999999999999E-2</v>
      </c>
      <c r="S29" s="28">
        <v>64</v>
      </c>
      <c r="T29" t="str">
        <f t="shared" si="0"/>
        <v>Inexpesive</v>
      </c>
      <c r="V29" t="str">
        <f>_xlfn.CONCAT(G26," ",H26)</f>
        <v>KATE PEARCE</v>
      </c>
      <c r="X29" t="str">
        <f t="shared" si="1"/>
        <v>Kate Pearce</v>
      </c>
    </row>
    <row r="30" spans="1:24" ht="15.75" customHeight="1">
      <c r="A30" s="1" t="s">
        <v>166</v>
      </c>
      <c r="B30" s="2" t="s">
        <v>79</v>
      </c>
      <c r="C30" s="2" t="s">
        <v>80</v>
      </c>
      <c r="D30" s="2" t="s">
        <v>42</v>
      </c>
      <c r="E30" s="31" t="s">
        <v>167</v>
      </c>
      <c r="F30" s="2" t="s">
        <v>82</v>
      </c>
      <c r="G30" s="1" t="s">
        <v>168</v>
      </c>
      <c r="H30" s="1" t="s">
        <v>169</v>
      </c>
      <c r="I30" s="2">
        <v>500</v>
      </c>
      <c r="J30" s="28">
        <v>500</v>
      </c>
      <c r="K30" s="3">
        <v>0</v>
      </c>
      <c r="S30" s="28">
        <v>138</v>
      </c>
      <c r="T30" t="str">
        <f t="shared" si="0"/>
        <v>Inexpesive</v>
      </c>
      <c r="V30" t="str">
        <f>_xlfn.CONCAT(G27," ",H27)</f>
        <v>ROBERT ARNOLD</v>
      </c>
      <c r="X30" t="str">
        <f t="shared" si="1"/>
        <v>Robert Arnold</v>
      </c>
    </row>
    <row r="31" spans="1:24" ht="15.75" customHeight="1">
      <c r="A31" s="1" t="s">
        <v>170</v>
      </c>
      <c r="B31" s="2" t="s">
        <v>26</v>
      </c>
      <c r="C31" s="2" t="s">
        <v>27</v>
      </c>
      <c r="D31" s="2" t="s">
        <v>28</v>
      </c>
      <c r="E31" s="31" t="s">
        <v>171</v>
      </c>
      <c r="F31" s="2" t="s">
        <v>36</v>
      </c>
      <c r="G31" s="1" t="s">
        <v>172</v>
      </c>
      <c r="H31" s="1" t="s">
        <v>137</v>
      </c>
      <c r="I31" s="2">
        <v>150</v>
      </c>
      <c r="J31" s="28">
        <v>146</v>
      </c>
      <c r="K31" s="3">
        <v>2.6700000000000002E-2</v>
      </c>
      <c r="S31" s="28">
        <v>910</v>
      </c>
      <c r="T31" t="str">
        <f t="shared" si="0"/>
        <v>Expensive</v>
      </c>
      <c r="V31" t="str">
        <f>_xlfn.CONCAT(G28," ",H28)</f>
        <v>DARREN BROOKS</v>
      </c>
      <c r="X31" t="str">
        <f t="shared" si="1"/>
        <v>Darren Brooks</v>
      </c>
    </row>
    <row r="32" spans="1:24" ht="15.75" customHeight="1">
      <c r="A32" s="1" t="s">
        <v>173</v>
      </c>
      <c r="B32" s="2" t="s">
        <v>174</v>
      </c>
      <c r="C32" s="2" t="s">
        <v>175</v>
      </c>
      <c r="D32" s="2" t="s">
        <v>14</v>
      </c>
      <c r="E32" s="31" t="s">
        <v>176</v>
      </c>
      <c r="F32" s="2" t="s">
        <v>49</v>
      </c>
      <c r="G32" s="1" t="s">
        <v>177</v>
      </c>
      <c r="H32" s="1" t="s">
        <v>178</v>
      </c>
      <c r="I32" s="2">
        <v>500</v>
      </c>
      <c r="J32" s="28">
        <v>460</v>
      </c>
      <c r="K32" s="3">
        <v>0.08</v>
      </c>
      <c r="S32" s="28">
        <v>77</v>
      </c>
      <c r="T32" t="str">
        <f t="shared" si="0"/>
        <v>Inexpesive</v>
      </c>
      <c r="V32" t="str">
        <f>_xlfn.CONCAT(G29," ",H29)</f>
        <v>MAYANK ALI</v>
      </c>
      <c r="X32" t="str">
        <f t="shared" si="1"/>
        <v>Mayank Ali</v>
      </c>
    </row>
    <row r="33" spans="1:24" ht="15.75" customHeight="1">
      <c r="A33" s="1" t="s">
        <v>179</v>
      </c>
      <c r="B33" s="2" t="s">
        <v>180</v>
      </c>
      <c r="C33" s="2" t="s">
        <v>128</v>
      </c>
      <c r="D33" s="2" t="s">
        <v>21</v>
      </c>
      <c r="E33" s="31" t="s">
        <v>181</v>
      </c>
      <c r="F33" s="2" t="s">
        <v>15</v>
      </c>
      <c r="G33" s="1" t="s">
        <v>182</v>
      </c>
      <c r="H33" s="1" t="s">
        <v>183</v>
      </c>
      <c r="I33" s="2">
        <v>80</v>
      </c>
      <c r="J33" s="28">
        <v>72</v>
      </c>
      <c r="K33" s="3">
        <v>0.1</v>
      </c>
      <c r="S33" s="28">
        <v>500</v>
      </c>
      <c r="T33" t="str">
        <f t="shared" si="0"/>
        <v>Inexpesive</v>
      </c>
      <c r="V33" t="str">
        <f>_xlfn.CONCAT(G30," ",H30)</f>
        <v>GLEN CAMPBELL</v>
      </c>
      <c r="X33" t="str">
        <f t="shared" si="1"/>
        <v>Glen Campbell</v>
      </c>
    </row>
    <row r="34" spans="1:24" ht="15.75" customHeight="1">
      <c r="A34" s="1" t="s">
        <v>184</v>
      </c>
      <c r="B34" s="2" t="s">
        <v>40</v>
      </c>
      <c r="C34" s="2" t="s">
        <v>41</v>
      </c>
      <c r="D34" s="2" t="s">
        <v>42</v>
      </c>
      <c r="E34" s="31" t="s">
        <v>185</v>
      </c>
      <c r="F34" s="2" t="s">
        <v>55</v>
      </c>
      <c r="G34" s="1" t="s">
        <v>186</v>
      </c>
      <c r="H34" s="1" t="s">
        <v>187</v>
      </c>
      <c r="I34" s="2">
        <v>30</v>
      </c>
      <c r="J34" s="28">
        <v>26</v>
      </c>
      <c r="K34" s="3">
        <v>0.1333</v>
      </c>
      <c r="S34" s="28">
        <v>146</v>
      </c>
      <c r="T34" t="str">
        <f t="shared" si="0"/>
        <v>Inexpesive</v>
      </c>
      <c r="V34" t="str">
        <f>_xlfn.CONCAT(G31," ",H31)</f>
        <v>STEPHEN SMITH</v>
      </c>
      <c r="X34" t="str">
        <f t="shared" si="1"/>
        <v>Stephen Smith</v>
      </c>
    </row>
    <row r="35" spans="1:24" ht="15.75" customHeight="1">
      <c r="A35" s="1" t="s">
        <v>188</v>
      </c>
      <c r="B35" s="2" t="s">
        <v>89</v>
      </c>
      <c r="C35" s="2" t="s">
        <v>90</v>
      </c>
      <c r="D35" s="2" t="s">
        <v>42</v>
      </c>
      <c r="E35" s="31" t="s">
        <v>189</v>
      </c>
      <c r="F35" s="2" t="s">
        <v>55</v>
      </c>
      <c r="G35" s="1" t="s">
        <v>190</v>
      </c>
      <c r="H35" s="1" t="s">
        <v>191</v>
      </c>
      <c r="I35" s="2">
        <v>30</v>
      </c>
      <c r="J35" s="28">
        <v>26</v>
      </c>
      <c r="K35" s="3">
        <v>0.1333</v>
      </c>
      <c r="S35" s="28">
        <v>460</v>
      </c>
      <c r="T35" t="str">
        <f t="shared" si="0"/>
        <v>Inexpesive</v>
      </c>
      <c r="V35" t="str">
        <f>_xlfn.CONCAT(G32," ",H32)</f>
        <v>CAROLINE ECCLES</v>
      </c>
      <c r="X35" t="str">
        <f t="shared" si="1"/>
        <v>Caroline Eccles</v>
      </c>
    </row>
    <row r="36" spans="1:24" ht="15.75" customHeight="1">
      <c r="A36" s="1" t="s">
        <v>192</v>
      </c>
      <c r="B36" s="2" t="s">
        <v>193</v>
      </c>
      <c r="C36" s="2" t="s">
        <v>145</v>
      </c>
      <c r="D36" s="2" t="s">
        <v>42</v>
      </c>
      <c r="E36" s="31" t="s">
        <v>194</v>
      </c>
      <c r="F36" s="2" t="s">
        <v>61</v>
      </c>
      <c r="G36" s="1" t="s">
        <v>195</v>
      </c>
      <c r="H36" s="1" t="s">
        <v>196</v>
      </c>
      <c r="I36" s="2">
        <v>800</v>
      </c>
      <c r="J36" s="28">
        <v>640</v>
      </c>
      <c r="K36" s="3">
        <v>0.2</v>
      </c>
      <c r="S36" s="28">
        <v>72</v>
      </c>
      <c r="T36" t="str">
        <f t="shared" si="0"/>
        <v>Inexpesive</v>
      </c>
      <c r="V36" t="str">
        <f>_xlfn.CONCAT(G33," ",H33)</f>
        <v>COLIN MATTHEWS</v>
      </c>
      <c r="X36" t="str">
        <f t="shared" si="1"/>
        <v>Colin Matthews</v>
      </c>
    </row>
    <row r="37" spans="1:24" ht="15.75" customHeight="1">
      <c r="A37" s="1" t="s">
        <v>197</v>
      </c>
      <c r="B37" s="2" t="s">
        <v>198</v>
      </c>
      <c r="C37" s="2" t="s">
        <v>199</v>
      </c>
      <c r="D37" s="2" t="s">
        <v>14</v>
      </c>
      <c r="E37" s="30">
        <v>42038</v>
      </c>
      <c r="F37" s="2" t="s">
        <v>29</v>
      </c>
      <c r="G37" s="1" t="s">
        <v>200</v>
      </c>
      <c r="H37" s="1" t="s">
        <v>201</v>
      </c>
      <c r="I37" s="2">
        <v>700</v>
      </c>
      <c r="J37" s="28">
        <v>434</v>
      </c>
      <c r="K37" s="3">
        <v>0.38</v>
      </c>
      <c r="S37" s="28">
        <v>26</v>
      </c>
      <c r="T37" t="str">
        <f t="shared" si="0"/>
        <v>Inexpesive</v>
      </c>
      <c r="V37" t="str">
        <f>_xlfn.CONCAT(G34," ",H34)</f>
        <v>WILLIAM MARTIN</v>
      </c>
      <c r="X37" t="str">
        <f t="shared" si="1"/>
        <v>William Martin</v>
      </c>
    </row>
    <row r="38" spans="1:24" ht="15.75" customHeight="1">
      <c r="A38" s="1" t="s">
        <v>202</v>
      </c>
      <c r="B38" s="2" t="s">
        <v>203</v>
      </c>
      <c r="C38" s="2" t="s">
        <v>204</v>
      </c>
      <c r="D38" s="2" t="s">
        <v>14</v>
      </c>
      <c r="E38" s="30">
        <v>42310</v>
      </c>
      <c r="F38" s="2" t="s">
        <v>15</v>
      </c>
      <c r="G38" s="1" t="s">
        <v>205</v>
      </c>
      <c r="H38" s="1" t="s">
        <v>206</v>
      </c>
      <c r="I38" s="2">
        <v>80</v>
      </c>
      <c r="J38" s="28">
        <v>50</v>
      </c>
      <c r="K38" s="3">
        <v>0.375</v>
      </c>
      <c r="S38" s="28">
        <v>26</v>
      </c>
      <c r="T38" t="str">
        <f t="shared" si="0"/>
        <v>Inexpesive</v>
      </c>
      <c r="V38" t="str">
        <f>_xlfn.CONCAT(G35," ",H35)</f>
        <v>MICHAEL BELL</v>
      </c>
      <c r="X38" t="str">
        <f t="shared" si="1"/>
        <v>Michael Bell</v>
      </c>
    </row>
    <row r="39" spans="1:24" ht="15.75" customHeight="1">
      <c r="A39" s="1" t="s">
        <v>207</v>
      </c>
      <c r="B39" s="2" t="s">
        <v>208</v>
      </c>
      <c r="C39" s="2" t="s">
        <v>209</v>
      </c>
      <c r="D39" s="2" t="s">
        <v>14</v>
      </c>
      <c r="E39" s="30">
        <v>41888</v>
      </c>
      <c r="F39" s="2" t="s">
        <v>55</v>
      </c>
      <c r="G39" s="1" t="s">
        <v>210</v>
      </c>
      <c r="H39" s="1" t="s">
        <v>211</v>
      </c>
      <c r="I39" s="2">
        <v>30</v>
      </c>
      <c r="J39" s="28">
        <v>25</v>
      </c>
      <c r="K39" s="3">
        <v>0.16669999999999999</v>
      </c>
      <c r="S39" s="28">
        <v>640</v>
      </c>
      <c r="T39" t="str">
        <f t="shared" si="0"/>
        <v>Expensive</v>
      </c>
      <c r="V39" t="str">
        <f>_xlfn.CONCAT(G36," ",H36)</f>
        <v>ROGER RUST</v>
      </c>
      <c r="X39" t="str">
        <f t="shared" si="1"/>
        <v>Roger Rust</v>
      </c>
    </row>
    <row r="40" spans="1:24" ht="15.75" customHeight="1">
      <c r="A40" s="1" t="s">
        <v>212</v>
      </c>
      <c r="B40" s="2" t="s">
        <v>12</v>
      </c>
      <c r="C40" s="2" t="s">
        <v>13</v>
      </c>
      <c r="D40" s="2" t="s">
        <v>14</v>
      </c>
      <c r="E40" s="31" t="s">
        <v>213</v>
      </c>
      <c r="F40" s="2" t="s">
        <v>15</v>
      </c>
      <c r="G40" s="1" t="s">
        <v>214</v>
      </c>
      <c r="H40" s="1" t="s">
        <v>215</v>
      </c>
      <c r="I40" s="2">
        <v>80</v>
      </c>
      <c r="J40" s="28">
        <v>78</v>
      </c>
      <c r="K40" s="3">
        <v>2.5000000000000001E-2</v>
      </c>
      <c r="S40" s="28">
        <v>434</v>
      </c>
      <c r="T40" t="str">
        <f t="shared" si="0"/>
        <v>Inexpesive</v>
      </c>
      <c r="V40" t="str">
        <f>_xlfn.CONCAT(G37," ",H37)</f>
        <v>HIN BRAGG</v>
      </c>
      <c r="X40" t="str">
        <f t="shared" si="1"/>
        <v>Hin Bragg</v>
      </c>
    </row>
    <row r="41" spans="1:24" ht="15.75" customHeight="1">
      <c r="A41" s="1" t="s">
        <v>216</v>
      </c>
      <c r="B41" s="2" t="s">
        <v>95</v>
      </c>
      <c r="C41" s="2" t="s">
        <v>96</v>
      </c>
      <c r="D41" s="2" t="s">
        <v>14</v>
      </c>
      <c r="E41" s="30">
        <v>42282</v>
      </c>
      <c r="F41" s="2" t="s">
        <v>217</v>
      </c>
      <c r="G41" s="1" t="s">
        <v>218</v>
      </c>
      <c r="H41" s="1" t="s">
        <v>219</v>
      </c>
      <c r="I41" s="2">
        <v>50</v>
      </c>
      <c r="J41" s="28">
        <v>39</v>
      </c>
      <c r="K41" s="3">
        <v>0.22</v>
      </c>
      <c r="S41" s="28">
        <v>50</v>
      </c>
      <c r="T41" t="str">
        <f t="shared" si="0"/>
        <v>Inexpesive</v>
      </c>
      <c r="V41" t="str">
        <f>_xlfn.CONCAT(G38," ",H38)</f>
        <v>ALLYSON RUSH</v>
      </c>
      <c r="X41" t="str">
        <f t="shared" si="1"/>
        <v>Allyson Rush</v>
      </c>
    </row>
    <row r="42" spans="1:24" ht="15.75" customHeight="1">
      <c r="A42" s="1" t="s">
        <v>220</v>
      </c>
      <c r="B42" s="2" t="s">
        <v>103</v>
      </c>
      <c r="C42" s="2" t="s">
        <v>104</v>
      </c>
      <c r="D42" s="2" t="s">
        <v>42</v>
      </c>
      <c r="E42" s="31" t="s">
        <v>221</v>
      </c>
      <c r="F42" s="2" t="s">
        <v>123</v>
      </c>
      <c r="G42" s="1" t="s">
        <v>222</v>
      </c>
      <c r="H42" s="1" t="s">
        <v>223</v>
      </c>
      <c r="I42" s="2">
        <v>70</v>
      </c>
      <c r="J42" s="28">
        <v>64</v>
      </c>
      <c r="K42" s="3">
        <v>8.5699999999999998E-2</v>
      </c>
      <c r="S42" s="28">
        <v>25</v>
      </c>
      <c r="T42" t="str">
        <f t="shared" si="0"/>
        <v>Inexpesive</v>
      </c>
      <c r="V42" t="str">
        <f>_xlfn.CONCAT(G39," ",H39)</f>
        <v>ELAINE WHITFIELD</v>
      </c>
      <c r="X42" t="str">
        <f t="shared" si="1"/>
        <v>Elaine Whitfield</v>
      </c>
    </row>
    <row r="43" spans="1:24" ht="15.75" customHeight="1">
      <c r="A43" s="1" t="s">
        <v>224</v>
      </c>
      <c r="B43" s="2" t="s">
        <v>47</v>
      </c>
      <c r="C43" s="2" t="s">
        <v>48</v>
      </c>
      <c r="D43" s="2" t="s">
        <v>28</v>
      </c>
      <c r="E43" s="31" t="s">
        <v>225</v>
      </c>
      <c r="F43" s="2" t="s">
        <v>43</v>
      </c>
      <c r="G43" s="1" t="s">
        <v>226</v>
      </c>
      <c r="H43" s="1" t="s">
        <v>227</v>
      </c>
      <c r="I43" s="2">
        <v>50</v>
      </c>
      <c r="J43" s="28">
        <v>36</v>
      </c>
      <c r="K43" s="3">
        <v>0.28000000000000003</v>
      </c>
      <c r="S43" s="28">
        <v>78</v>
      </c>
      <c r="T43" t="str">
        <f t="shared" si="0"/>
        <v>Inexpesive</v>
      </c>
      <c r="V43" t="str">
        <f>_xlfn.CONCAT(G40," ",H40)</f>
        <v>RITA HILL</v>
      </c>
      <c r="X43" t="str">
        <f t="shared" si="1"/>
        <v>Rita Hill</v>
      </c>
    </row>
    <row r="44" spans="1:24" ht="15.75" customHeight="1">
      <c r="A44" s="1" t="s">
        <v>228</v>
      </c>
      <c r="B44" s="2" t="s">
        <v>229</v>
      </c>
      <c r="C44" s="2" t="s">
        <v>128</v>
      </c>
      <c r="D44" s="2" t="s">
        <v>21</v>
      </c>
      <c r="E44" s="31" t="s">
        <v>230</v>
      </c>
      <c r="F44" s="2" t="s">
        <v>217</v>
      </c>
      <c r="G44" s="1" t="s">
        <v>231</v>
      </c>
      <c r="H44" s="1" t="s">
        <v>232</v>
      </c>
      <c r="I44" s="2">
        <v>50</v>
      </c>
      <c r="J44" s="28">
        <v>43</v>
      </c>
      <c r="K44" s="3">
        <v>0.14000000000000001</v>
      </c>
      <c r="S44" s="28">
        <v>39</v>
      </c>
      <c r="T44" t="str">
        <f t="shared" si="0"/>
        <v>Inexpesive</v>
      </c>
      <c r="V44" t="str">
        <f>_xlfn.CONCAT(G41," ",H41)</f>
        <v>DEANNA WANG</v>
      </c>
      <c r="X44" t="str">
        <f t="shared" si="1"/>
        <v>Deanna Wang</v>
      </c>
    </row>
    <row r="45" spans="1:24" ht="15.75" customHeight="1">
      <c r="A45" s="1" t="s">
        <v>233</v>
      </c>
      <c r="B45" s="2" t="s">
        <v>234</v>
      </c>
      <c r="C45" s="2" t="s">
        <v>235</v>
      </c>
      <c r="D45" s="2" t="s">
        <v>28</v>
      </c>
      <c r="E45" s="30">
        <v>43104</v>
      </c>
      <c r="F45" s="2" t="s">
        <v>29</v>
      </c>
      <c r="G45" s="1" t="s">
        <v>236</v>
      </c>
      <c r="H45" s="1" t="s">
        <v>237</v>
      </c>
      <c r="I45" s="2">
        <v>700</v>
      </c>
      <c r="J45" s="28">
        <v>693</v>
      </c>
      <c r="K45" s="3">
        <v>0.01</v>
      </c>
      <c r="S45" s="28">
        <v>64</v>
      </c>
      <c r="T45" t="str">
        <f t="shared" si="0"/>
        <v>Inexpesive</v>
      </c>
      <c r="V45" t="str">
        <f>_xlfn.CONCAT(G42," ",H42)</f>
        <v>JILL THOMPSON</v>
      </c>
      <c r="X45" t="str">
        <f t="shared" si="1"/>
        <v>Jill Thompson</v>
      </c>
    </row>
    <row r="46" spans="1:24" ht="15.75" customHeight="1">
      <c r="A46" s="1" t="s">
        <v>238</v>
      </c>
      <c r="B46" s="2" t="s">
        <v>156</v>
      </c>
      <c r="C46" s="2" t="s">
        <v>128</v>
      </c>
      <c r="D46" s="2" t="s">
        <v>21</v>
      </c>
      <c r="E46" s="31" t="s">
        <v>239</v>
      </c>
      <c r="F46" s="2" t="s">
        <v>61</v>
      </c>
      <c r="G46" s="1" t="s">
        <v>240</v>
      </c>
      <c r="H46" s="1" t="s">
        <v>241</v>
      </c>
      <c r="I46" s="2">
        <v>800</v>
      </c>
      <c r="J46" s="28">
        <v>648</v>
      </c>
      <c r="K46" s="3">
        <v>0.19</v>
      </c>
      <c r="S46" s="28">
        <v>36</v>
      </c>
      <c r="T46" t="str">
        <f t="shared" si="0"/>
        <v>Inexpesive</v>
      </c>
      <c r="V46" t="str">
        <f>_xlfn.CONCAT(G43," ",H43)</f>
        <v>CHERYL GLOVER</v>
      </c>
      <c r="X46" t="str">
        <f t="shared" si="1"/>
        <v>Cheryl Glover</v>
      </c>
    </row>
    <row r="47" spans="1:24" ht="15.75" customHeight="1">
      <c r="A47" s="1" t="s">
        <v>242</v>
      </c>
      <c r="B47" s="2" t="s">
        <v>193</v>
      </c>
      <c r="C47" s="2" t="s">
        <v>145</v>
      </c>
      <c r="D47" s="2" t="s">
        <v>42</v>
      </c>
      <c r="E47" s="31" t="s">
        <v>243</v>
      </c>
      <c r="F47" s="2" t="s">
        <v>67</v>
      </c>
      <c r="G47" s="1" t="s">
        <v>244</v>
      </c>
      <c r="H47" s="1" t="s">
        <v>245</v>
      </c>
      <c r="I47" s="2">
        <v>1000</v>
      </c>
      <c r="J47" s="28">
        <v>990</v>
      </c>
      <c r="K47" s="3">
        <v>0.01</v>
      </c>
      <c r="S47" s="28">
        <v>43</v>
      </c>
      <c r="T47" t="str">
        <f t="shared" si="0"/>
        <v>Inexpesive</v>
      </c>
      <c r="V47" t="str">
        <f>_xlfn.CONCAT(G44," ",H44)</f>
        <v>GILLAN CLARK</v>
      </c>
      <c r="X47" t="str">
        <f t="shared" si="1"/>
        <v>Gillan Clark</v>
      </c>
    </row>
    <row r="48" spans="1:24" ht="15.75" customHeight="1">
      <c r="A48" s="1" t="s">
        <v>246</v>
      </c>
      <c r="B48" s="2" t="s">
        <v>203</v>
      </c>
      <c r="C48" s="2" t="s">
        <v>204</v>
      </c>
      <c r="D48" s="2" t="s">
        <v>14</v>
      </c>
      <c r="E48" s="30">
        <v>42655</v>
      </c>
      <c r="F48" s="2" t="s">
        <v>36</v>
      </c>
      <c r="G48" s="1" t="s">
        <v>247</v>
      </c>
      <c r="H48" s="1" t="s">
        <v>248</v>
      </c>
      <c r="I48" s="2">
        <v>150</v>
      </c>
      <c r="J48" s="28">
        <v>144</v>
      </c>
      <c r="K48" s="3">
        <v>0.04</v>
      </c>
      <c r="S48" s="28">
        <v>693</v>
      </c>
      <c r="T48" t="str">
        <f t="shared" si="0"/>
        <v>Expensive</v>
      </c>
      <c r="V48" t="str">
        <f>_xlfn.CONCAT(G45," ",H45)</f>
        <v>ANTONY WESTLAKE</v>
      </c>
      <c r="X48" t="str">
        <f t="shared" si="1"/>
        <v>Antony Westlake</v>
      </c>
    </row>
    <row r="49" spans="1:24" ht="15.75" customHeight="1">
      <c r="A49" s="1" t="s">
        <v>249</v>
      </c>
      <c r="B49" s="2" t="s">
        <v>250</v>
      </c>
      <c r="C49" s="2" t="s">
        <v>145</v>
      </c>
      <c r="D49" s="2" t="s">
        <v>42</v>
      </c>
      <c r="E49" s="31" t="s">
        <v>251</v>
      </c>
      <c r="F49" s="2" t="s">
        <v>29</v>
      </c>
      <c r="G49" s="1" t="s">
        <v>252</v>
      </c>
      <c r="H49" s="1" t="s">
        <v>253</v>
      </c>
      <c r="I49" s="2">
        <v>700</v>
      </c>
      <c r="J49" s="28">
        <v>693</v>
      </c>
      <c r="K49" s="3">
        <v>0.01</v>
      </c>
      <c r="S49" s="28">
        <v>648</v>
      </c>
      <c r="T49" t="str">
        <f t="shared" si="0"/>
        <v>Expensive</v>
      </c>
      <c r="V49" t="str">
        <f>_xlfn.CONCAT(G46," ",H46)</f>
        <v>CHRISTINA PEDLEY</v>
      </c>
      <c r="X49" t="str">
        <f t="shared" si="1"/>
        <v>Christina Pedley</v>
      </c>
    </row>
    <row r="50" spans="1:24" ht="15.75" customHeight="1">
      <c r="A50" s="1" t="s">
        <v>254</v>
      </c>
      <c r="B50" s="2" t="s">
        <v>255</v>
      </c>
      <c r="C50" s="2" t="s">
        <v>54</v>
      </c>
      <c r="D50" s="2" t="s">
        <v>28</v>
      </c>
      <c r="E50" s="31" t="s">
        <v>256</v>
      </c>
      <c r="F50" s="2" t="s">
        <v>43</v>
      </c>
      <c r="G50" s="1" t="s">
        <v>257</v>
      </c>
      <c r="H50" s="1" t="s">
        <v>258</v>
      </c>
      <c r="I50" s="2">
        <v>50</v>
      </c>
      <c r="J50" s="28">
        <v>45</v>
      </c>
      <c r="K50" s="3">
        <v>0.1</v>
      </c>
      <c r="S50" s="28">
        <v>990</v>
      </c>
      <c r="T50" t="str">
        <f t="shared" si="0"/>
        <v>Expensive</v>
      </c>
      <c r="V50" t="str">
        <f>_xlfn.CONCAT(G47," ",H47)</f>
        <v>RONALD BUTLER</v>
      </c>
      <c r="X50" t="str">
        <f t="shared" si="1"/>
        <v>Ronald Butler</v>
      </c>
    </row>
    <row r="51" spans="1:24" ht="15.75" customHeight="1">
      <c r="A51" s="1" t="s">
        <v>259</v>
      </c>
      <c r="B51" s="2" t="s">
        <v>260</v>
      </c>
      <c r="C51" s="2" t="s">
        <v>261</v>
      </c>
      <c r="D51" s="2" t="s">
        <v>28</v>
      </c>
      <c r="E51" s="30">
        <v>43110</v>
      </c>
      <c r="F51" s="2" t="s">
        <v>67</v>
      </c>
      <c r="G51" s="1" t="s">
        <v>262</v>
      </c>
      <c r="H51" s="1" t="s">
        <v>263</v>
      </c>
      <c r="I51" s="2">
        <v>1000</v>
      </c>
      <c r="J51" s="28">
        <v>570</v>
      </c>
      <c r="K51" s="3">
        <v>0.43</v>
      </c>
      <c r="S51" s="28">
        <v>144</v>
      </c>
      <c r="T51" t="str">
        <f t="shared" si="0"/>
        <v>Inexpesive</v>
      </c>
      <c r="V51" t="str">
        <f>_xlfn.CONCAT(G48," ",H48)</f>
        <v>DONALD BARRATT</v>
      </c>
      <c r="X51" t="str">
        <f t="shared" si="1"/>
        <v>Donald Barratt</v>
      </c>
    </row>
    <row r="52" spans="1:24" ht="15.75" customHeight="1">
      <c r="A52" s="1" t="s">
        <v>264</v>
      </c>
      <c r="B52" s="2" t="s">
        <v>250</v>
      </c>
      <c r="C52" s="2" t="s">
        <v>145</v>
      </c>
      <c r="D52" s="2" t="s">
        <v>42</v>
      </c>
      <c r="E52" s="31" t="s">
        <v>265</v>
      </c>
      <c r="F52" s="2" t="s">
        <v>217</v>
      </c>
      <c r="G52" s="1" t="s">
        <v>266</v>
      </c>
      <c r="H52" s="1" t="s">
        <v>267</v>
      </c>
      <c r="I52" s="2">
        <v>50</v>
      </c>
      <c r="J52" s="28">
        <v>40</v>
      </c>
      <c r="K52" s="3">
        <v>0.2</v>
      </c>
      <c r="S52" s="28">
        <v>693</v>
      </c>
      <c r="T52" t="str">
        <f t="shared" si="0"/>
        <v>Expensive</v>
      </c>
      <c r="V52" t="str">
        <f>_xlfn.CONCAT(G49," ",H49)</f>
        <v>WOLF CHRISTIAN</v>
      </c>
      <c r="X52" t="str">
        <f t="shared" si="1"/>
        <v>Wolf Christian</v>
      </c>
    </row>
    <row r="53" spans="1:24" ht="15.75" customHeight="1">
      <c r="A53" s="1" t="s">
        <v>268</v>
      </c>
      <c r="B53" s="2" t="s">
        <v>150</v>
      </c>
      <c r="C53" s="2" t="s">
        <v>151</v>
      </c>
      <c r="D53" s="2" t="s">
        <v>14</v>
      </c>
      <c r="E53" s="31" t="s">
        <v>269</v>
      </c>
      <c r="F53" s="2" t="s">
        <v>61</v>
      </c>
      <c r="G53" s="1" t="s">
        <v>270</v>
      </c>
      <c r="H53" s="1" t="s">
        <v>271</v>
      </c>
      <c r="I53" s="2">
        <v>800</v>
      </c>
      <c r="J53" s="28">
        <v>608</v>
      </c>
      <c r="K53" s="3">
        <v>0.24</v>
      </c>
      <c r="S53" s="28">
        <v>45</v>
      </c>
      <c r="T53" t="str">
        <f t="shared" si="0"/>
        <v>Inexpesive</v>
      </c>
      <c r="V53" t="str">
        <f>_xlfn.CONCAT(G50," ",H50)</f>
        <v>BRENDON DYER</v>
      </c>
      <c r="X53" t="str">
        <f t="shared" si="1"/>
        <v>Brendon Dyer</v>
      </c>
    </row>
    <row r="54" spans="1:24" ht="15.75" customHeight="1">
      <c r="A54" s="1" t="s">
        <v>272</v>
      </c>
      <c r="B54" s="2" t="s">
        <v>273</v>
      </c>
      <c r="C54" s="2" t="s">
        <v>274</v>
      </c>
      <c r="D54" s="2" t="s">
        <v>14</v>
      </c>
      <c r="E54" s="31" t="s">
        <v>275</v>
      </c>
      <c r="F54" s="2" t="s">
        <v>29</v>
      </c>
      <c r="G54" s="1" t="s">
        <v>276</v>
      </c>
      <c r="H54" s="1" t="s">
        <v>277</v>
      </c>
      <c r="I54" s="2">
        <v>700</v>
      </c>
      <c r="J54" s="28">
        <v>679</v>
      </c>
      <c r="K54" s="3">
        <v>0.03</v>
      </c>
      <c r="S54" s="28">
        <v>570</v>
      </c>
      <c r="T54" t="str">
        <f t="shared" si="0"/>
        <v>Expensive</v>
      </c>
      <c r="V54" t="str">
        <f>_xlfn.CONCAT(G51," ",H51)</f>
        <v>STUART BROWN</v>
      </c>
      <c r="X54" t="str">
        <f t="shared" si="1"/>
        <v>Stuart Brown</v>
      </c>
    </row>
    <row r="55" spans="1:24" ht="15.75" customHeight="1">
      <c r="A55" s="1" t="s">
        <v>278</v>
      </c>
      <c r="B55" s="2" t="s">
        <v>127</v>
      </c>
      <c r="C55" s="2" t="s">
        <v>128</v>
      </c>
      <c r="D55" s="2" t="s">
        <v>21</v>
      </c>
      <c r="E55" s="31" t="s">
        <v>279</v>
      </c>
      <c r="F55" s="2" t="s">
        <v>15</v>
      </c>
      <c r="G55" s="1" t="s">
        <v>280</v>
      </c>
      <c r="H55" s="1" t="s">
        <v>281</v>
      </c>
      <c r="I55" s="2">
        <v>80</v>
      </c>
      <c r="J55" s="28">
        <v>58</v>
      </c>
      <c r="K55" s="3">
        <v>0.27500000000000002</v>
      </c>
      <c r="S55" s="28">
        <v>40</v>
      </c>
      <c r="T55" t="str">
        <f t="shared" si="0"/>
        <v>Inexpesive</v>
      </c>
      <c r="V55" t="str">
        <f>_xlfn.CONCAT(G52," ",H52)</f>
        <v>ALEN DINAN</v>
      </c>
      <c r="X55" t="str">
        <f t="shared" si="1"/>
        <v>Alen Dinan</v>
      </c>
    </row>
    <row r="56" spans="1:24" ht="15.75" customHeight="1">
      <c r="A56" s="1" t="s">
        <v>282</v>
      </c>
      <c r="B56" s="2" t="s">
        <v>283</v>
      </c>
      <c r="C56" s="2" t="s">
        <v>284</v>
      </c>
      <c r="D56" s="2" t="s">
        <v>14</v>
      </c>
      <c r="E56" s="31" t="s">
        <v>285</v>
      </c>
      <c r="F56" s="2" t="s">
        <v>55</v>
      </c>
      <c r="G56" s="1" t="s">
        <v>286</v>
      </c>
      <c r="H56" s="1" t="s">
        <v>287</v>
      </c>
      <c r="I56" s="2">
        <v>30</v>
      </c>
      <c r="J56" s="28">
        <v>26</v>
      </c>
      <c r="K56" s="3">
        <v>0.1333</v>
      </c>
      <c r="S56" s="28">
        <v>608</v>
      </c>
      <c r="T56" t="str">
        <f t="shared" si="0"/>
        <v>Expensive</v>
      </c>
      <c r="V56" t="str">
        <f>_xlfn.CONCAT(G53," ",H53)</f>
        <v>JACQUELINE CLAMP</v>
      </c>
      <c r="X56" t="str">
        <f t="shared" si="1"/>
        <v>Jacqueline Clamp</v>
      </c>
    </row>
    <row r="57" spans="1:24" ht="15.75" customHeight="1">
      <c r="A57" s="1" t="s">
        <v>288</v>
      </c>
      <c r="B57" s="2" t="s">
        <v>250</v>
      </c>
      <c r="C57" s="2" t="s">
        <v>145</v>
      </c>
      <c r="D57" s="2" t="s">
        <v>42</v>
      </c>
      <c r="E57" s="30">
        <v>42896</v>
      </c>
      <c r="F57" s="2" t="s">
        <v>36</v>
      </c>
      <c r="G57" s="1" t="s">
        <v>289</v>
      </c>
      <c r="H57" s="1" t="s">
        <v>290</v>
      </c>
      <c r="I57" s="2">
        <v>150</v>
      </c>
      <c r="J57" s="28">
        <v>140</v>
      </c>
      <c r="K57" s="3">
        <v>6.6699999999999995E-2</v>
      </c>
      <c r="S57" s="28">
        <v>679</v>
      </c>
      <c r="T57" t="str">
        <f t="shared" si="0"/>
        <v>Expensive</v>
      </c>
      <c r="V57" t="str">
        <f>_xlfn.CONCAT(G54," ",H54)</f>
        <v>ANDREW PHILLIPS</v>
      </c>
      <c r="X57" t="str">
        <f t="shared" si="1"/>
        <v>Andrew Phillips</v>
      </c>
    </row>
    <row r="58" spans="1:24" ht="15.75" customHeight="1">
      <c r="A58" s="1" t="s">
        <v>291</v>
      </c>
      <c r="B58" s="2" t="s">
        <v>121</v>
      </c>
      <c r="C58" s="2" t="s">
        <v>80</v>
      </c>
      <c r="D58" s="2" t="s">
        <v>42</v>
      </c>
      <c r="E58" s="31" t="s">
        <v>292</v>
      </c>
      <c r="F58" s="2" t="s">
        <v>82</v>
      </c>
      <c r="G58" s="1" t="s">
        <v>293</v>
      </c>
      <c r="H58" s="1" t="s">
        <v>294</v>
      </c>
      <c r="I58" s="2">
        <v>500</v>
      </c>
      <c r="J58" s="28">
        <v>490</v>
      </c>
      <c r="K58" s="3">
        <v>0.02</v>
      </c>
      <c r="S58" s="28">
        <v>58</v>
      </c>
      <c r="T58" t="str">
        <f t="shared" si="0"/>
        <v>Inexpesive</v>
      </c>
      <c r="V58" t="str">
        <f>_xlfn.CONCAT(G55," ",H55)</f>
        <v>ALAN DAVIE</v>
      </c>
      <c r="X58" t="str">
        <f t="shared" si="1"/>
        <v>Alan Davie</v>
      </c>
    </row>
    <row r="59" spans="1:24" ht="15.75" customHeight="1">
      <c r="A59" s="1" t="s">
        <v>295</v>
      </c>
      <c r="B59" s="2" t="s">
        <v>33</v>
      </c>
      <c r="C59" s="2" t="s">
        <v>34</v>
      </c>
      <c r="D59" s="2" t="s">
        <v>14</v>
      </c>
      <c r="E59" s="31" t="s">
        <v>296</v>
      </c>
      <c r="F59" s="2" t="s">
        <v>135</v>
      </c>
      <c r="G59" s="1" t="s">
        <v>297</v>
      </c>
      <c r="H59" s="1" t="s">
        <v>298</v>
      </c>
      <c r="I59" s="2">
        <v>250</v>
      </c>
      <c r="J59" s="28">
        <v>155</v>
      </c>
      <c r="K59" s="3">
        <v>0.38</v>
      </c>
      <c r="S59" s="28">
        <v>26</v>
      </c>
      <c r="T59" t="str">
        <f t="shared" si="0"/>
        <v>Inexpesive</v>
      </c>
      <c r="V59" t="str">
        <f>_xlfn.CONCAT(G56," ",H56)</f>
        <v>PENELOPE FREELAND</v>
      </c>
      <c r="X59" t="str">
        <f t="shared" si="1"/>
        <v>Penelope Freeland</v>
      </c>
    </row>
    <row r="60" spans="1:24" ht="15.75" customHeight="1">
      <c r="A60" s="1" t="s">
        <v>299</v>
      </c>
      <c r="B60" s="2" t="s">
        <v>234</v>
      </c>
      <c r="C60" s="2" t="s">
        <v>235</v>
      </c>
      <c r="D60" s="2" t="s">
        <v>28</v>
      </c>
      <c r="E60" s="31" t="s">
        <v>300</v>
      </c>
      <c r="F60" s="2" t="s">
        <v>123</v>
      </c>
      <c r="G60" s="1" t="s">
        <v>301</v>
      </c>
      <c r="H60" s="1" t="s">
        <v>302</v>
      </c>
      <c r="I60" s="2">
        <v>70</v>
      </c>
      <c r="J60" s="28">
        <v>48</v>
      </c>
      <c r="K60" s="3">
        <v>0.31430000000000002</v>
      </c>
      <c r="S60" s="28">
        <v>140</v>
      </c>
      <c r="T60" t="str">
        <f t="shared" si="0"/>
        <v>Inexpesive</v>
      </c>
      <c r="V60" t="str">
        <f>_xlfn.CONCAT(G57," ",H57)</f>
        <v>MICHELLE MURRAY</v>
      </c>
      <c r="X60" t="str">
        <f t="shared" si="1"/>
        <v>Michelle Murray</v>
      </c>
    </row>
    <row r="61" spans="1:24" ht="15.75" customHeight="1">
      <c r="A61" s="1" t="s">
        <v>303</v>
      </c>
      <c r="B61" s="2" t="s">
        <v>47</v>
      </c>
      <c r="C61" s="2" t="s">
        <v>48</v>
      </c>
      <c r="D61" s="2" t="s">
        <v>28</v>
      </c>
      <c r="E61" s="30">
        <v>43408</v>
      </c>
      <c r="F61" s="2" t="s">
        <v>123</v>
      </c>
      <c r="G61" s="1" t="s">
        <v>304</v>
      </c>
      <c r="H61" s="1" t="s">
        <v>305</v>
      </c>
      <c r="I61" s="2">
        <v>70</v>
      </c>
      <c r="J61" s="28">
        <v>69</v>
      </c>
      <c r="K61" s="3">
        <v>1.43E-2</v>
      </c>
      <c r="S61" s="28">
        <v>490</v>
      </c>
      <c r="T61" t="str">
        <f t="shared" si="0"/>
        <v>Inexpesive</v>
      </c>
      <c r="V61" t="str">
        <f>_xlfn.CONCAT(G58," ",H58)</f>
        <v>PAUL RULE</v>
      </c>
      <c r="X61" t="str">
        <f t="shared" si="1"/>
        <v>Paul Rule</v>
      </c>
    </row>
    <row r="62" spans="1:24" ht="15.75" customHeight="1">
      <c r="A62" s="1" t="s">
        <v>306</v>
      </c>
      <c r="B62" s="2" t="s">
        <v>250</v>
      </c>
      <c r="C62" s="2" t="s">
        <v>145</v>
      </c>
      <c r="D62" s="2" t="s">
        <v>42</v>
      </c>
      <c r="E62" s="30">
        <v>43293</v>
      </c>
      <c r="F62" s="2" t="s">
        <v>61</v>
      </c>
      <c r="G62" s="1" t="s">
        <v>307</v>
      </c>
      <c r="H62" s="1" t="s">
        <v>308</v>
      </c>
      <c r="I62" s="2">
        <v>800</v>
      </c>
      <c r="J62" s="28">
        <v>512</v>
      </c>
      <c r="K62" s="3">
        <v>0.36</v>
      </c>
      <c r="S62" s="28">
        <v>155</v>
      </c>
      <c r="T62" t="str">
        <f t="shared" si="0"/>
        <v>Inexpesive</v>
      </c>
      <c r="V62" t="str">
        <f>_xlfn.CONCAT(G59," ",H59)</f>
        <v>IAN MCCARTAN</v>
      </c>
      <c r="X62" t="str">
        <f t="shared" si="1"/>
        <v>Ian Mccartan</v>
      </c>
    </row>
    <row r="63" spans="1:24" ht="15.75" customHeight="1">
      <c r="A63" s="1" t="s">
        <v>309</v>
      </c>
      <c r="B63" s="2" t="s">
        <v>310</v>
      </c>
      <c r="C63" s="2" t="s">
        <v>311</v>
      </c>
      <c r="D63" s="2" t="s">
        <v>42</v>
      </c>
      <c r="E63" s="31" t="s">
        <v>312</v>
      </c>
      <c r="F63" s="2" t="s">
        <v>123</v>
      </c>
      <c r="G63" s="1" t="s">
        <v>313</v>
      </c>
      <c r="H63" s="1" t="s">
        <v>314</v>
      </c>
      <c r="I63" s="2">
        <v>70</v>
      </c>
      <c r="J63" s="28">
        <v>64</v>
      </c>
      <c r="K63" s="3">
        <v>8.5699999999999998E-2</v>
      </c>
      <c r="S63" s="28">
        <v>48</v>
      </c>
      <c r="T63" t="str">
        <f t="shared" si="0"/>
        <v>Inexpesive</v>
      </c>
      <c r="V63" t="str">
        <f>_xlfn.CONCAT(G60," ",H60)</f>
        <v>SHELLEY MANNIX</v>
      </c>
      <c r="X63" t="str">
        <f t="shared" si="1"/>
        <v>Shelley Mannix</v>
      </c>
    </row>
    <row r="64" spans="1:24" ht="15.75" customHeight="1">
      <c r="A64" s="1" t="s">
        <v>315</v>
      </c>
      <c r="B64" s="2" t="s">
        <v>198</v>
      </c>
      <c r="C64" s="2" t="s">
        <v>199</v>
      </c>
      <c r="D64" s="2" t="s">
        <v>14</v>
      </c>
      <c r="E64" s="30">
        <v>42066</v>
      </c>
      <c r="F64" s="2" t="s">
        <v>43</v>
      </c>
      <c r="G64" s="1" t="s">
        <v>316</v>
      </c>
      <c r="H64" s="1" t="s">
        <v>263</v>
      </c>
      <c r="I64" s="2">
        <v>50</v>
      </c>
      <c r="J64" s="28">
        <v>46</v>
      </c>
      <c r="K64" s="3">
        <v>0.08</v>
      </c>
      <c r="S64" s="28">
        <v>69</v>
      </c>
      <c r="T64" t="str">
        <f t="shared" si="0"/>
        <v>Inexpesive</v>
      </c>
      <c r="V64" t="str">
        <f>_xlfn.CONCAT(G61," ",H61)</f>
        <v>JANET FORD</v>
      </c>
      <c r="X64" t="str">
        <f t="shared" si="1"/>
        <v>Janet Ford</v>
      </c>
    </row>
    <row r="65" spans="1:24" ht="15.75" customHeight="1">
      <c r="A65" s="1" t="s">
        <v>317</v>
      </c>
      <c r="B65" s="2" t="s">
        <v>12</v>
      </c>
      <c r="C65" s="2" t="s">
        <v>13</v>
      </c>
      <c r="D65" s="2" t="s">
        <v>14</v>
      </c>
      <c r="E65" s="31" t="s">
        <v>318</v>
      </c>
      <c r="F65" s="2" t="s">
        <v>67</v>
      </c>
      <c r="G65" s="1" t="s">
        <v>319</v>
      </c>
      <c r="H65" s="1" t="s">
        <v>320</v>
      </c>
      <c r="I65" s="2">
        <v>1000</v>
      </c>
      <c r="J65" s="28">
        <v>880</v>
      </c>
      <c r="K65" s="3">
        <v>0.12</v>
      </c>
      <c r="S65" s="28">
        <v>512</v>
      </c>
      <c r="T65" t="str">
        <f t="shared" si="0"/>
        <v>Expensive</v>
      </c>
      <c r="V65" t="str">
        <f>_xlfn.CONCAT(G62," ",H62)</f>
        <v>CRAIG JOHNSON</v>
      </c>
      <c r="X65" t="str">
        <f t="shared" si="1"/>
        <v>Craig Johnson</v>
      </c>
    </row>
    <row r="66" spans="1:24" ht="15.75" customHeight="1">
      <c r="A66" s="1" t="s">
        <v>321</v>
      </c>
      <c r="B66" s="2" t="s">
        <v>260</v>
      </c>
      <c r="C66" s="2" t="s">
        <v>261</v>
      </c>
      <c r="D66" s="2" t="s">
        <v>28</v>
      </c>
      <c r="E66" s="30">
        <v>41642</v>
      </c>
      <c r="F66" s="2" t="s">
        <v>61</v>
      </c>
      <c r="G66" s="1" t="s">
        <v>322</v>
      </c>
      <c r="H66" s="1" t="s">
        <v>323</v>
      </c>
      <c r="I66" s="2">
        <v>800</v>
      </c>
      <c r="J66" s="28">
        <v>712</v>
      </c>
      <c r="K66" s="3">
        <v>0.11</v>
      </c>
      <c r="S66" s="28">
        <v>64</v>
      </c>
      <c r="T66" t="str">
        <f t="shared" si="0"/>
        <v>Inexpesive</v>
      </c>
      <c r="V66" t="str">
        <f>_xlfn.CONCAT(G63," ",H63)</f>
        <v>TRUDI GRIFFIN</v>
      </c>
      <c r="X66" t="str">
        <f t="shared" si="1"/>
        <v>Trudi Griffin</v>
      </c>
    </row>
    <row r="67" spans="1:24" ht="15.75" customHeight="1">
      <c r="A67" s="1" t="s">
        <v>324</v>
      </c>
      <c r="B67" s="2" t="s">
        <v>71</v>
      </c>
      <c r="C67" s="2" t="s">
        <v>72</v>
      </c>
      <c r="D67" s="2" t="s">
        <v>42</v>
      </c>
      <c r="E67" s="31" t="s">
        <v>325</v>
      </c>
      <c r="F67" s="2" t="s">
        <v>67</v>
      </c>
      <c r="G67" s="1" t="s">
        <v>326</v>
      </c>
      <c r="H67" s="1" t="s">
        <v>327</v>
      </c>
      <c r="I67" s="2">
        <v>1000</v>
      </c>
      <c r="J67" s="28">
        <v>740</v>
      </c>
      <c r="K67" s="3">
        <v>0.26</v>
      </c>
      <c r="S67" s="28">
        <v>46</v>
      </c>
      <c r="T67" t="str">
        <f t="shared" si="0"/>
        <v>Inexpesive</v>
      </c>
      <c r="V67" t="str">
        <f>_xlfn.CONCAT(G64," ",H64)</f>
        <v>VALERIE BROWN</v>
      </c>
      <c r="X67" t="str">
        <f t="shared" si="1"/>
        <v>Valerie Brown</v>
      </c>
    </row>
    <row r="68" spans="1:24" ht="15.75" customHeight="1">
      <c r="A68" s="1" t="s">
        <v>328</v>
      </c>
      <c r="B68" s="2" t="s">
        <v>103</v>
      </c>
      <c r="C68" s="2" t="s">
        <v>104</v>
      </c>
      <c r="D68" s="2" t="s">
        <v>42</v>
      </c>
      <c r="E68" s="30">
        <v>43316</v>
      </c>
      <c r="F68" s="2" t="s">
        <v>67</v>
      </c>
      <c r="G68" s="1" t="s">
        <v>329</v>
      </c>
      <c r="H68" s="1" t="s">
        <v>330</v>
      </c>
      <c r="I68" s="2">
        <v>1000</v>
      </c>
      <c r="J68" s="28">
        <v>930</v>
      </c>
      <c r="K68" s="3">
        <v>7.0000000000000007E-2</v>
      </c>
      <c r="S68" s="28">
        <v>880</v>
      </c>
      <c r="T68" t="str">
        <f t="shared" si="0"/>
        <v>Expensive</v>
      </c>
      <c r="V68" t="str">
        <f>_xlfn.CONCAT(G65," ",H65)</f>
        <v>DERMOT BAILEY</v>
      </c>
      <c r="X68" t="str">
        <f t="shared" si="1"/>
        <v>Dermot Bailey</v>
      </c>
    </row>
    <row r="69" spans="1:24" ht="15.75" customHeight="1">
      <c r="A69" s="1" t="s">
        <v>331</v>
      </c>
      <c r="B69" s="2" t="s">
        <v>283</v>
      </c>
      <c r="C69" s="2" t="s">
        <v>284</v>
      </c>
      <c r="D69" s="2" t="s">
        <v>14</v>
      </c>
      <c r="E69" s="31" t="s">
        <v>332</v>
      </c>
      <c r="F69" s="2" t="s">
        <v>49</v>
      </c>
      <c r="G69" s="1" t="s">
        <v>333</v>
      </c>
      <c r="H69" s="1" t="s">
        <v>334</v>
      </c>
      <c r="I69" s="2">
        <v>500</v>
      </c>
      <c r="J69" s="28">
        <v>455</v>
      </c>
      <c r="K69" s="3">
        <v>0.09</v>
      </c>
      <c r="S69" s="28">
        <v>712</v>
      </c>
      <c r="T69" t="str">
        <f t="shared" si="0"/>
        <v>Expensive</v>
      </c>
      <c r="V69" t="str">
        <f>_xlfn.CONCAT(G66," ",H66)</f>
        <v>ABDUL HEYWOOD</v>
      </c>
      <c r="X69" t="str">
        <f t="shared" si="1"/>
        <v>Abdul Heywood</v>
      </c>
    </row>
    <row r="70" spans="1:24" ht="15.75" customHeight="1">
      <c r="A70" s="1" t="s">
        <v>335</v>
      </c>
      <c r="B70" s="2" t="s">
        <v>336</v>
      </c>
      <c r="C70" s="2" t="s">
        <v>128</v>
      </c>
      <c r="D70" s="2" t="s">
        <v>21</v>
      </c>
      <c r="E70" s="31" t="s">
        <v>337</v>
      </c>
      <c r="F70" s="2" t="s">
        <v>29</v>
      </c>
      <c r="G70" s="1" t="s">
        <v>338</v>
      </c>
      <c r="H70" s="1" t="s">
        <v>339</v>
      </c>
      <c r="I70" s="2">
        <v>700</v>
      </c>
      <c r="J70" s="28">
        <v>700</v>
      </c>
      <c r="K70" s="3">
        <v>0</v>
      </c>
      <c r="S70" s="28">
        <v>740</v>
      </c>
      <c r="T70" t="str">
        <f t="shared" ref="T70:T133" si="2">IF(S70&gt;500,"Expensive","Inexpesive")</f>
        <v>Expensive</v>
      </c>
      <c r="V70" t="str">
        <f>_xlfn.CONCAT(G67," ",H67)</f>
        <v>MARY MITCHELL</v>
      </c>
      <c r="X70" t="str">
        <f t="shared" ref="X70:X133" si="3">PROPER(V70)</f>
        <v>Mary Mitchell</v>
      </c>
    </row>
    <row r="71" spans="1:24" ht="15.75" customHeight="1">
      <c r="A71" s="1" t="s">
        <v>340</v>
      </c>
      <c r="B71" s="2" t="s">
        <v>12</v>
      </c>
      <c r="C71" s="2" t="s">
        <v>13</v>
      </c>
      <c r="D71" s="2" t="s">
        <v>14</v>
      </c>
      <c r="E71" s="31" t="s">
        <v>341</v>
      </c>
      <c r="F71" s="2" t="s">
        <v>55</v>
      </c>
      <c r="G71" s="1" t="s">
        <v>342</v>
      </c>
      <c r="H71" s="1" t="s">
        <v>343</v>
      </c>
      <c r="I71" s="2">
        <v>30</v>
      </c>
      <c r="J71" s="28">
        <v>29</v>
      </c>
      <c r="K71" s="3">
        <v>3.3300000000000003E-2</v>
      </c>
      <c r="S71" s="28">
        <v>930</v>
      </c>
      <c r="T71" t="str">
        <f t="shared" si="2"/>
        <v>Expensive</v>
      </c>
      <c r="V71" t="str">
        <f>_xlfn.CONCAT(G68," ",H68)</f>
        <v>NEIL MCAVOY</v>
      </c>
      <c r="X71" t="str">
        <f t="shared" si="3"/>
        <v>Neil Mcavoy</v>
      </c>
    </row>
    <row r="72" spans="1:24" ht="15.75" customHeight="1">
      <c r="A72" s="1" t="s">
        <v>344</v>
      </c>
      <c r="B72" s="2" t="s">
        <v>345</v>
      </c>
      <c r="C72" s="2" t="s">
        <v>96</v>
      </c>
      <c r="D72" s="2" t="s">
        <v>14</v>
      </c>
      <c r="E72" s="30">
        <v>42859</v>
      </c>
      <c r="F72" s="2" t="s">
        <v>217</v>
      </c>
      <c r="G72" s="1" t="s">
        <v>346</v>
      </c>
      <c r="H72" s="1" t="s">
        <v>308</v>
      </c>
      <c r="I72" s="2">
        <v>50</v>
      </c>
      <c r="J72" s="28">
        <v>50</v>
      </c>
      <c r="K72" s="3">
        <v>0</v>
      </c>
      <c r="S72" s="28">
        <v>455</v>
      </c>
      <c r="T72" t="str">
        <f t="shared" si="2"/>
        <v>Inexpesive</v>
      </c>
      <c r="V72" t="str">
        <f>_xlfn.CONCAT(G69," ",H69)</f>
        <v>HOWARD JONES</v>
      </c>
      <c r="X72" t="str">
        <f t="shared" si="3"/>
        <v>Howard Jones</v>
      </c>
    </row>
    <row r="73" spans="1:24" ht="15.75" customHeight="1">
      <c r="A73" s="1" t="s">
        <v>347</v>
      </c>
      <c r="B73" s="2" t="s">
        <v>47</v>
      </c>
      <c r="C73" s="2" t="s">
        <v>48</v>
      </c>
      <c r="D73" s="2" t="s">
        <v>28</v>
      </c>
      <c r="E73" s="31" t="s">
        <v>348</v>
      </c>
      <c r="F73" s="2" t="s">
        <v>55</v>
      </c>
      <c r="G73" s="1" t="s">
        <v>349</v>
      </c>
      <c r="H73" s="1" t="s">
        <v>350</v>
      </c>
      <c r="I73" s="2">
        <v>30</v>
      </c>
      <c r="J73" s="28">
        <v>30</v>
      </c>
      <c r="K73" s="3">
        <v>0</v>
      </c>
      <c r="S73" s="28">
        <v>700</v>
      </c>
      <c r="T73" t="str">
        <f t="shared" si="2"/>
        <v>Expensive</v>
      </c>
      <c r="V73" t="str">
        <f>_xlfn.CONCAT(G70," ",H70)</f>
        <v>HEATHER MCGILL</v>
      </c>
      <c r="X73" t="str">
        <f t="shared" si="3"/>
        <v>Heather Mcgill</v>
      </c>
    </row>
    <row r="74" spans="1:24" ht="15.75" customHeight="1">
      <c r="A74" s="1" t="s">
        <v>351</v>
      </c>
      <c r="B74" s="2" t="s">
        <v>352</v>
      </c>
      <c r="C74" s="2" t="s">
        <v>128</v>
      </c>
      <c r="D74" s="2" t="s">
        <v>21</v>
      </c>
      <c r="E74" s="31" t="s">
        <v>353</v>
      </c>
      <c r="F74" s="2" t="s">
        <v>15</v>
      </c>
      <c r="G74" s="1" t="s">
        <v>354</v>
      </c>
      <c r="H74" s="1" t="s">
        <v>355</v>
      </c>
      <c r="I74" s="2">
        <v>80</v>
      </c>
      <c r="J74" s="28">
        <v>76</v>
      </c>
      <c r="K74" s="3">
        <v>0.05</v>
      </c>
      <c r="S74" s="28">
        <v>29</v>
      </c>
      <c r="T74" t="str">
        <f t="shared" si="2"/>
        <v>Inexpesive</v>
      </c>
      <c r="V74" t="str">
        <f>_xlfn.CONCAT(G71," ",H71)</f>
        <v>ALEXANDER HILLIER</v>
      </c>
      <c r="X74" t="str">
        <f t="shared" si="3"/>
        <v>Alexander Hillier</v>
      </c>
    </row>
    <row r="75" spans="1:24" ht="15.75" customHeight="1">
      <c r="A75" s="1" t="s">
        <v>356</v>
      </c>
      <c r="B75" s="2" t="s">
        <v>208</v>
      </c>
      <c r="C75" s="2" t="s">
        <v>209</v>
      </c>
      <c r="D75" s="2" t="s">
        <v>14</v>
      </c>
      <c r="E75" s="31" t="s">
        <v>357</v>
      </c>
      <c r="F75" s="2" t="s">
        <v>43</v>
      </c>
      <c r="G75" s="1" t="s">
        <v>358</v>
      </c>
      <c r="H75" s="1" t="s">
        <v>359</v>
      </c>
      <c r="I75" s="2">
        <v>50</v>
      </c>
      <c r="J75" s="28">
        <v>45</v>
      </c>
      <c r="K75" s="3">
        <v>0.1</v>
      </c>
      <c r="S75" s="28">
        <v>50</v>
      </c>
      <c r="T75" t="str">
        <f t="shared" si="2"/>
        <v>Inexpesive</v>
      </c>
      <c r="V75" t="str">
        <f>_xlfn.CONCAT(G72," ",H72)</f>
        <v>FIONA JOHNSON</v>
      </c>
      <c r="X75" t="str">
        <f t="shared" si="3"/>
        <v>Fiona Johnson</v>
      </c>
    </row>
    <row r="76" spans="1:24" ht="15.75" customHeight="1">
      <c r="A76" s="1" t="s">
        <v>360</v>
      </c>
      <c r="B76" s="2" t="s">
        <v>65</v>
      </c>
      <c r="C76" s="2" t="s">
        <v>66</v>
      </c>
      <c r="D76" s="2" t="s">
        <v>14</v>
      </c>
      <c r="E76" s="30">
        <v>43012</v>
      </c>
      <c r="F76" s="2" t="s">
        <v>123</v>
      </c>
      <c r="G76" s="1" t="s">
        <v>361</v>
      </c>
      <c r="H76" s="1" t="s">
        <v>362</v>
      </c>
      <c r="I76" s="2">
        <v>70</v>
      </c>
      <c r="J76" s="28">
        <v>68</v>
      </c>
      <c r="K76" s="3">
        <v>2.86E-2</v>
      </c>
      <c r="S76" s="28">
        <v>30</v>
      </c>
      <c r="T76" t="str">
        <f t="shared" si="2"/>
        <v>Inexpesive</v>
      </c>
      <c r="V76" t="str">
        <f>_xlfn.CONCAT(G73," ",H73)</f>
        <v>CLAIRE STOREY</v>
      </c>
      <c r="X76" t="str">
        <f t="shared" si="3"/>
        <v>Claire Storey</v>
      </c>
    </row>
    <row r="77" spans="1:24" ht="15.75" customHeight="1">
      <c r="A77" s="1" t="s">
        <v>363</v>
      </c>
      <c r="B77" s="2" t="s">
        <v>364</v>
      </c>
      <c r="C77" s="2" t="s">
        <v>365</v>
      </c>
      <c r="D77" s="2" t="s">
        <v>14</v>
      </c>
      <c r="E77" s="31" t="s">
        <v>366</v>
      </c>
      <c r="F77" s="2" t="s">
        <v>43</v>
      </c>
      <c r="G77" s="1" t="s">
        <v>367</v>
      </c>
      <c r="H77" s="1" t="s">
        <v>368</v>
      </c>
      <c r="I77" s="2">
        <v>50</v>
      </c>
      <c r="J77" s="28">
        <v>50</v>
      </c>
      <c r="K77" s="3">
        <v>0</v>
      </c>
      <c r="S77" s="28">
        <v>76</v>
      </c>
      <c r="T77" t="str">
        <f t="shared" si="2"/>
        <v>Inexpesive</v>
      </c>
      <c r="V77" t="str">
        <f>_xlfn.CONCAT(G74," ",H74)</f>
        <v>BARBARA TURNER</v>
      </c>
      <c r="X77" t="str">
        <f t="shared" si="3"/>
        <v>Barbara Turner</v>
      </c>
    </row>
    <row r="78" spans="1:24" ht="15.75" customHeight="1">
      <c r="A78" s="1" t="s">
        <v>369</v>
      </c>
      <c r="B78" s="2" t="s">
        <v>89</v>
      </c>
      <c r="C78" s="2" t="s">
        <v>90</v>
      </c>
      <c r="D78" s="2" t="s">
        <v>42</v>
      </c>
      <c r="E78" s="30">
        <v>41829</v>
      </c>
      <c r="F78" s="2" t="s">
        <v>123</v>
      </c>
      <c r="G78" s="1" t="s">
        <v>370</v>
      </c>
      <c r="H78" s="1" t="s">
        <v>371</v>
      </c>
      <c r="I78" s="2">
        <v>70</v>
      </c>
      <c r="J78" s="28">
        <v>62</v>
      </c>
      <c r="K78" s="3">
        <v>0.1143</v>
      </c>
      <c r="S78" s="28">
        <v>45</v>
      </c>
      <c r="T78" t="str">
        <f t="shared" si="2"/>
        <v>Inexpesive</v>
      </c>
      <c r="V78" t="str">
        <f>_xlfn.CONCAT(G75," ",H75)</f>
        <v>AUDREY KANE</v>
      </c>
      <c r="X78" t="str">
        <f t="shared" si="3"/>
        <v>Audrey Kane</v>
      </c>
    </row>
    <row r="79" spans="1:24" ht="15.75" customHeight="1">
      <c r="A79" s="1" t="s">
        <v>372</v>
      </c>
      <c r="B79" s="2" t="s">
        <v>373</v>
      </c>
      <c r="C79" s="2" t="s">
        <v>374</v>
      </c>
      <c r="D79" s="2" t="s">
        <v>14</v>
      </c>
      <c r="E79" s="30">
        <v>42716</v>
      </c>
      <c r="F79" s="2" t="s">
        <v>55</v>
      </c>
      <c r="G79" s="1" t="s">
        <v>375</v>
      </c>
      <c r="H79" s="1" t="s">
        <v>376</v>
      </c>
      <c r="I79" s="2">
        <v>30</v>
      </c>
      <c r="J79" s="28">
        <v>30</v>
      </c>
      <c r="K79" s="3">
        <v>0</v>
      </c>
      <c r="S79" s="28">
        <v>68</v>
      </c>
      <c r="T79" t="str">
        <f t="shared" si="2"/>
        <v>Inexpesive</v>
      </c>
      <c r="V79" t="str">
        <f>_xlfn.CONCAT(G76," ",H76)</f>
        <v>VICTORIA SHERWIN</v>
      </c>
      <c r="X79" t="str">
        <f t="shared" si="3"/>
        <v>Victoria Sherwin</v>
      </c>
    </row>
    <row r="80" spans="1:24" ht="15.75" customHeight="1">
      <c r="A80" s="1" t="s">
        <v>377</v>
      </c>
      <c r="B80" s="2" t="s">
        <v>79</v>
      </c>
      <c r="C80" s="2" t="s">
        <v>80</v>
      </c>
      <c r="D80" s="2" t="s">
        <v>42</v>
      </c>
      <c r="E80" s="31" t="s">
        <v>378</v>
      </c>
      <c r="F80" s="2" t="s">
        <v>55</v>
      </c>
      <c r="G80" s="1" t="s">
        <v>379</v>
      </c>
      <c r="H80" s="1" t="s">
        <v>308</v>
      </c>
      <c r="I80" s="2">
        <v>30</v>
      </c>
      <c r="J80" s="28">
        <v>23</v>
      </c>
      <c r="K80" s="3">
        <v>0.23330000000000001</v>
      </c>
      <c r="S80" s="28">
        <v>50</v>
      </c>
      <c r="T80" t="str">
        <f t="shared" si="2"/>
        <v>Inexpesive</v>
      </c>
      <c r="V80" t="str">
        <f>_xlfn.CONCAT(G77," ",H77)</f>
        <v>MAREK KWIATKOWSKI</v>
      </c>
      <c r="X80" t="str">
        <f t="shared" si="3"/>
        <v>Marek Kwiatkowski</v>
      </c>
    </row>
    <row r="81" spans="1:24" ht="15.75" customHeight="1">
      <c r="A81" s="1" t="s">
        <v>380</v>
      </c>
      <c r="B81" s="2" t="s">
        <v>283</v>
      </c>
      <c r="C81" s="2" t="s">
        <v>284</v>
      </c>
      <c r="D81" s="2" t="s">
        <v>14</v>
      </c>
      <c r="E81" s="31" t="s">
        <v>381</v>
      </c>
      <c r="F81" s="2" t="s">
        <v>82</v>
      </c>
      <c r="G81" s="1" t="s">
        <v>382</v>
      </c>
      <c r="H81" s="1" t="s">
        <v>290</v>
      </c>
      <c r="I81" s="2">
        <v>500</v>
      </c>
      <c r="J81" s="28">
        <v>490</v>
      </c>
      <c r="K81" s="3">
        <v>0.02</v>
      </c>
      <c r="S81" s="28">
        <v>62</v>
      </c>
      <c r="T81" t="str">
        <f t="shared" si="2"/>
        <v>Inexpesive</v>
      </c>
      <c r="V81" t="str">
        <f>_xlfn.CONCAT(G78," ",H78)</f>
        <v>KEN ROGERSON</v>
      </c>
      <c r="X81" t="str">
        <f t="shared" si="3"/>
        <v>Ken Rogerson</v>
      </c>
    </row>
    <row r="82" spans="1:24" ht="15.75" customHeight="1">
      <c r="A82" s="1" t="s">
        <v>383</v>
      </c>
      <c r="B82" s="2" t="s">
        <v>384</v>
      </c>
      <c r="C82" s="2" t="s">
        <v>385</v>
      </c>
      <c r="D82" s="2" t="s">
        <v>14</v>
      </c>
      <c r="E82" s="31" t="s">
        <v>386</v>
      </c>
      <c r="F82" s="2" t="s">
        <v>36</v>
      </c>
      <c r="G82" s="1" t="s">
        <v>387</v>
      </c>
      <c r="H82" s="1" t="s">
        <v>388</v>
      </c>
      <c r="I82" s="2">
        <v>150</v>
      </c>
      <c r="J82" s="28">
        <v>150</v>
      </c>
      <c r="K82" s="3">
        <v>0</v>
      </c>
      <c r="S82" s="28">
        <v>30</v>
      </c>
      <c r="T82" t="str">
        <f t="shared" si="2"/>
        <v>Inexpesive</v>
      </c>
      <c r="V82" t="str">
        <f>_xlfn.CONCAT(G79," ",H79)</f>
        <v>CONSTANCE TIDEY</v>
      </c>
      <c r="X82" t="str">
        <f t="shared" si="3"/>
        <v>Constance Tidey</v>
      </c>
    </row>
    <row r="83" spans="1:24" ht="15.75" customHeight="1">
      <c r="A83" s="1" t="s">
        <v>389</v>
      </c>
      <c r="B83" s="2" t="s">
        <v>103</v>
      </c>
      <c r="C83" s="2" t="s">
        <v>104</v>
      </c>
      <c r="D83" s="2" t="s">
        <v>42</v>
      </c>
      <c r="E83" s="30">
        <v>41827</v>
      </c>
      <c r="F83" s="2" t="s">
        <v>67</v>
      </c>
      <c r="G83" s="1" t="s">
        <v>390</v>
      </c>
      <c r="H83" s="1" t="s">
        <v>232</v>
      </c>
      <c r="I83" s="2">
        <v>1000</v>
      </c>
      <c r="J83" s="28">
        <v>510</v>
      </c>
      <c r="K83" s="3">
        <v>0.49</v>
      </c>
      <c r="S83" s="28">
        <v>23</v>
      </c>
      <c r="T83" t="str">
        <f t="shared" si="2"/>
        <v>Inexpesive</v>
      </c>
      <c r="V83" t="str">
        <f>_xlfn.CONCAT(G80," ",H80)</f>
        <v>ROY JOHNSON</v>
      </c>
      <c r="X83" t="str">
        <f t="shared" si="3"/>
        <v>Roy Johnson</v>
      </c>
    </row>
    <row r="84" spans="1:24" ht="15.75" customHeight="1">
      <c r="A84" s="1" t="s">
        <v>391</v>
      </c>
      <c r="B84" s="2" t="s">
        <v>12</v>
      </c>
      <c r="C84" s="2" t="s">
        <v>13</v>
      </c>
      <c r="D84" s="2" t="s">
        <v>14</v>
      </c>
      <c r="E84" s="30">
        <v>43051</v>
      </c>
      <c r="F84" s="2" t="s">
        <v>43</v>
      </c>
      <c r="G84" s="1" t="s">
        <v>392</v>
      </c>
      <c r="H84" s="1" t="s">
        <v>393</v>
      </c>
      <c r="I84" s="2">
        <v>50</v>
      </c>
      <c r="J84" s="28">
        <v>50</v>
      </c>
      <c r="K84" s="3">
        <v>0</v>
      </c>
      <c r="S84" s="28">
        <v>490</v>
      </c>
      <c r="T84" t="str">
        <f t="shared" si="2"/>
        <v>Inexpesive</v>
      </c>
      <c r="V84" t="str">
        <f>_xlfn.CONCAT(G81," ",H81)</f>
        <v>BARRIE MURRAY</v>
      </c>
      <c r="X84" t="str">
        <f t="shared" si="3"/>
        <v>Barrie Murray</v>
      </c>
    </row>
    <row r="85" spans="1:24" ht="15.75" customHeight="1">
      <c r="A85" s="1" t="s">
        <v>394</v>
      </c>
      <c r="B85" s="2" t="s">
        <v>283</v>
      </c>
      <c r="C85" s="2" t="s">
        <v>284</v>
      </c>
      <c r="D85" s="2" t="s">
        <v>14</v>
      </c>
      <c r="E85" s="30">
        <v>42528</v>
      </c>
      <c r="F85" s="2" t="s">
        <v>29</v>
      </c>
      <c r="G85" s="1" t="s">
        <v>395</v>
      </c>
      <c r="H85" s="1" t="s">
        <v>396</v>
      </c>
      <c r="I85" s="2">
        <v>700</v>
      </c>
      <c r="J85" s="28">
        <v>665</v>
      </c>
      <c r="K85" s="3">
        <v>0.05</v>
      </c>
      <c r="S85" s="28">
        <v>150</v>
      </c>
      <c r="T85" t="str">
        <f t="shared" si="2"/>
        <v>Inexpesive</v>
      </c>
      <c r="V85" t="str">
        <f>_xlfn.CONCAT(G82," ",H82)</f>
        <v>SARAH CHADWICK</v>
      </c>
      <c r="X85" t="str">
        <f t="shared" si="3"/>
        <v>Sarah Chadwick</v>
      </c>
    </row>
    <row r="86" spans="1:24" ht="15.75" customHeight="1">
      <c r="A86" s="1" t="s">
        <v>397</v>
      </c>
      <c r="B86" s="2" t="s">
        <v>180</v>
      </c>
      <c r="C86" s="2" t="s">
        <v>128</v>
      </c>
      <c r="D86" s="2" t="s">
        <v>21</v>
      </c>
      <c r="E86" s="30">
        <v>41678</v>
      </c>
      <c r="F86" s="2" t="s">
        <v>135</v>
      </c>
      <c r="G86" s="1" t="s">
        <v>398</v>
      </c>
      <c r="H86" s="1" t="s">
        <v>399</v>
      </c>
      <c r="I86" s="2">
        <v>250</v>
      </c>
      <c r="J86" s="28">
        <v>175</v>
      </c>
      <c r="K86" s="3">
        <v>0.3</v>
      </c>
      <c r="S86" s="28">
        <v>510</v>
      </c>
      <c r="T86" t="str">
        <f t="shared" si="2"/>
        <v>Expensive</v>
      </c>
      <c r="V86" t="str">
        <f>_xlfn.CONCAT(G83," ",H83)</f>
        <v>DENISE CLARK</v>
      </c>
      <c r="X86" t="str">
        <f t="shared" si="3"/>
        <v>Denise Clark</v>
      </c>
    </row>
    <row r="87" spans="1:24" ht="15.75" customHeight="1">
      <c r="A87" s="1" t="s">
        <v>400</v>
      </c>
      <c r="B87" s="2" t="s">
        <v>127</v>
      </c>
      <c r="C87" s="2" t="s">
        <v>128</v>
      </c>
      <c r="D87" s="2" t="s">
        <v>21</v>
      </c>
      <c r="E87" s="31" t="s">
        <v>185</v>
      </c>
      <c r="F87" s="2" t="s">
        <v>217</v>
      </c>
      <c r="G87" s="1" t="s">
        <v>401</v>
      </c>
      <c r="H87" s="1" t="s">
        <v>402</v>
      </c>
      <c r="I87" s="2">
        <v>50</v>
      </c>
      <c r="J87" s="28">
        <v>48</v>
      </c>
      <c r="K87" s="3">
        <v>0.04</v>
      </c>
      <c r="S87" s="28">
        <v>50</v>
      </c>
      <c r="T87" t="str">
        <f t="shared" si="2"/>
        <v>Inexpesive</v>
      </c>
      <c r="V87" t="str">
        <f>_xlfn.CONCAT(G84," ",H84)</f>
        <v>ZULFIQAR MIRZA</v>
      </c>
      <c r="X87" t="str">
        <f t="shared" si="3"/>
        <v>Zulfiqar Mirza</v>
      </c>
    </row>
    <row r="88" spans="1:24" ht="15.75" customHeight="1">
      <c r="A88" s="1" t="s">
        <v>403</v>
      </c>
      <c r="B88" s="2" t="s">
        <v>174</v>
      </c>
      <c r="C88" s="2" t="s">
        <v>175</v>
      </c>
      <c r="D88" s="2" t="s">
        <v>14</v>
      </c>
      <c r="E88" s="30">
        <v>42134</v>
      </c>
      <c r="F88" s="2" t="s">
        <v>123</v>
      </c>
      <c r="G88" s="1" t="s">
        <v>404</v>
      </c>
      <c r="H88" s="1" t="s">
        <v>405</v>
      </c>
      <c r="I88" s="2">
        <v>70</v>
      </c>
      <c r="J88" s="28">
        <v>57</v>
      </c>
      <c r="K88" s="3">
        <v>0.1857</v>
      </c>
      <c r="S88" s="28">
        <v>665</v>
      </c>
      <c r="T88" t="str">
        <f t="shared" si="2"/>
        <v>Expensive</v>
      </c>
      <c r="V88" t="str">
        <f>_xlfn.CONCAT(G85," ",H85)</f>
        <v>PHILIP SUTHERLAND</v>
      </c>
      <c r="X88" t="str">
        <f t="shared" si="3"/>
        <v>Philip Sutherland</v>
      </c>
    </row>
    <row r="89" spans="1:24" ht="15.75" customHeight="1">
      <c r="A89" s="1" t="s">
        <v>406</v>
      </c>
      <c r="B89" s="2" t="s">
        <v>234</v>
      </c>
      <c r="C89" s="2" t="s">
        <v>235</v>
      </c>
      <c r="D89" s="2" t="s">
        <v>28</v>
      </c>
      <c r="E89" s="31" t="s">
        <v>407</v>
      </c>
      <c r="F89" s="2" t="s">
        <v>55</v>
      </c>
      <c r="G89" s="1" t="s">
        <v>408</v>
      </c>
      <c r="H89" s="1" t="s">
        <v>409</v>
      </c>
      <c r="I89" s="2">
        <v>30</v>
      </c>
      <c r="J89" s="28">
        <v>27</v>
      </c>
      <c r="K89" s="3">
        <v>0.1</v>
      </c>
      <c r="S89" s="28">
        <v>175</v>
      </c>
      <c r="T89" t="str">
        <f t="shared" si="2"/>
        <v>Inexpesive</v>
      </c>
      <c r="V89" t="str">
        <f>_xlfn.CONCAT(G86," ",H86)</f>
        <v>CHANDRAKANT ATKINS</v>
      </c>
      <c r="X89" t="str">
        <f t="shared" si="3"/>
        <v>Chandrakant Atkins</v>
      </c>
    </row>
    <row r="90" spans="1:24" ht="15.75" customHeight="1">
      <c r="A90" s="1" t="s">
        <v>410</v>
      </c>
      <c r="B90" s="2" t="s">
        <v>364</v>
      </c>
      <c r="C90" s="2" t="s">
        <v>365</v>
      </c>
      <c r="D90" s="2" t="s">
        <v>14</v>
      </c>
      <c r="E90" s="30">
        <v>42134</v>
      </c>
      <c r="F90" s="2" t="s">
        <v>55</v>
      </c>
      <c r="G90" s="1" t="s">
        <v>411</v>
      </c>
      <c r="H90" s="1" t="s">
        <v>412</v>
      </c>
      <c r="I90" s="2">
        <v>30</v>
      </c>
      <c r="J90" s="28">
        <v>26</v>
      </c>
      <c r="K90" s="3">
        <v>0.1333</v>
      </c>
      <c r="S90" s="28">
        <v>48</v>
      </c>
      <c r="T90" t="str">
        <f t="shared" si="2"/>
        <v>Inexpesive</v>
      </c>
      <c r="V90" t="str">
        <f>_xlfn.CONCAT(G87," ",H87)</f>
        <v>DEREK HARRIS</v>
      </c>
      <c r="X90" t="str">
        <f t="shared" si="3"/>
        <v>Derek Harris</v>
      </c>
    </row>
    <row r="91" spans="1:24" ht="15.75" customHeight="1">
      <c r="A91" s="1" t="s">
        <v>413</v>
      </c>
      <c r="B91" s="2" t="s">
        <v>414</v>
      </c>
      <c r="C91" s="2" t="s">
        <v>104</v>
      </c>
      <c r="D91" s="2" t="s">
        <v>42</v>
      </c>
      <c r="E91" s="30">
        <v>43323</v>
      </c>
      <c r="F91" s="2" t="s">
        <v>82</v>
      </c>
      <c r="G91" s="1" t="s">
        <v>415</v>
      </c>
      <c r="H91" s="1" t="s">
        <v>416</v>
      </c>
      <c r="I91" s="2">
        <v>500</v>
      </c>
      <c r="J91" s="28">
        <v>500</v>
      </c>
      <c r="K91" s="3">
        <v>0</v>
      </c>
      <c r="S91" s="28">
        <v>57</v>
      </c>
      <c r="T91" t="str">
        <f t="shared" si="2"/>
        <v>Inexpesive</v>
      </c>
      <c r="V91" t="str">
        <f>_xlfn.CONCAT(G88," ",H88)</f>
        <v>JOANNE SAYER</v>
      </c>
      <c r="X91" t="str">
        <f t="shared" si="3"/>
        <v>Joanne Sayer</v>
      </c>
    </row>
    <row r="92" spans="1:24" ht="15.75" customHeight="1">
      <c r="A92" s="1" t="s">
        <v>417</v>
      </c>
      <c r="B92" s="2" t="s">
        <v>418</v>
      </c>
      <c r="C92" s="2" t="s">
        <v>419</v>
      </c>
      <c r="D92" s="2" t="s">
        <v>14</v>
      </c>
      <c r="E92" s="31" t="s">
        <v>420</v>
      </c>
      <c r="F92" s="2" t="s">
        <v>67</v>
      </c>
      <c r="G92" s="1" t="s">
        <v>421</v>
      </c>
      <c r="H92" s="1" t="s">
        <v>223</v>
      </c>
      <c r="I92" s="2">
        <v>1000</v>
      </c>
      <c r="J92" s="28">
        <v>780</v>
      </c>
      <c r="K92" s="3">
        <v>0.22</v>
      </c>
      <c r="S92" s="28">
        <v>27</v>
      </c>
      <c r="T92" t="str">
        <f t="shared" si="2"/>
        <v>Inexpesive</v>
      </c>
      <c r="V92" t="str">
        <f>_xlfn.CONCAT(G89," ",H89)</f>
        <v>LISA MANNING</v>
      </c>
      <c r="X92" t="str">
        <f t="shared" si="3"/>
        <v>Lisa Manning</v>
      </c>
    </row>
    <row r="93" spans="1:24" ht="15.75" customHeight="1">
      <c r="A93" s="1" t="s">
        <v>422</v>
      </c>
      <c r="B93" s="2" t="s">
        <v>156</v>
      </c>
      <c r="C93" s="2" t="s">
        <v>128</v>
      </c>
      <c r="D93" s="2" t="s">
        <v>21</v>
      </c>
      <c r="E93" s="30">
        <v>43286</v>
      </c>
      <c r="F93" s="2" t="s">
        <v>123</v>
      </c>
      <c r="G93" s="1" t="s">
        <v>423</v>
      </c>
      <c r="H93" s="1" t="s">
        <v>424</v>
      </c>
      <c r="I93" s="2">
        <v>70</v>
      </c>
      <c r="J93" s="28">
        <v>60</v>
      </c>
      <c r="K93" s="3">
        <v>0.1429</v>
      </c>
      <c r="S93" s="28">
        <v>26</v>
      </c>
      <c r="T93" t="str">
        <f t="shared" si="2"/>
        <v>Inexpesive</v>
      </c>
      <c r="V93" t="str">
        <f>_xlfn.CONCAT(G90," ",H90)</f>
        <v>BASIL BAIN</v>
      </c>
      <c r="X93" t="str">
        <f t="shared" si="3"/>
        <v>Basil Bain</v>
      </c>
    </row>
    <row r="94" spans="1:24" ht="15.75" customHeight="1">
      <c r="A94" s="1" t="s">
        <v>425</v>
      </c>
      <c r="B94" s="2" t="s">
        <v>95</v>
      </c>
      <c r="C94" s="2" t="s">
        <v>96</v>
      </c>
      <c r="D94" s="2" t="s">
        <v>14</v>
      </c>
      <c r="E94" s="31" t="s">
        <v>426</v>
      </c>
      <c r="F94" s="2" t="s">
        <v>123</v>
      </c>
      <c r="G94" s="1" t="s">
        <v>427</v>
      </c>
      <c r="H94" s="1" t="s">
        <v>428</v>
      </c>
      <c r="I94" s="2">
        <v>70</v>
      </c>
      <c r="J94" s="28">
        <v>69</v>
      </c>
      <c r="K94" s="3">
        <v>1.43E-2</v>
      </c>
      <c r="S94" s="28">
        <v>500</v>
      </c>
      <c r="T94" t="str">
        <f t="shared" si="2"/>
        <v>Inexpesive</v>
      </c>
      <c r="V94" t="str">
        <f>_xlfn.CONCAT(G91," ",H91)</f>
        <v>TONY MILNER</v>
      </c>
      <c r="X94" t="str">
        <f t="shared" si="3"/>
        <v>Tony Milner</v>
      </c>
    </row>
    <row r="95" spans="1:24" ht="15.75" customHeight="1">
      <c r="A95" s="1" t="s">
        <v>429</v>
      </c>
      <c r="B95" s="2" t="s">
        <v>79</v>
      </c>
      <c r="C95" s="2" t="s">
        <v>80</v>
      </c>
      <c r="D95" s="2" t="s">
        <v>42</v>
      </c>
      <c r="E95" s="30">
        <v>42494</v>
      </c>
      <c r="F95" s="2" t="s">
        <v>15</v>
      </c>
      <c r="G95" s="1" t="s">
        <v>430</v>
      </c>
      <c r="H95" s="1" t="s">
        <v>431</v>
      </c>
      <c r="I95" s="2">
        <v>80</v>
      </c>
      <c r="J95" s="28">
        <v>78</v>
      </c>
      <c r="K95" s="3">
        <v>2.5000000000000001E-2</v>
      </c>
      <c r="S95" s="28">
        <v>780</v>
      </c>
      <c r="T95" t="str">
        <f t="shared" si="2"/>
        <v>Expensive</v>
      </c>
      <c r="V95" t="str">
        <f>_xlfn.CONCAT(G92," ",H92)</f>
        <v>PETER THOMPSON</v>
      </c>
      <c r="X95" t="str">
        <f t="shared" si="3"/>
        <v>Peter Thompson</v>
      </c>
    </row>
    <row r="96" spans="1:24" ht="15.75" customHeight="1">
      <c r="A96" s="1" t="s">
        <v>432</v>
      </c>
      <c r="B96" s="2" t="s">
        <v>89</v>
      </c>
      <c r="C96" s="2" t="s">
        <v>90</v>
      </c>
      <c r="D96" s="2" t="s">
        <v>42</v>
      </c>
      <c r="E96" s="31" t="s">
        <v>433</v>
      </c>
      <c r="F96" s="2" t="s">
        <v>55</v>
      </c>
      <c r="G96" s="1" t="s">
        <v>434</v>
      </c>
      <c r="H96" s="1" t="s">
        <v>435</v>
      </c>
      <c r="I96" s="2">
        <v>30</v>
      </c>
      <c r="J96" s="28">
        <v>28</v>
      </c>
      <c r="K96" s="3">
        <v>6.6699999999999995E-2</v>
      </c>
      <c r="S96" s="28">
        <v>60</v>
      </c>
      <c r="T96" t="str">
        <f t="shared" si="2"/>
        <v>Inexpesive</v>
      </c>
      <c r="V96" t="str">
        <f>_xlfn.CONCAT(G93," ",H93)</f>
        <v>NICK GEE</v>
      </c>
      <c r="X96" t="str">
        <f t="shared" si="3"/>
        <v>Nick Gee</v>
      </c>
    </row>
    <row r="97" spans="1:24" ht="15.75" customHeight="1">
      <c r="A97" s="1" t="s">
        <v>436</v>
      </c>
      <c r="B97" s="2" t="s">
        <v>33</v>
      </c>
      <c r="C97" s="2" t="s">
        <v>34</v>
      </c>
      <c r="D97" s="2" t="s">
        <v>14</v>
      </c>
      <c r="E97" s="31" t="s">
        <v>437</v>
      </c>
      <c r="F97" s="2" t="s">
        <v>49</v>
      </c>
      <c r="G97" s="1" t="s">
        <v>438</v>
      </c>
      <c r="H97" s="1" t="s">
        <v>439</v>
      </c>
      <c r="I97" s="2">
        <v>500</v>
      </c>
      <c r="J97" s="28">
        <v>315</v>
      </c>
      <c r="K97" s="3">
        <v>0.37</v>
      </c>
      <c r="S97" s="28">
        <v>69</v>
      </c>
      <c r="T97" t="str">
        <f t="shared" si="2"/>
        <v>Inexpesive</v>
      </c>
      <c r="V97" t="str">
        <f>_xlfn.CONCAT(G94," ",H94)</f>
        <v>JACOB PERCIVAL</v>
      </c>
      <c r="X97" t="str">
        <f t="shared" si="3"/>
        <v>Jacob Percival</v>
      </c>
    </row>
    <row r="98" spans="1:24" ht="15.75" customHeight="1">
      <c r="A98" s="1" t="s">
        <v>440</v>
      </c>
      <c r="B98" s="2" t="s">
        <v>53</v>
      </c>
      <c r="C98" s="2" t="s">
        <v>54</v>
      </c>
      <c r="D98" s="2" t="s">
        <v>28</v>
      </c>
      <c r="E98" s="30">
        <v>42495</v>
      </c>
      <c r="F98" s="2" t="s">
        <v>55</v>
      </c>
      <c r="G98" s="1" t="s">
        <v>441</v>
      </c>
      <c r="H98" s="1" t="s">
        <v>442</v>
      </c>
      <c r="I98" s="2">
        <v>30</v>
      </c>
      <c r="J98" s="28">
        <v>29</v>
      </c>
      <c r="K98" s="3">
        <v>3.3300000000000003E-2</v>
      </c>
      <c r="S98" s="28">
        <v>78</v>
      </c>
      <c r="T98" t="str">
        <f t="shared" si="2"/>
        <v>Inexpesive</v>
      </c>
      <c r="V98" t="str">
        <f>_xlfn.CONCAT(G95," ",H95)</f>
        <v>GEOFFREY PATEL</v>
      </c>
      <c r="X98" t="str">
        <f t="shared" si="3"/>
        <v>Geoffrey Patel</v>
      </c>
    </row>
    <row r="99" spans="1:24" ht="15.75" customHeight="1">
      <c r="A99" s="1" t="s">
        <v>443</v>
      </c>
      <c r="B99" s="2" t="s">
        <v>444</v>
      </c>
      <c r="C99" s="2" t="s">
        <v>445</v>
      </c>
      <c r="D99" s="2" t="s">
        <v>14</v>
      </c>
      <c r="E99" s="31" t="s">
        <v>446</v>
      </c>
      <c r="F99" s="2" t="s">
        <v>29</v>
      </c>
      <c r="G99" s="1" t="s">
        <v>447</v>
      </c>
      <c r="H99" s="1" t="s">
        <v>211</v>
      </c>
      <c r="I99" s="2">
        <v>700</v>
      </c>
      <c r="J99" s="28">
        <v>595</v>
      </c>
      <c r="K99" s="3">
        <v>0.15</v>
      </c>
      <c r="S99" s="28">
        <v>28</v>
      </c>
      <c r="T99" t="str">
        <f t="shared" si="2"/>
        <v>Inexpesive</v>
      </c>
      <c r="V99" t="str">
        <f>_xlfn.CONCAT(G96," ",H96)</f>
        <v>ROSEMARY AZIZ</v>
      </c>
      <c r="X99" t="str">
        <f t="shared" si="3"/>
        <v>Rosemary Aziz</v>
      </c>
    </row>
    <row r="100" spans="1:24" ht="15.75" customHeight="1">
      <c r="A100" s="1" t="s">
        <v>448</v>
      </c>
      <c r="B100" s="2" t="s">
        <v>255</v>
      </c>
      <c r="C100" s="2" t="s">
        <v>54</v>
      </c>
      <c r="D100" s="2" t="s">
        <v>28</v>
      </c>
      <c r="E100" s="31" t="s">
        <v>449</v>
      </c>
      <c r="F100" s="2" t="s">
        <v>15</v>
      </c>
      <c r="G100" s="1" t="s">
        <v>450</v>
      </c>
      <c r="H100" s="1" t="s">
        <v>451</v>
      </c>
      <c r="I100" s="2">
        <v>80</v>
      </c>
      <c r="J100" s="28">
        <v>77</v>
      </c>
      <c r="K100" s="3">
        <v>3.7499999999999999E-2</v>
      </c>
      <c r="S100" s="28">
        <v>315</v>
      </c>
      <c r="T100" t="str">
        <f t="shared" si="2"/>
        <v>Inexpesive</v>
      </c>
      <c r="V100" t="str">
        <f>_xlfn.CONCAT(G97," ",H97)</f>
        <v>CORDIA ALSTON</v>
      </c>
      <c r="X100" t="str">
        <f t="shared" si="3"/>
        <v>Cordia Alston</v>
      </c>
    </row>
    <row r="101" spans="1:24" ht="15.75" customHeight="1">
      <c r="A101" s="1" t="s">
        <v>452</v>
      </c>
      <c r="B101" s="2" t="s">
        <v>273</v>
      </c>
      <c r="C101" s="2" t="s">
        <v>274</v>
      </c>
      <c r="D101" s="2" t="s">
        <v>14</v>
      </c>
      <c r="E101" s="31" t="s">
        <v>453</v>
      </c>
      <c r="F101" s="2" t="s">
        <v>217</v>
      </c>
      <c r="G101" s="1" t="s">
        <v>454</v>
      </c>
      <c r="H101" s="1" t="s">
        <v>455</v>
      </c>
      <c r="I101" s="2">
        <v>50</v>
      </c>
      <c r="J101" s="28">
        <v>43</v>
      </c>
      <c r="K101" s="3">
        <v>0.14000000000000001</v>
      </c>
      <c r="S101" s="28">
        <v>29</v>
      </c>
      <c r="T101" t="str">
        <f t="shared" si="2"/>
        <v>Inexpesive</v>
      </c>
      <c r="V101" t="str">
        <f>_xlfn.CONCAT(G98," ",H98)</f>
        <v>KEVIN MCLAUCHLIN</v>
      </c>
      <c r="X101" t="str">
        <f t="shared" si="3"/>
        <v>Kevin Mclauchlin</v>
      </c>
    </row>
    <row r="102" spans="1:24" ht="15.75" customHeight="1">
      <c r="A102" s="1" t="s">
        <v>456</v>
      </c>
      <c r="B102" s="2" t="s">
        <v>457</v>
      </c>
      <c r="C102" s="2" t="s">
        <v>458</v>
      </c>
      <c r="D102" s="2" t="s">
        <v>28</v>
      </c>
      <c r="E102" s="30">
        <v>42254</v>
      </c>
      <c r="F102" s="2" t="s">
        <v>67</v>
      </c>
      <c r="G102" s="1" t="s">
        <v>459</v>
      </c>
      <c r="H102" s="1" t="s">
        <v>460</v>
      </c>
      <c r="I102" s="2">
        <v>1000</v>
      </c>
      <c r="J102" s="28">
        <v>910</v>
      </c>
      <c r="K102" s="3">
        <v>0.09</v>
      </c>
      <c r="S102" s="28">
        <v>595</v>
      </c>
      <c r="T102" t="str">
        <f t="shared" si="2"/>
        <v>Expensive</v>
      </c>
      <c r="V102" t="str">
        <f>_xlfn.CONCAT(G99," ",H99)</f>
        <v>MARIE WHITFIELD</v>
      </c>
      <c r="X102" t="str">
        <f t="shared" si="3"/>
        <v>Marie Whitfield</v>
      </c>
    </row>
    <row r="103" spans="1:24" ht="15.75" customHeight="1">
      <c r="A103" s="1" t="s">
        <v>461</v>
      </c>
      <c r="B103" s="2" t="s">
        <v>260</v>
      </c>
      <c r="C103" s="2" t="s">
        <v>261</v>
      </c>
      <c r="D103" s="2" t="s">
        <v>28</v>
      </c>
      <c r="E103" s="31" t="s">
        <v>462</v>
      </c>
      <c r="F103" s="2" t="s">
        <v>55</v>
      </c>
      <c r="G103" s="1" t="s">
        <v>463</v>
      </c>
      <c r="H103" s="1" t="s">
        <v>464</v>
      </c>
      <c r="I103" s="2">
        <v>30</v>
      </c>
      <c r="J103" s="28">
        <v>28</v>
      </c>
      <c r="K103" s="3">
        <v>6.6699999999999995E-2</v>
      </c>
      <c r="S103" s="28">
        <v>77</v>
      </c>
      <c r="T103" t="str">
        <f t="shared" si="2"/>
        <v>Inexpesive</v>
      </c>
      <c r="V103" t="str">
        <f>_xlfn.CONCAT(G100," ",H100)</f>
        <v>MALCOLM GRIFFITH</v>
      </c>
      <c r="X103" t="str">
        <f t="shared" si="3"/>
        <v>Malcolm Griffith</v>
      </c>
    </row>
    <row r="104" spans="1:24" ht="15.75" customHeight="1">
      <c r="A104" s="1" t="s">
        <v>465</v>
      </c>
      <c r="B104" s="2" t="s">
        <v>198</v>
      </c>
      <c r="C104" s="2" t="s">
        <v>199</v>
      </c>
      <c r="D104" s="2" t="s">
        <v>14</v>
      </c>
      <c r="E104" s="30">
        <v>41641</v>
      </c>
      <c r="F104" s="2" t="s">
        <v>43</v>
      </c>
      <c r="G104" s="1" t="s">
        <v>466</v>
      </c>
      <c r="H104" s="1" t="s">
        <v>467</v>
      </c>
      <c r="I104" s="2">
        <v>50</v>
      </c>
      <c r="J104" s="28">
        <v>44</v>
      </c>
      <c r="K104" s="3">
        <v>0.12</v>
      </c>
      <c r="S104" s="28">
        <v>43</v>
      </c>
      <c r="T104" t="str">
        <f t="shared" si="2"/>
        <v>Inexpesive</v>
      </c>
      <c r="V104" t="str">
        <f>_xlfn.CONCAT(G101," ",H101)</f>
        <v>ALISON YOUNGER</v>
      </c>
      <c r="X104" t="str">
        <f t="shared" si="3"/>
        <v>Alison Younger</v>
      </c>
    </row>
    <row r="105" spans="1:24" ht="15.75" customHeight="1">
      <c r="A105" s="1" t="s">
        <v>468</v>
      </c>
      <c r="B105" s="2" t="s">
        <v>444</v>
      </c>
      <c r="C105" s="2" t="s">
        <v>445</v>
      </c>
      <c r="D105" s="2" t="s">
        <v>14</v>
      </c>
      <c r="E105" s="31" t="s">
        <v>469</v>
      </c>
      <c r="F105" s="2" t="s">
        <v>135</v>
      </c>
      <c r="G105" s="1" t="s">
        <v>470</v>
      </c>
      <c r="H105" s="1" t="s">
        <v>471</v>
      </c>
      <c r="I105" s="2">
        <v>250</v>
      </c>
      <c r="J105" s="28">
        <v>225</v>
      </c>
      <c r="K105" s="3">
        <v>0.1</v>
      </c>
      <c r="S105" s="28">
        <v>910</v>
      </c>
      <c r="T105" t="str">
        <f t="shared" si="2"/>
        <v>Expensive</v>
      </c>
      <c r="V105" t="str">
        <f>_xlfn.CONCAT(G102," ",H102)</f>
        <v>RAM MATHEWS</v>
      </c>
      <c r="X105" t="str">
        <f t="shared" si="3"/>
        <v>Ram Mathews</v>
      </c>
    </row>
    <row r="106" spans="1:24" ht="15.75" customHeight="1">
      <c r="A106" s="1" t="s">
        <v>472</v>
      </c>
      <c r="B106" s="2" t="s">
        <v>33</v>
      </c>
      <c r="C106" s="2" t="s">
        <v>34</v>
      </c>
      <c r="D106" s="2" t="s">
        <v>14</v>
      </c>
      <c r="E106" s="31" t="s">
        <v>473</v>
      </c>
      <c r="F106" s="2" t="s">
        <v>55</v>
      </c>
      <c r="G106" s="1" t="s">
        <v>474</v>
      </c>
      <c r="H106" s="1" t="s">
        <v>475</v>
      </c>
      <c r="I106" s="2">
        <v>30</v>
      </c>
      <c r="J106" s="28">
        <v>30</v>
      </c>
      <c r="K106" s="3">
        <v>0</v>
      </c>
      <c r="S106" s="28">
        <v>28</v>
      </c>
      <c r="T106" t="str">
        <f t="shared" si="2"/>
        <v>Inexpesive</v>
      </c>
      <c r="V106" t="str">
        <f>_xlfn.CONCAT(G103," ",H103)</f>
        <v>NAEEM PERRY</v>
      </c>
      <c r="X106" t="str">
        <f t="shared" si="3"/>
        <v>Naeem Perry</v>
      </c>
    </row>
    <row r="107" spans="1:24" ht="15.75" customHeight="1">
      <c r="A107" s="1" t="s">
        <v>476</v>
      </c>
      <c r="B107" s="2" t="s">
        <v>40</v>
      </c>
      <c r="C107" s="2" t="s">
        <v>41</v>
      </c>
      <c r="D107" s="2" t="s">
        <v>42</v>
      </c>
      <c r="E107" s="30">
        <v>42463</v>
      </c>
      <c r="F107" s="2" t="s">
        <v>67</v>
      </c>
      <c r="G107" s="1" t="s">
        <v>477</v>
      </c>
      <c r="H107" s="1" t="s">
        <v>478</v>
      </c>
      <c r="I107" s="2">
        <v>1000</v>
      </c>
      <c r="J107" s="28">
        <v>970</v>
      </c>
      <c r="K107" s="3">
        <v>0.03</v>
      </c>
      <c r="S107" s="28">
        <v>44</v>
      </c>
      <c r="T107" t="str">
        <f t="shared" si="2"/>
        <v>Inexpesive</v>
      </c>
      <c r="V107" t="str">
        <f>_xlfn.CONCAT(G104," ",H104)</f>
        <v>ANTHONY CONNOLLY</v>
      </c>
      <c r="X107" t="str">
        <f t="shared" si="3"/>
        <v>Anthony Connolly</v>
      </c>
    </row>
    <row r="108" spans="1:24" ht="15.75" customHeight="1">
      <c r="A108" s="1" t="s">
        <v>479</v>
      </c>
      <c r="B108" s="2" t="s">
        <v>345</v>
      </c>
      <c r="C108" s="2" t="s">
        <v>96</v>
      </c>
      <c r="D108" s="2" t="s">
        <v>14</v>
      </c>
      <c r="E108" s="31" t="s">
        <v>480</v>
      </c>
      <c r="F108" s="2" t="s">
        <v>123</v>
      </c>
      <c r="G108" s="1" t="s">
        <v>481</v>
      </c>
      <c r="H108" s="1" t="s">
        <v>482</v>
      </c>
      <c r="I108" s="2">
        <v>70</v>
      </c>
      <c r="J108" s="28">
        <v>63</v>
      </c>
      <c r="K108" s="3">
        <v>0.1</v>
      </c>
      <c r="S108" s="28">
        <v>225</v>
      </c>
      <c r="T108" t="str">
        <f t="shared" si="2"/>
        <v>Inexpesive</v>
      </c>
      <c r="V108" t="str">
        <f>_xlfn.CONCAT(G105," ",H105)</f>
        <v>BRENDA LIGHTFOOT</v>
      </c>
      <c r="X108" t="str">
        <f t="shared" si="3"/>
        <v>Brenda Lightfoot</v>
      </c>
    </row>
    <row r="109" spans="1:24" ht="15.75" customHeight="1">
      <c r="A109" s="1" t="s">
        <v>483</v>
      </c>
      <c r="B109" s="2" t="s">
        <v>457</v>
      </c>
      <c r="C109" s="2" t="s">
        <v>458</v>
      </c>
      <c r="D109" s="2" t="s">
        <v>28</v>
      </c>
      <c r="E109" s="31" t="s">
        <v>484</v>
      </c>
      <c r="F109" s="2" t="s">
        <v>43</v>
      </c>
      <c r="G109" s="1" t="s">
        <v>485</v>
      </c>
      <c r="H109" s="1" t="s">
        <v>486</v>
      </c>
      <c r="I109" s="2">
        <v>50</v>
      </c>
      <c r="J109" s="28">
        <v>49</v>
      </c>
      <c r="K109" s="3">
        <v>0.02</v>
      </c>
      <c r="S109" s="28">
        <v>30</v>
      </c>
      <c r="T109" t="str">
        <f t="shared" si="2"/>
        <v>Inexpesive</v>
      </c>
      <c r="V109" t="str">
        <f>_xlfn.CONCAT(G106," ",H106)</f>
        <v>CHLOE LYONS</v>
      </c>
      <c r="X109" t="str">
        <f t="shared" si="3"/>
        <v>Chloe Lyons</v>
      </c>
    </row>
    <row r="110" spans="1:24" ht="15.75" customHeight="1">
      <c r="A110" s="1" t="s">
        <v>487</v>
      </c>
      <c r="B110" s="2" t="s">
        <v>352</v>
      </c>
      <c r="C110" s="2" t="s">
        <v>128</v>
      </c>
      <c r="D110" s="2" t="s">
        <v>21</v>
      </c>
      <c r="E110" s="30">
        <v>41760</v>
      </c>
      <c r="F110" s="2" t="s">
        <v>135</v>
      </c>
      <c r="G110" s="1" t="s">
        <v>488</v>
      </c>
      <c r="H110" s="1" t="s">
        <v>489</v>
      </c>
      <c r="I110" s="2">
        <v>250</v>
      </c>
      <c r="J110" s="28">
        <v>193</v>
      </c>
      <c r="K110" s="3">
        <v>0.22800000000000001</v>
      </c>
      <c r="S110" s="28">
        <v>970</v>
      </c>
      <c r="T110" t="str">
        <f t="shared" si="2"/>
        <v>Expensive</v>
      </c>
      <c r="V110" t="str">
        <f>_xlfn.CONCAT(G107," ",H107)</f>
        <v>ARMAND AHMED</v>
      </c>
      <c r="X110" t="str">
        <f t="shared" si="3"/>
        <v>Armand Ahmed</v>
      </c>
    </row>
    <row r="111" spans="1:24" ht="15.75" customHeight="1">
      <c r="A111" s="1" t="s">
        <v>490</v>
      </c>
      <c r="B111" s="2" t="s">
        <v>156</v>
      </c>
      <c r="C111" s="2" t="s">
        <v>128</v>
      </c>
      <c r="D111" s="2" t="s">
        <v>21</v>
      </c>
      <c r="E111" s="31" t="s">
        <v>491</v>
      </c>
      <c r="F111" s="2" t="s">
        <v>15</v>
      </c>
      <c r="G111" s="1" t="s">
        <v>492</v>
      </c>
      <c r="H111" s="1" t="s">
        <v>493</v>
      </c>
      <c r="I111" s="2">
        <v>80</v>
      </c>
      <c r="J111" s="28">
        <v>72</v>
      </c>
      <c r="K111" s="3">
        <v>0.1</v>
      </c>
      <c r="S111" s="28">
        <v>63</v>
      </c>
      <c r="T111" t="str">
        <f t="shared" si="2"/>
        <v>Inexpesive</v>
      </c>
      <c r="V111" t="str">
        <f>_xlfn.CONCAT(G108," ",H108)</f>
        <v>ISLA PARSONS</v>
      </c>
      <c r="X111" t="str">
        <f t="shared" si="3"/>
        <v>Isla Parsons</v>
      </c>
    </row>
    <row r="112" spans="1:24" ht="15.75" customHeight="1">
      <c r="A112" s="1" t="s">
        <v>494</v>
      </c>
      <c r="B112" s="2" t="s">
        <v>133</v>
      </c>
      <c r="C112" s="2" t="s">
        <v>60</v>
      </c>
      <c r="D112" s="2" t="s">
        <v>14</v>
      </c>
      <c r="E112" s="31" t="s">
        <v>495</v>
      </c>
      <c r="F112" s="2" t="s">
        <v>15</v>
      </c>
      <c r="G112" s="1" t="s">
        <v>496</v>
      </c>
      <c r="H112" s="1" t="s">
        <v>497</v>
      </c>
      <c r="I112" s="2">
        <v>80</v>
      </c>
      <c r="J112" s="28">
        <v>58</v>
      </c>
      <c r="K112" s="3">
        <v>0.27500000000000002</v>
      </c>
      <c r="S112" s="28">
        <v>49</v>
      </c>
      <c r="T112" t="str">
        <f t="shared" si="2"/>
        <v>Inexpesive</v>
      </c>
      <c r="V112" t="str">
        <f>_xlfn.CONCAT(G109," ",H109)</f>
        <v>JULIA HURREN</v>
      </c>
      <c r="X112" t="str">
        <f t="shared" si="3"/>
        <v>Julia Hurren</v>
      </c>
    </row>
    <row r="113" spans="1:24" ht="15.75" customHeight="1">
      <c r="A113" s="1" t="s">
        <v>498</v>
      </c>
      <c r="B113" s="2" t="s">
        <v>336</v>
      </c>
      <c r="C113" s="2" t="s">
        <v>128</v>
      </c>
      <c r="D113" s="2" t="s">
        <v>21</v>
      </c>
      <c r="E113" s="31" t="s">
        <v>499</v>
      </c>
      <c r="F113" s="2" t="s">
        <v>36</v>
      </c>
      <c r="G113" s="1" t="s">
        <v>500</v>
      </c>
      <c r="H113" s="1" t="s">
        <v>501</v>
      </c>
      <c r="I113" s="2">
        <v>150</v>
      </c>
      <c r="J113" s="28">
        <v>147</v>
      </c>
      <c r="K113" s="3">
        <v>0.02</v>
      </c>
      <c r="S113" s="28">
        <v>193</v>
      </c>
      <c r="T113" t="str">
        <f t="shared" si="2"/>
        <v>Inexpesive</v>
      </c>
      <c r="V113" t="str">
        <f>_xlfn.CONCAT(G110," ",H110)</f>
        <v>SIMON HIRST</v>
      </c>
      <c r="X113" t="str">
        <f t="shared" si="3"/>
        <v>Simon Hirst</v>
      </c>
    </row>
    <row r="114" spans="1:24" ht="15.75" customHeight="1">
      <c r="A114" s="1" t="s">
        <v>502</v>
      </c>
      <c r="B114" s="2" t="s">
        <v>26</v>
      </c>
      <c r="C114" s="2" t="s">
        <v>27</v>
      </c>
      <c r="D114" s="2" t="s">
        <v>28</v>
      </c>
      <c r="E114" s="30">
        <v>42614</v>
      </c>
      <c r="F114" s="2" t="s">
        <v>36</v>
      </c>
      <c r="G114" s="1" t="s">
        <v>503</v>
      </c>
      <c r="H114" s="1" t="s">
        <v>119</v>
      </c>
      <c r="I114" s="2">
        <v>150</v>
      </c>
      <c r="J114" s="28">
        <v>134</v>
      </c>
      <c r="K114" s="3">
        <v>0.1067</v>
      </c>
      <c r="S114" s="28">
        <v>72</v>
      </c>
      <c r="T114" t="str">
        <f t="shared" si="2"/>
        <v>Inexpesive</v>
      </c>
      <c r="V114" t="str">
        <f>_xlfn.CONCAT(G111," ",H111)</f>
        <v>XUN SIMMS</v>
      </c>
      <c r="X114" t="str">
        <f t="shared" si="3"/>
        <v>Xun Simms</v>
      </c>
    </row>
    <row r="115" spans="1:24" ht="15.75" customHeight="1">
      <c r="A115" s="1" t="s">
        <v>504</v>
      </c>
      <c r="B115" s="2" t="s">
        <v>103</v>
      </c>
      <c r="C115" s="2" t="s">
        <v>104</v>
      </c>
      <c r="D115" s="2" t="s">
        <v>42</v>
      </c>
      <c r="E115" s="30">
        <v>42103</v>
      </c>
      <c r="F115" s="2" t="s">
        <v>29</v>
      </c>
      <c r="G115" s="1" t="s">
        <v>505</v>
      </c>
      <c r="H115" s="1" t="s">
        <v>506</v>
      </c>
      <c r="I115" s="2">
        <v>700</v>
      </c>
      <c r="J115" s="28">
        <v>560</v>
      </c>
      <c r="K115" s="3">
        <v>0.2</v>
      </c>
      <c r="S115" s="28">
        <v>58</v>
      </c>
      <c r="T115" t="str">
        <f t="shared" si="2"/>
        <v>Inexpesive</v>
      </c>
      <c r="V115" t="str">
        <f>_xlfn.CONCAT(G112," ",H112)</f>
        <v>GUSTAVO TAIWO</v>
      </c>
      <c r="X115" t="str">
        <f t="shared" si="3"/>
        <v>Gustavo Taiwo</v>
      </c>
    </row>
    <row r="116" spans="1:24" ht="15.75" customHeight="1">
      <c r="A116" s="1" t="s">
        <v>507</v>
      </c>
      <c r="B116" s="2" t="s">
        <v>71</v>
      </c>
      <c r="C116" s="2" t="s">
        <v>72</v>
      </c>
      <c r="D116" s="2" t="s">
        <v>42</v>
      </c>
      <c r="E116" s="30">
        <v>43322</v>
      </c>
      <c r="F116" s="2" t="s">
        <v>15</v>
      </c>
      <c r="G116" s="1" t="s">
        <v>508</v>
      </c>
      <c r="H116" s="1" t="s">
        <v>509</v>
      </c>
      <c r="I116" s="2">
        <v>80</v>
      </c>
      <c r="J116" s="28">
        <v>78</v>
      </c>
      <c r="K116" s="3">
        <v>2.5000000000000001E-2</v>
      </c>
      <c r="S116" s="28">
        <v>147</v>
      </c>
      <c r="T116" t="str">
        <f t="shared" si="2"/>
        <v>Inexpesive</v>
      </c>
      <c r="V116" t="str">
        <f>_xlfn.CONCAT(G113," ",H113)</f>
        <v>BARRY BALDWIN</v>
      </c>
      <c r="X116" t="str">
        <f t="shared" si="3"/>
        <v>Barry Baldwin</v>
      </c>
    </row>
    <row r="117" spans="1:24" ht="15.75" customHeight="1">
      <c r="A117" s="1" t="s">
        <v>510</v>
      </c>
      <c r="B117" s="2" t="s">
        <v>384</v>
      </c>
      <c r="C117" s="2" t="s">
        <v>385</v>
      </c>
      <c r="D117" s="2" t="s">
        <v>14</v>
      </c>
      <c r="E117" s="31" t="s">
        <v>511</v>
      </c>
      <c r="F117" s="2" t="s">
        <v>43</v>
      </c>
      <c r="G117" s="1" t="s">
        <v>512</v>
      </c>
      <c r="H117" s="1" t="s">
        <v>513</v>
      </c>
      <c r="I117" s="2">
        <v>50</v>
      </c>
      <c r="J117" s="28">
        <v>36</v>
      </c>
      <c r="K117" s="3">
        <v>0.28000000000000003</v>
      </c>
      <c r="S117" s="28">
        <v>134</v>
      </c>
      <c r="T117" t="str">
        <f t="shared" si="2"/>
        <v>Inexpesive</v>
      </c>
      <c r="V117" t="str">
        <f>_xlfn.CONCAT(G114," ",H114)</f>
        <v>ELIZABETH HOLLOWAY</v>
      </c>
      <c r="X117" t="str">
        <f t="shared" si="3"/>
        <v>Elizabeth Holloway</v>
      </c>
    </row>
    <row r="118" spans="1:24" ht="15.75" customHeight="1">
      <c r="A118" s="1" t="s">
        <v>514</v>
      </c>
      <c r="B118" s="2" t="s">
        <v>198</v>
      </c>
      <c r="C118" s="2" t="s">
        <v>199</v>
      </c>
      <c r="D118" s="2" t="s">
        <v>14</v>
      </c>
      <c r="E118" s="31" t="s">
        <v>515</v>
      </c>
      <c r="F118" s="2" t="s">
        <v>82</v>
      </c>
      <c r="G118" s="1" t="s">
        <v>516</v>
      </c>
      <c r="H118" s="1" t="s">
        <v>148</v>
      </c>
      <c r="I118" s="2">
        <v>500</v>
      </c>
      <c r="J118" s="28">
        <v>500</v>
      </c>
      <c r="K118" s="3">
        <v>0</v>
      </c>
      <c r="S118" s="28">
        <v>560</v>
      </c>
      <c r="T118" t="str">
        <f t="shared" si="2"/>
        <v>Expensive</v>
      </c>
      <c r="V118" t="str">
        <f>_xlfn.CONCAT(G115," ",H115)</f>
        <v>TRACY STANLEY</v>
      </c>
      <c r="X118" t="str">
        <f t="shared" si="3"/>
        <v>Tracy Stanley</v>
      </c>
    </row>
    <row r="119" spans="1:24" ht="15.75" customHeight="1">
      <c r="A119" s="1" t="s">
        <v>517</v>
      </c>
      <c r="B119" s="2" t="s">
        <v>283</v>
      </c>
      <c r="C119" s="2" t="s">
        <v>284</v>
      </c>
      <c r="D119" s="2" t="s">
        <v>14</v>
      </c>
      <c r="E119" s="31" t="s">
        <v>518</v>
      </c>
      <c r="F119" s="2" t="s">
        <v>36</v>
      </c>
      <c r="G119" s="1" t="s">
        <v>519</v>
      </c>
      <c r="H119" s="1" t="s">
        <v>211</v>
      </c>
      <c r="I119" s="2">
        <v>150</v>
      </c>
      <c r="J119" s="28">
        <v>140</v>
      </c>
      <c r="K119" s="3">
        <v>6.6699999999999995E-2</v>
      </c>
      <c r="S119" s="28">
        <v>78</v>
      </c>
      <c r="T119" t="str">
        <f t="shared" si="2"/>
        <v>Inexpesive</v>
      </c>
      <c r="V119" t="str">
        <f>_xlfn.CONCAT(G116," ",H116)</f>
        <v>ARTHUR MONCRIEFF</v>
      </c>
      <c r="X119" t="str">
        <f t="shared" si="3"/>
        <v>Arthur Moncrieff</v>
      </c>
    </row>
    <row r="120" spans="1:24" ht="15.75" customHeight="1">
      <c r="A120" s="1" t="s">
        <v>520</v>
      </c>
      <c r="B120" s="2" t="s">
        <v>418</v>
      </c>
      <c r="C120" s="2" t="s">
        <v>419</v>
      </c>
      <c r="D120" s="2" t="s">
        <v>14</v>
      </c>
      <c r="E120" s="30">
        <v>42837</v>
      </c>
      <c r="F120" s="2" t="s">
        <v>29</v>
      </c>
      <c r="G120" s="1" t="s">
        <v>521</v>
      </c>
      <c r="H120" s="1" t="s">
        <v>522</v>
      </c>
      <c r="I120" s="2">
        <v>700</v>
      </c>
      <c r="J120" s="28">
        <v>700</v>
      </c>
      <c r="K120" s="3">
        <v>0</v>
      </c>
      <c r="S120" s="28">
        <v>36</v>
      </c>
      <c r="T120" t="str">
        <f t="shared" si="2"/>
        <v>Inexpesive</v>
      </c>
      <c r="V120" t="str">
        <f>_xlfn.CONCAT(G117," ",H117)</f>
        <v>AIDAN PERROTT</v>
      </c>
      <c r="X120" t="str">
        <f t="shared" si="3"/>
        <v>Aidan Perrott</v>
      </c>
    </row>
    <row r="121" spans="1:24" ht="15.75" customHeight="1">
      <c r="A121" s="1" t="s">
        <v>523</v>
      </c>
      <c r="B121" s="2" t="s">
        <v>71</v>
      </c>
      <c r="C121" s="2" t="s">
        <v>72</v>
      </c>
      <c r="D121" s="2" t="s">
        <v>42</v>
      </c>
      <c r="E121" s="30">
        <v>42311</v>
      </c>
      <c r="F121" s="2" t="s">
        <v>217</v>
      </c>
      <c r="G121" s="1" t="s">
        <v>524</v>
      </c>
      <c r="H121" s="1" t="s">
        <v>525</v>
      </c>
      <c r="I121" s="2">
        <v>50</v>
      </c>
      <c r="J121" s="28">
        <v>49</v>
      </c>
      <c r="K121" s="3">
        <v>0.02</v>
      </c>
      <c r="S121" s="28">
        <v>500</v>
      </c>
      <c r="T121" t="str">
        <f t="shared" si="2"/>
        <v>Inexpesive</v>
      </c>
      <c r="V121" t="str">
        <f>_xlfn.CONCAT(G118," ",H118)</f>
        <v>ALEXANDRA WRIGHT</v>
      </c>
      <c r="X121" t="str">
        <f t="shared" si="3"/>
        <v>Alexandra Wright</v>
      </c>
    </row>
    <row r="122" spans="1:24" ht="15.75" customHeight="1">
      <c r="A122" s="1" t="s">
        <v>526</v>
      </c>
      <c r="B122" s="2" t="s">
        <v>150</v>
      </c>
      <c r="C122" s="2" t="s">
        <v>151</v>
      </c>
      <c r="D122" s="2" t="s">
        <v>14</v>
      </c>
      <c r="E122" s="30">
        <v>43107</v>
      </c>
      <c r="F122" s="2" t="s">
        <v>29</v>
      </c>
      <c r="G122" s="1" t="s">
        <v>527</v>
      </c>
      <c r="H122" s="1" t="s">
        <v>528</v>
      </c>
      <c r="I122" s="2">
        <v>700</v>
      </c>
      <c r="J122" s="28">
        <v>623</v>
      </c>
      <c r="K122" s="3">
        <v>0.11</v>
      </c>
      <c r="S122" s="28">
        <v>140</v>
      </c>
      <c r="T122" t="str">
        <f t="shared" si="2"/>
        <v>Inexpesive</v>
      </c>
      <c r="V122" t="str">
        <f>_xlfn.CONCAT(G119," ",H119)</f>
        <v>ZHAN WHITFIELD</v>
      </c>
      <c r="X122" t="str">
        <f t="shared" si="3"/>
        <v>Zhan Whitfield</v>
      </c>
    </row>
    <row r="123" spans="1:24" ht="15.75" customHeight="1">
      <c r="A123" s="1" t="s">
        <v>529</v>
      </c>
      <c r="B123" s="2" t="s">
        <v>156</v>
      </c>
      <c r="C123" s="2" t="s">
        <v>128</v>
      </c>
      <c r="D123" s="2" t="s">
        <v>21</v>
      </c>
      <c r="E123" s="30">
        <v>41949</v>
      </c>
      <c r="F123" s="2" t="s">
        <v>29</v>
      </c>
      <c r="G123" s="1" t="s">
        <v>530</v>
      </c>
      <c r="H123" s="1" t="s">
        <v>531</v>
      </c>
      <c r="I123" s="2">
        <v>700</v>
      </c>
      <c r="J123" s="28">
        <v>574</v>
      </c>
      <c r="K123" s="3">
        <v>0.18</v>
      </c>
      <c r="S123" s="28">
        <v>700</v>
      </c>
      <c r="T123" t="str">
        <f t="shared" si="2"/>
        <v>Expensive</v>
      </c>
      <c r="V123" t="str">
        <f>_xlfn.CONCAT(G120," ",H120)</f>
        <v>DANIEL HENDERSON</v>
      </c>
      <c r="X123" t="str">
        <f t="shared" si="3"/>
        <v>Daniel Henderson</v>
      </c>
    </row>
    <row r="124" spans="1:24" ht="15.75" customHeight="1">
      <c r="A124" s="1" t="s">
        <v>532</v>
      </c>
      <c r="B124" s="2" t="s">
        <v>414</v>
      </c>
      <c r="C124" s="2" t="s">
        <v>104</v>
      </c>
      <c r="D124" s="2" t="s">
        <v>42</v>
      </c>
      <c r="E124" s="31" t="s">
        <v>533</v>
      </c>
      <c r="F124" s="2" t="s">
        <v>123</v>
      </c>
      <c r="G124" s="1" t="s">
        <v>534</v>
      </c>
      <c r="H124" s="1" t="s">
        <v>131</v>
      </c>
      <c r="I124" s="2">
        <v>70</v>
      </c>
      <c r="J124" s="28">
        <v>68</v>
      </c>
      <c r="K124" s="3">
        <v>2.86E-2</v>
      </c>
      <c r="S124" s="28">
        <v>49</v>
      </c>
      <c r="T124" t="str">
        <f t="shared" si="2"/>
        <v>Inexpesive</v>
      </c>
      <c r="V124" t="str">
        <f>_xlfn.CONCAT(G121," ",H121)</f>
        <v>NICOLE MARSHALL</v>
      </c>
      <c r="X124" t="str">
        <f t="shared" si="3"/>
        <v>Nicole Marshall</v>
      </c>
    </row>
    <row r="125" spans="1:24" ht="15.75" customHeight="1">
      <c r="A125" s="1" t="s">
        <v>535</v>
      </c>
      <c r="B125" s="2" t="s">
        <v>156</v>
      </c>
      <c r="C125" s="2" t="s">
        <v>128</v>
      </c>
      <c r="D125" s="2" t="s">
        <v>21</v>
      </c>
      <c r="E125" s="30">
        <v>41855</v>
      </c>
      <c r="F125" s="2" t="s">
        <v>43</v>
      </c>
      <c r="G125" s="1" t="s">
        <v>536</v>
      </c>
      <c r="H125" s="1" t="s">
        <v>45</v>
      </c>
      <c r="I125" s="2">
        <v>50</v>
      </c>
      <c r="J125" s="28">
        <v>40</v>
      </c>
      <c r="K125" s="3">
        <v>0.2</v>
      </c>
      <c r="S125" s="28">
        <v>623</v>
      </c>
      <c r="T125" t="str">
        <f t="shared" si="2"/>
        <v>Expensive</v>
      </c>
      <c r="V125" t="str">
        <f>_xlfn.CONCAT(G122," ",H122)</f>
        <v>NATASHA CARVALHO</v>
      </c>
      <c r="X125" t="str">
        <f t="shared" si="3"/>
        <v>Natasha Carvalho</v>
      </c>
    </row>
    <row r="126" spans="1:24" ht="15.75" customHeight="1">
      <c r="A126" s="1" t="s">
        <v>537</v>
      </c>
      <c r="B126" s="2" t="s">
        <v>457</v>
      </c>
      <c r="C126" s="2" t="s">
        <v>458</v>
      </c>
      <c r="D126" s="2" t="s">
        <v>28</v>
      </c>
      <c r="E126" s="31" t="s">
        <v>538</v>
      </c>
      <c r="F126" s="2" t="s">
        <v>43</v>
      </c>
      <c r="G126" s="1" t="s">
        <v>539</v>
      </c>
      <c r="H126" s="1" t="s">
        <v>540</v>
      </c>
      <c r="I126" s="2">
        <v>50</v>
      </c>
      <c r="J126" s="28">
        <v>49</v>
      </c>
      <c r="K126" s="3">
        <v>0.02</v>
      </c>
      <c r="S126" s="28">
        <v>574</v>
      </c>
      <c r="T126" t="str">
        <f t="shared" si="2"/>
        <v>Expensive</v>
      </c>
      <c r="V126" t="str">
        <f>_xlfn.CONCAT(G123," ",H123)</f>
        <v>RONNETTE STOCKS</v>
      </c>
      <c r="X126" t="str">
        <f t="shared" si="3"/>
        <v>Ronnette Stocks</v>
      </c>
    </row>
    <row r="127" spans="1:24" ht="15.75" customHeight="1">
      <c r="A127" s="1" t="s">
        <v>541</v>
      </c>
      <c r="B127" s="2" t="s">
        <v>33</v>
      </c>
      <c r="C127" s="2" t="s">
        <v>34</v>
      </c>
      <c r="D127" s="2" t="s">
        <v>14</v>
      </c>
      <c r="E127" s="31" t="s">
        <v>542</v>
      </c>
      <c r="F127" s="2" t="s">
        <v>61</v>
      </c>
      <c r="G127" s="1" t="s">
        <v>543</v>
      </c>
      <c r="H127" s="1" t="s">
        <v>544</v>
      </c>
      <c r="I127" s="2">
        <v>800</v>
      </c>
      <c r="J127" s="28">
        <v>680</v>
      </c>
      <c r="K127" s="3">
        <v>0.15</v>
      </c>
      <c r="S127" s="28">
        <v>68</v>
      </c>
      <c r="T127" t="str">
        <f t="shared" si="2"/>
        <v>Inexpesive</v>
      </c>
      <c r="V127" t="str">
        <f>_xlfn.CONCAT(G124," ",H124)</f>
        <v>PAULINE POPE</v>
      </c>
      <c r="X127" t="str">
        <f t="shared" si="3"/>
        <v>Pauline Pope</v>
      </c>
    </row>
    <row r="128" spans="1:24" ht="15.75" customHeight="1">
      <c r="A128" s="1" t="s">
        <v>545</v>
      </c>
      <c r="B128" s="2" t="s">
        <v>95</v>
      </c>
      <c r="C128" s="2" t="s">
        <v>96</v>
      </c>
      <c r="D128" s="2" t="s">
        <v>14</v>
      </c>
      <c r="E128" s="30">
        <v>43081</v>
      </c>
      <c r="F128" s="2" t="s">
        <v>36</v>
      </c>
      <c r="G128" s="1" t="s">
        <v>546</v>
      </c>
      <c r="H128" s="1" t="s">
        <v>547</v>
      </c>
      <c r="I128" s="2">
        <v>150</v>
      </c>
      <c r="J128" s="28">
        <v>144</v>
      </c>
      <c r="K128" s="3">
        <v>0.04</v>
      </c>
      <c r="S128" s="28">
        <v>40</v>
      </c>
      <c r="T128" t="str">
        <f t="shared" si="2"/>
        <v>Inexpesive</v>
      </c>
      <c r="V128" t="str">
        <f>_xlfn.CONCAT(G125," ",H125)</f>
        <v>DOUGLAS DAVIES</v>
      </c>
      <c r="X128" t="str">
        <f t="shared" si="3"/>
        <v>Douglas Davies</v>
      </c>
    </row>
    <row r="129" spans="1:24" ht="15.75" customHeight="1">
      <c r="A129" s="1" t="s">
        <v>548</v>
      </c>
      <c r="B129" s="2" t="s">
        <v>345</v>
      </c>
      <c r="C129" s="2" t="s">
        <v>96</v>
      </c>
      <c r="D129" s="2" t="s">
        <v>14</v>
      </c>
      <c r="E129" s="31" t="s">
        <v>549</v>
      </c>
      <c r="F129" s="2" t="s">
        <v>55</v>
      </c>
      <c r="G129" s="1" t="s">
        <v>550</v>
      </c>
      <c r="H129" s="1" t="s">
        <v>551</v>
      </c>
      <c r="I129" s="2">
        <v>30</v>
      </c>
      <c r="J129" s="28">
        <v>28</v>
      </c>
      <c r="K129" s="3">
        <v>6.6699999999999995E-2</v>
      </c>
      <c r="S129" s="28">
        <v>49</v>
      </c>
      <c r="T129" t="str">
        <f t="shared" si="2"/>
        <v>Inexpesive</v>
      </c>
      <c r="V129" t="str">
        <f>_xlfn.CONCAT(G126," ",H126)</f>
        <v>BRUCE MCPHEE</v>
      </c>
      <c r="X129" t="str">
        <f t="shared" si="3"/>
        <v>Bruce Mcphee</v>
      </c>
    </row>
    <row r="130" spans="1:24" ht="15.75" customHeight="1">
      <c r="A130" s="1" t="s">
        <v>552</v>
      </c>
      <c r="B130" s="2" t="s">
        <v>345</v>
      </c>
      <c r="C130" s="2" t="s">
        <v>96</v>
      </c>
      <c r="D130" s="2" t="s">
        <v>14</v>
      </c>
      <c r="E130" s="31" t="s">
        <v>553</v>
      </c>
      <c r="F130" s="2" t="s">
        <v>15</v>
      </c>
      <c r="G130" s="1" t="s">
        <v>554</v>
      </c>
      <c r="H130" s="1" t="s">
        <v>555</v>
      </c>
      <c r="I130" s="2">
        <v>80</v>
      </c>
      <c r="J130" s="28">
        <v>60</v>
      </c>
      <c r="K130" s="3">
        <v>0.25</v>
      </c>
      <c r="S130" s="28">
        <v>680</v>
      </c>
      <c r="T130" t="str">
        <f t="shared" si="2"/>
        <v>Expensive</v>
      </c>
      <c r="V130" t="str">
        <f>_xlfn.CONCAT(G127," ",H127)</f>
        <v>BRYAN MASON</v>
      </c>
      <c r="X130" t="str">
        <f t="shared" si="3"/>
        <v>Bryan Mason</v>
      </c>
    </row>
    <row r="131" spans="1:24" ht="15.75" customHeight="1">
      <c r="A131" s="1" t="s">
        <v>556</v>
      </c>
      <c r="B131" s="2" t="s">
        <v>310</v>
      </c>
      <c r="C131" s="2" t="s">
        <v>311</v>
      </c>
      <c r="D131" s="2" t="s">
        <v>42</v>
      </c>
      <c r="E131" s="31" t="s">
        <v>557</v>
      </c>
      <c r="F131" s="2" t="s">
        <v>55</v>
      </c>
      <c r="G131" s="1" t="s">
        <v>558</v>
      </c>
      <c r="H131" s="1" t="s">
        <v>559</v>
      </c>
      <c r="I131" s="2">
        <v>30</v>
      </c>
      <c r="J131" s="28">
        <v>26</v>
      </c>
      <c r="K131" s="3">
        <v>0.1333</v>
      </c>
      <c r="S131" s="28">
        <v>144</v>
      </c>
      <c r="T131" t="str">
        <f t="shared" si="2"/>
        <v>Inexpesive</v>
      </c>
      <c r="V131" t="str">
        <f>_xlfn.CONCAT(G128," ",H128)</f>
        <v>REBECCA DELO</v>
      </c>
      <c r="X131" t="str">
        <f t="shared" si="3"/>
        <v>Rebecca Delo</v>
      </c>
    </row>
    <row r="132" spans="1:24" ht="15.75" customHeight="1">
      <c r="A132" s="1" t="s">
        <v>560</v>
      </c>
      <c r="B132" s="2" t="s">
        <v>144</v>
      </c>
      <c r="C132" s="2" t="s">
        <v>145</v>
      </c>
      <c r="D132" s="2" t="s">
        <v>42</v>
      </c>
      <c r="E132" s="30">
        <v>41887</v>
      </c>
      <c r="F132" s="2" t="s">
        <v>67</v>
      </c>
      <c r="G132" s="1" t="s">
        <v>561</v>
      </c>
      <c r="H132" s="1" t="s">
        <v>562</v>
      </c>
      <c r="I132" s="2">
        <v>1000</v>
      </c>
      <c r="J132" s="28">
        <v>620</v>
      </c>
      <c r="K132" s="3">
        <v>0.38</v>
      </c>
      <c r="S132" s="28">
        <v>28</v>
      </c>
      <c r="T132" t="str">
        <f t="shared" si="2"/>
        <v>Inexpesive</v>
      </c>
      <c r="V132" t="str">
        <f>_xlfn.CONCAT(G129," ",H129)</f>
        <v>ABU MOORE</v>
      </c>
      <c r="X132" t="str">
        <f t="shared" si="3"/>
        <v>Abu Moore</v>
      </c>
    </row>
    <row r="133" spans="1:24" ht="15.75" customHeight="1">
      <c r="A133" s="1" t="s">
        <v>563</v>
      </c>
      <c r="B133" s="2" t="s">
        <v>384</v>
      </c>
      <c r="C133" s="2" t="s">
        <v>385</v>
      </c>
      <c r="D133" s="2" t="s">
        <v>14</v>
      </c>
      <c r="E133" s="30">
        <v>41951</v>
      </c>
      <c r="F133" s="2" t="s">
        <v>55</v>
      </c>
      <c r="G133" s="1" t="s">
        <v>564</v>
      </c>
      <c r="H133" s="1" t="s">
        <v>165</v>
      </c>
      <c r="I133" s="2">
        <v>30</v>
      </c>
      <c r="J133" s="28">
        <v>21</v>
      </c>
      <c r="K133" s="3">
        <v>0.3</v>
      </c>
      <c r="S133" s="28">
        <v>60</v>
      </c>
      <c r="T133" t="str">
        <f t="shared" si="2"/>
        <v>Inexpesive</v>
      </c>
      <c r="V133" t="str">
        <f>_xlfn.CONCAT(G130," ",H130)</f>
        <v>CAROLE OWEN</v>
      </c>
      <c r="X133" t="str">
        <f t="shared" si="3"/>
        <v>Carole Owen</v>
      </c>
    </row>
    <row r="134" spans="1:24" ht="15.75" customHeight="1">
      <c r="A134" s="1" t="s">
        <v>565</v>
      </c>
      <c r="B134" s="2" t="s">
        <v>144</v>
      </c>
      <c r="C134" s="2" t="s">
        <v>145</v>
      </c>
      <c r="D134" s="2" t="s">
        <v>42</v>
      </c>
      <c r="E134" s="31" t="s">
        <v>566</v>
      </c>
      <c r="F134" s="2" t="s">
        <v>55</v>
      </c>
      <c r="G134" s="1" t="s">
        <v>567</v>
      </c>
      <c r="H134" s="1" t="s">
        <v>528</v>
      </c>
      <c r="I134" s="2">
        <v>30</v>
      </c>
      <c r="J134" s="28">
        <v>20</v>
      </c>
      <c r="K134" s="3">
        <v>0.33329999999999999</v>
      </c>
      <c r="S134" s="28">
        <v>26</v>
      </c>
      <c r="T134" t="str">
        <f t="shared" ref="T134:T197" si="4">IF(S134&gt;500,"Expensive","Inexpesive")</f>
        <v>Inexpesive</v>
      </c>
      <c r="V134" t="str">
        <f>_xlfn.CONCAT(G131," ",H131)</f>
        <v>RACHEL OLIVER</v>
      </c>
      <c r="X134" t="str">
        <f t="shared" ref="X134:X197" si="5">PROPER(V134)</f>
        <v>Rachel Oliver</v>
      </c>
    </row>
    <row r="135" spans="1:24" ht="15.75" customHeight="1">
      <c r="A135" s="1" t="s">
        <v>568</v>
      </c>
      <c r="B135" s="2" t="s">
        <v>139</v>
      </c>
      <c r="C135" s="2" t="s">
        <v>140</v>
      </c>
      <c r="D135" s="2" t="s">
        <v>42</v>
      </c>
      <c r="E135" s="30">
        <v>42471</v>
      </c>
      <c r="F135" s="2" t="s">
        <v>43</v>
      </c>
      <c r="G135" s="1" t="s">
        <v>569</v>
      </c>
      <c r="H135" s="1" t="s">
        <v>570</v>
      </c>
      <c r="I135" s="2">
        <v>50</v>
      </c>
      <c r="J135" s="28">
        <v>50</v>
      </c>
      <c r="K135" s="3">
        <v>0</v>
      </c>
      <c r="S135" s="28">
        <v>620</v>
      </c>
      <c r="T135" t="str">
        <f t="shared" si="4"/>
        <v>Expensive</v>
      </c>
      <c r="V135" t="str">
        <f>_xlfn.CONCAT(G132," ",H132)</f>
        <v>CARL SNAPE</v>
      </c>
      <c r="X135" t="str">
        <f t="shared" si="5"/>
        <v>Carl Snape</v>
      </c>
    </row>
    <row r="136" spans="1:24" ht="15.75" customHeight="1">
      <c r="A136" s="1" t="s">
        <v>571</v>
      </c>
      <c r="B136" s="2" t="s">
        <v>121</v>
      </c>
      <c r="C136" s="2" t="s">
        <v>80</v>
      </c>
      <c r="D136" s="2" t="s">
        <v>42</v>
      </c>
      <c r="E136" s="31" t="s">
        <v>572</v>
      </c>
      <c r="F136" s="2" t="s">
        <v>49</v>
      </c>
      <c r="G136" s="1" t="s">
        <v>573</v>
      </c>
      <c r="H136" s="1" t="s">
        <v>460</v>
      </c>
      <c r="I136" s="2">
        <v>500</v>
      </c>
      <c r="J136" s="28">
        <v>435</v>
      </c>
      <c r="K136" s="3">
        <v>0.13</v>
      </c>
      <c r="S136" s="28">
        <v>21</v>
      </c>
      <c r="T136" t="str">
        <f t="shared" si="4"/>
        <v>Inexpesive</v>
      </c>
      <c r="V136" t="str">
        <f>_xlfn.CONCAT(G133," ",H133)</f>
        <v>CHARLES ALI</v>
      </c>
      <c r="X136" t="str">
        <f t="shared" si="5"/>
        <v>Charles Ali</v>
      </c>
    </row>
    <row r="137" spans="1:24" ht="15.75" customHeight="1">
      <c r="A137" s="1" t="s">
        <v>574</v>
      </c>
      <c r="B137" s="2" t="s">
        <v>260</v>
      </c>
      <c r="C137" s="2" t="s">
        <v>261</v>
      </c>
      <c r="D137" s="2" t="s">
        <v>28</v>
      </c>
      <c r="E137" s="30">
        <v>42686</v>
      </c>
      <c r="F137" s="2" t="s">
        <v>217</v>
      </c>
      <c r="G137" s="1" t="s">
        <v>575</v>
      </c>
      <c r="H137" s="1" t="s">
        <v>576</v>
      </c>
      <c r="I137" s="2">
        <v>50</v>
      </c>
      <c r="J137" s="28">
        <v>50</v>
      </c>
      <c r="K137" s="3">
        <v>0</v>
      </c>
      <c r="S137" s="28">
        <v>20</v>
      </c>
      <c r="T137" t="str">
        <f t="shared" si="4"/>
        <v>Inexpesive</v>
      </c>
      <c r="V137" t="str">
        <f>_xlfn.CONCAT(G134," ",H134)</f>
        <v>WOLFGANG CARVALHO</v>
      </c>
      <c r="X137" t="str">
        <f t="shared" si="5"/>
        <v>Wolfgang Carvalho</v>
      </c>
    </row>
    <row r="138" spans="1:24" ht="15.75" customHeight="1">
      <c r="A138" s="1" t="s">
        <v>577</v>
      </c>
      <c r="B138" s="2" t="s">
        <v>26</v>
      </c>
      <c r="C138" s="2" t="s">
        <v>27</v>
      </c>
      <c r="D138" s="2" t="s">
        <v>28</v>
      </c>
      <c r="E138" s="30">
        <v>42006</v>
      </c>
      <c r="F138" s="2" t="s">
        <v>67</v>
      </c>
      <c r="G138" s="1" t="s">
        <v>578</v>
      </c>
      <c r="H138" s="1" t="s">
        <v>579</v>
      </c>
      <c r="I138" s="2">
        <v>1000</v>
      </c>
      <c r="J138" s="28">
        <v>580</v>
      </c>
      <c r="K138" s="3">
        <v>0.42</v>
      </c>
      <c r="S138" s="28">
        <v>50</v>
      </c>
      <c r="T138" t="str">
        <f t="shared" si="4"/>
        <v>Inexpesive</v>
      </c>
      <c r="V138" t="str">
        <f>_xlfn.CONCAT(G135," ",H135)</f>
        <v>LEONARD GREEN</v>
      </c>
      <c r="X138" t="str">
        <f t="shared" si="5"/>
        <v>Leonard Green</v>
      </c>
    </row>
    <row r="139" spans="1:24" ht="15.75" customHeight="1">
      <c r="A139" s="1" t="s">
        <v>580</v>
      </c>
      <c r="B139" s="2" t="s">
        <v>384</v>
      </c>
      <c r="C139" s="2" t="s">
        <v>385</v>
      </c>
      <c r="D139" s="2" t="s">
        <v>14</v>
      </c>
      <c r="E139" s="30">
        <v>42343</v>
      </c>
      <c r="F139" s="2" t="s">
        <v>123</v>
      </c>
      <c r="G139" s="1" t="s">
        <v>581</v>
      </c>
      <c r="H139" s="1" t="s">
        <v>31</v>
      </c>
      <c r="I139" s="2">
        <v>70</v>
      </c>
      <c r="J139" s="28">
        <v>67</v>
      </c>
      <c r="K139" s="3">
        <v>4.2900000000000001E-2</v>
      </c>
      <c r="S139" s="28">
        <v>435</v>
      </c>
      <c r="T139" t="str">
        <f t="shared" si="4"/>
        <v>Inexpesive</v>
      </c>
      <c r="V139" t="str">
        <f>_xlfn.CONCAT(G136," ",H136)</f>
        <v>PARESH MATHEWS</v>
      </c>
      <c r="X139" t="str">
        <f t="shared" si="5"/>
        <v>Paresh Mathews</v>
      </c>
    </row>
    <row r="140" spans="1:24" ht="15.75" customHeight="1">
      <c r="A140" s="1" t="s">
        <v>582</v>
      </c>
      <c r="B140" s="2" t="s">
        <v>255</v>
      </c>
      <c r="C140" s="2" t="s">
        <v>54</v>
      </c>
      <c r="D140" s="2" t="s">
        <v>28</v>
      </c>
      <c r="E140" s="31" t="s">
        <v>583</v>
      </c>
      <c r="F140" s="2" t="s">
        <v>67</v>
      </c>
      <c r="G140" s="1" t="s">
        <v>584</v>
      </c>
      <c r="H140" s="1" t="s">
        <v>585</v>
      </c>
      <c r="I140" s="2">
        <v>1000</v>
      </c>
      <c r="J140" s="28">
        <v>590</v>
      </c>
      <c r="K140" s="3">
        <v>0.41</v>
      </c>
      <c r="S140" s="28">
        <v>50</v>
      </c>
      <c r="T140" t="str">
        <f t="shared" si="4"/>
        <v>Inexpesive</v>
      </c>
      <c r="V140" t="str">
        <f>_xlfn.CONCAT(G137," ",H137)</f>
        <v>NICOLA NATHAN</v>
      </c>
      <c r="X140" t="str">
        <f t="shared" si="5"/>
        <v>Nicola Nathan</v>
      </c>
    </row>
    <row r="141" spans="1:24" ht="15.75" customHeight="1">
      <c r="A141" s="1" t="s">
        <v>586</v>
      </c>
      <c r="B141" s="2" t="s">
        <v>59</v>
      </c>
      <c r="C141" s="2" t="s">
        <v>60</v>
      </c>
      <c r="D141" s="2" t="s">
        <v>14</v>
      </c>
      <c r="E141" s="30">
        <v>43263</v>
      </c>
      <c r="F141" s="2" t="s">
        <v>67</v>
      </c>
      <c r="G141" s="1" t="s">
        <v>587</v>
      </c>
      <c r="H141" s="1" t="s">
        <v>588</v>
      </c>
      <c r="I141" s="2">
        <v>1000</v>
      </c>
      <c r="J141" s="28">
        <v>810</v>
      </c>
      <c r="K141" s="3">
        <v>0.19</v>
      </c>
      <c r="S141" s="28">
        <v>580</v>
      </c>
      <c r="T141" t="str">
        <f t="shared" si="4"/>
        <v>Expensive</v>
      </c>
      <c r="V141" t="str">
        <f>_xlfn.CONCAT(G138," ",H138)</f>
        <v>ZOE MUNDAY</v>
      </c>
      <c r="X141" t="str">
        <f t="shared" si="5"/>
        <v>Zoe Munday</v>
      </c>
    </row>
    <row r="142" spans="1:24" ht="15.75" customHeight="1">
      <c r="A142" s="1" t="s">
        <v>589</v>
      </c>
      <c r="B142" s="2" t="s">
        <v>53</v>
      </c>
      <c r="C142" s="2" t="s">
        <v>54</v>
      </c>
      <c r="D142" s="2" t="s">
        <v>28</v>
      </c>
      <c r="E142" s="31" t="s">
        <v>590</v>
      </c>
      <c r="F142" s="2" t="s">
        <v>36</v>
      </c>
      <c r="G142" s="1" t="s">
        <v>591</v>
      </c>
      <c r="H142" s="1" t="s">
        <v>455</v>
      </c>
      <c r="I142" s="2">
        <v>150</v>
      </c>
      <c r="J142" s="28">
        <v>137</v>
      </c>
      <c r="K142" s="3">
        <v>8.6699999999999999E-2</v>
      </c>
      <c r="S142" s="28">
        <v>67</v>
      </c>
      <c r="T142" t="str">
        <f t="shared" si="4"/>
        <v>Inexpesive</v>
      </c>
      <c r="V142" t="str">
        <f>_xlfn.CONCAT(G139," ",H139)</f>
        <v>OLIVIA REYNOLDS</v>
      </c>
      <c r="X142" t="str">
        <f t="shared" si="5"/>
        <v>Olivia Reynolds</v>
      </c>
    </row>
    <row r="143" spans="1:24" ht="15.75" customHeight="1">
      <c r="A143" s="1" t="s">
        <v>592</v>
      </c>
      <c r="B143" s="2" t="s">
        <v>89</v>
      </c>
      <c r="C143" s="2" t="s">
        <v>90</v>
      </c>
      <c r="D143" s="2" t="s">
        <v>42</v>
      </c>
      <c r="E143" s="31" t="s">
        <v>593</v>
      </c>
      <c r="F143" s="2" t="s">
        <v>55</v>
      </c>
      <c r="G143" s="1" t="s">
        <v>594</v>
      </c>
      <c r="H143" s="1" t="s">
        <v>595</v>
      </c>
      <c r="I143" s="2">
        <v>30</v>
      </c>
      <c r="J143" s="28">
        <v>29</v>
      </c>
      <c r="K143" s="3">
        <v>3.3300000000000003E-2</v>
      </c>
      <c r="S143" s="28">
        <v>590</v>
      </c>
      <c r="T143" t="str">
        <f t="shared" si="4"/>
        <v>Expensive</v>
      </c>
      <c r="V143" t="str">
        <f>_xlfn.CONCAT(G140," ",H140)</f>
        <v>ERIC WALKER</v>
      </c>
      <c r="X143" t="str">
        <f t="shared" si="5"/>
        <v>Eric Walker</v>
      </c>
    </row>
    <row r="144" spans="1:24" ht="15.75" customHeight="1">
      <c r="A144" s="1" t="s">
        <v>596</v>
      </c>
      <c r="B144" s="2" t="s">
        <v>229</v>
      </c>
      <c r="C144" s="2" t="s">
        <v>128</v>
      </c>
      <c r="D144" s="2" t="s">
        <v>21</v>
      </c>
      <c r="E144" s="30">
        <v>43380</v>
      </c>
      <c r="F144" s="2" t="s">
        <v>36</v>
      </c>
      <c r="G144" s="1" t="s">
        <v>597</v>
      </c>
      <c r="H144" s="1" t="s">
        <v>598</v>
      </c>
      <c r="I144" s="2">
        <v>150</v>
      </c>
      <c r="J144" s="28">
        <v>147</v>
      </c>
      <c r="K144" s="3">
        <v>0.02</v>
      </c>
      <c r="S144" s="28">
        <v>810</v>
      </c>
      <c r="T144" t="str">
        <f t="shared" si="4"/>
        <v>Expensive</v>
      </c>
      <c r="V144" t="str">
        <f>_xlfn.CONCAT(G141," ",H141)</f>
        <v>DAMILOLA RAYMOND</v>
      </c>
      <c r="X144" t="str">
        <f t="shared" si="5"/>
        <v>Damilola Raymond</v>
      </c>
    </row>
    <row r="145" spans="1:24" ht="15.75" customHeight="1">
      <c r="A145" s="1" t="s">
        <v>599</v>
      </c>
      <c r="B145" s="2" t="s">
        <v>234</v>
      </c>
      <c r="C145" s="2" t="s">
        <v>235</v>
      </c>
      <c r="D145" s="2" t="s">
        <v>28</v>
      </c>
      <c r="E145" s="31" t="s">
        <v>600</v>
      </c>
      <c r="F145" s="2" t="s">
        <v>15</v>
      </c>
      <c r="G145" s="1" t="s">
        <v>601</v>
      </c>
      <c r="H145" s="1" t="s">
        <v>602</v>
      </c>
      <c r="I145" s="2">
        <v>80</v>
      </c>
      <c r="J145" s="28">
        <v>75</v>
      </c>
      <c r="K145" s="3">
        <v>6.25E-2</v>
      </c>
      <c r="S145" s="28">
        <v>137</v>
      </c>
      <c r="T145" t="str">
        <f t="shared" si="4"/>
        <v>Inexpesive</v>
      </c>
      <c r="V145" t="str">
        <f>_xlfn.CONCAT(G142," ",H142)</f>
        <v>TIMOTHY YOUNGER</v>
      </c>
      <c r="X145" t="str">
        <f t="shared" si="5"/>
        <v>Timothy Younger</v>
      </c>
    </row>
    <row r="146" spans="1:24" ht="15.75" customHeight="1">
      <c r="A146" s="1" t="s">
        <v>603</v>
      </c>
      <c r="B146" s="2" t="s">
        <v>273</v>
      </c>
      <c r="C146" s="2" t="s">
        <v>274</v>
      </c>
      <c r="D146" s="2" t="s">
        <v>14</v>
      </c>
      <c r="E146" s="30">
        <v>42071</v>
      </c>
      <c r="F146" s="2" t="s">
        <v>217</v>
      </c>
      <c r="G146" s="1" t="s">
        <v>604</v>
      </c>
      <c r="H146" s="1" t="s">
        <v>605</v>
      </c>
      <c r="I146" s="2">
        <v>50</v>
      </c>
      <c r="J146" s="28">
        <v>36</v>
      </c>
      <c r="K146" s="3">
        <v>0.28000000000000003</v>
      </c>
      <c r="S146" s="28">
        <v>29</v>
      </c>
      <c r="T146" t="str">
        <f t="shared" si="4"/>
        <v>Inexpesive</v>
      </c>
      <c r="V146" t="str">
        <f>_xlfn.CONCAT(G143," ",H143)</f>
        <v>IRENE SKIBA</v>
      </c>
      <c r="X146" t="str">
        <f t="shared" si="5"/>
        <v>Irene Skiba</v>
      </c>
    </row>
    <row r="147" spans="1:24" ht="15.75" customHeight="1">
      <c r="A147" s="1" t="s">
        <v>606</v>
      </c>
      <c r="B147" s="2" t="s">
        <v>156</v>
      </c>
      <c r="C147" s="2" t="s">
        <v>128</v>
      </c>
      <c r="D147" s="2" t="s">
        <v>21</v>
      </c>
      <c r="E147" s="31" t="s">
        <v>549</v>
      </c>
      <c r="F147" s="2" t="s">
        <v>82</v>
      </c>
      <c r="G147" s="1" t="s">
        <v>607</v>
      </c>
      <c r="H147" s="1" t="s">
        <v>608</v>
      </c>
      <c r="I147" s="2">
        <v>500</v>
      </c>
      <c r="J147" s="28">
        <v>500</v>
      </c>
      <c r="K147" s="3">
        <v>0</v>
      </c>
      <c r="S147" s="28">
        <v>147</v>
      </c>
      <c r="T147" t="str">
        <f t="shared" si="4"/>
        <v>Inexpesive</v>
      </c>
      <c r="V147" t="str">
        <f>_xlfn.CONCAT(G144," ",H144)</f>
        <v>PATRICIA SEWELL</v>
      </c>
      <c r="X147" t="str">
        <f t="shared" si="5"/>
        <v>Patricia Sewell</v>
      </c>
    </row>
    <row r="148" spans="1:24" ht="15.75" customHeight="1">
      <c r="A148" s="1" t="s">
        <v>609</v>
      </c>
      <c r="B148" s="2" t="s">
        <v>139</v>
      </c>
      <c r="C148" s="2" t="s">
        <v>140</v>
      </c>
      <c r="D148" s="2" t="s">
        <v>42</v>
      </c>
      <c r="E148" s="31" t="s">
        <v>610</v>
      </c>
      <c r="F148" s="2" t="s">
        <v>36</v>
      </c>
      <c r="G148" s="1" t="s">
        <v>611</v>
      </c>
      <c r="H148" s="1" t="s">
        <v>612</v>
      </c>
      <c r="I148" s="2">
        <v>150</v>
      </c>
      <c r="J148" s="28">
        <v>147</v>
      </c>
      <c r="K148" s="3">
        <v>0.02</v>
      </c>
      <c r="S148" s="28">
        <v>75</v>
      </c>
      <c r="T148" t="str">
        <f t="shared" si="4"/>
        <v>Inexpesive</v>
      </c>
      <c r="V148" t="str">
        <f>_xlfn.CONCAT(G145," ",H145)</f>
        <v>MARGARET BUCK</v>
      </c>
      <c r="X148" t="str">
        <f t="shared" si="5"/>
        <v>Margaret Buck</v>
      </c>
    </row>
    <row r="149" spans="1:24" ht="15.75" customHeight="1">
      <c r="A149" s="1" t="s">
        <v>613</v>
      </c>
      <c r="B149" s="2" t="s">
        <v>65</v>
      </c>
      <c r="C149" s="2" t="s">
        <v>66</v>
      </c>
      <c r="D149" s="2" t="s">
        <v>14</v>
      </c>
      <c r="E149" s="31" t="s">
        <v>614</v>
      </c>
      <c r="F149" s="2" t="s">
        <v>43</v>
      </c>
      <c r="G149" s="1" t="s">
        <v>615</v>
      </c>
      <c r="H149" s="1" t="s">
        <v>555</v>
      </c>
      <c r="I149" s="2">
        <v>50</v>
      </c>
      <c r="J149" s="28">
        <v>44</v>
      </c>
      <c r="K149" s="3">
        <v>0.12</v>
      </c>
      <c r="S149" s="28">
        <v>36</v>
      </c>
      <c r="T149" t="str">
        <f t="shared" si="4"/>
        <v>Inexpesive</v>
      </c>
      <c r="V149" t="str">
        <f>_xlfn.CONCAT(G146," ",H146)</f>
        <v>GWYN TAYLOR</v>
      </c>
      <c r="X149" t="str">
        <f t="shared" si="5"/>
        <v>Gwyn Taylor</v>
      </c>
    </row>
    <row r="150" spans="1:24" ht="15.75" customHeight="1">
      <c r="A150" s="1" t="s">
        <v>616</v>
      </c>
      <c r="B150" s="2" t="s">
        <v>53</v>
      </c>
      <c r="C150" s="2" t="s">
        <v>54</v>
      </c>
      <c r="D150" s="2" t="s">
        <v>28</v>
      </c>
      <c r="E150" s="31" t="s">
        <v>617</v>
      </c>
      <c r="F150" s="2" t="s">
        <v>123</v>
      </c>
      <c r="G150" s="1" t="s">
        <v>618</v>
      </c>
      <c r="H150" s="1" t="s">
        <v>619</v>
      </c>
      <c r="I150" s="2">
        <v>70</v>
      </c>
      <c r="J150" s="28">
        <v>67</v>
      </c>
      <c r="K150" s="3">
        <v>4.2900000000000001E-2</v>
      </c>
      <c r="S150" s="28">
        <v>500</v>
      </c>
      <c r="T150" t="str">
        <f t="shared" si="4"/>
        <v>Inexpesive</v>
      </c>
      <c r="V150" t="str">
        <f>_xlfn.CONCAT(G147," ",H147)</f>
        <v>KIRSTY AMOS</v>
      </c>
      <c r="X150" t="str">
        <f t="shared" si="5"/>
        <v>Kirsty Amos</v>
      </c>
    </row>
    <row r="151" spans="1:24" ht="15.75" customHeight="1">
      <c r="A151" s="1" t="s">
        <v>620</v>
      </c>
      <c r="B151" s="2" t="s">
        <v>444</v>
      </c>
      <c r="C151" s="2" t="s">
        <v>445</v>
      </c>
      <c r="D151" s="2" t="s">
        <v>14</v>
      </c>
      <c r="E151" s="31" t="s">
        <v>621</v>
      </c>
      <c r="F151" s="2" t="s">
        <v>123</v>
      </c>
      <c r="G151" s="1" t="s">
        <v>622</v>
      </c>
      <c r="H151" s="1" t="s">
        <v>258</v>
      </c>
      <c r="I151" s="2">
        <v>70</v>
      </c>
      <c r="J151" s="28">
        <v>70</v>
      </c>
      <c r="K151" s="3">
        <v>0</v>
      </c>
      <c r="S151" s="28">
        <v>147</v>
      </c>
      <c r="T151" t="str">
        <f t="shared" si="4"/>
        <v>Inexpesive</v>
      </c>
      <c r="V151" t="str">
        <f>_xlfn.CONCAT(G148," ",H148)</f>
        <v>ROSALIND CHANDLER</v>
      </c>
      <c r="X151" t="str">
        <f t="shared" si="5"/>
        <v>Rosalind Chandler</v>
      </c>
    </row>
    <row r="152" spans="1:24" ht="15.75" customHeight="1">
      <c r="A152" s="1" t="s">
        <v>623</v>
      </c>
      <c r="B152" s="2" t="s">
        <v>310</v>
      </c>
      <c r="C152" s="2" t="s">
        <v>311</v>
      </c>
      <c r="D152" s="2" t="s">
        <v>42</v>
      </c>
      <c r="E152" s="30">
        <v>42800</v>
      </c>
      <c r="F152" s="2" t="s">
        <v>123</v>
      </c>
      <c r="G152" s="1" t="s">
        <v>624</v>
      </c>
      <c r="H152" s="1" t="s">
        <v>625</v>
      </c>
      <c r="I152" s="2">
        <v>70</v>
      </c>
      <c r="J152" s="28">
        <v>64</v>
      </c>
      <c r="K152" s="3">
        <v>8.5699999999999998E-2</v>
      </c>
      <c r="S152" s="28">
        <v>44</v>
      </c>
      <c r="T152" t="str">
        <f t="shared" si="4"/>
        <v>Inexpesive</v>
      </c>
      <c r="V152" t="str">
        <f>_xlfn.CONCAT(G149," ",H149)</f>
        <v>KELLY OWEN</v>
      </c>
      <c r="X152" t="str">
        <f t="shared" si="5"/>
        <v>Kelly Owen</v>
      </c>
    </row>
    <row r="153" spans="1:24" ht="15.75" customHeight="1">
      <c r="A153" s="1" t="s">
        <v>626</v>
      </c>
      <c r="B153" s="2" t="s">
        <v>174</v>
      </c>
      <c r="C153" s="2" t="s">
        <v>175</v>
      </c>
      <c r="D153" s="2" t="s">
        <v>14</v>
      </c>
      <c r="E153" s="30">
        <v>41831</v>
      </c>
      <c r="F153" s="2" t="s">
        <v>15</v>
      </c>
      <c r="G153" s="1" t="s">
        <v>627</v>
      </c>
      <c r="H153" s="1" t="s">
        <v>628</v>
      </c>
      <c r="I153" s="2">
        <v>80</v>
      </c>
      <c r="J153" s="28">
        <v>78</v>
      </c>
      <c r="K153" s="3">
        <v>2.5000000000000001E-2</v>
      </c>
      <c r="S153" s="28">
        <v>67</v>
      </c>
      <c r="T153" t="str">
        <f t="shared" si="4"/>
        <v>Inexpesive</v>
      </c>
      <c r="V153" t="str">
        <f>_xlfn.CONCAT(G150," ",H150)</f>
        <v>EMILY BRIERLEY</v>
      </c>
      <c r="X153" t="str">
        <f t="shared" si="5"/>
        <v>Emily Brierley</v>
      </c>
    </row>
    <row r="154" spans="1:24" ht="15.75" customHeight="1">
      <c r="A154" s="1" t="s">
        <v>629</v>
      </c>
      <c r="B154" s="2" t="s">
        <v>109</v>
      </c>
      <c r="C154" s="2" t="s">
        <v>110</v>
      </c>
      <c r="D154" s="2" t="s">
        <v>14</v>
      </c>
      <c r="E154" s="31" t="s">
        <v>630</v>
      </c>
      <c r="F154" s="2" t="s">
        <v>123</v>
      </c>
      <c r="G154" s="1" t="s">
        <v>631</v>
      </c>
      <c r="H154" s="1" t="s">
        <v>393</v>
      </c>
      <c r="I154" s="2">
        <v>70</v>
      </c>
      <c r="J154" s="28">
        <v>68</v>
      </c>
      <c r="K154" s="3">
        <v>2.86E-2</v>
      </c>
      <c r="S154" s="28">
        <v>70</v>
      </c>
      <c r="T154" t="str">
        <f t="shared" si="4"/>
        <v>Inexpesive</v>
      </c>
      <c r="V154" t="str">
        <f>_xlfn.CONCAT(G151," ",H151)</f>
        <v>ERNIE DYER</v>
      </c>
      <c r="X154" t="str">
        <f t="shared" si="5"/>
        <v>Ernie Dyer</v>
      </c>
    </row>
    <row r="155" spans="1:24" ht="15.75" customHeight="1">
      <c r="A155" s="1" t="s">
        <v>632</v>
      </c>
      <c r="B155" s="2" t="s">
        <v>255</v>
      </c>
      <c r="C155" s="2" t="s">
        <v>54</v>
      </c>
      <c r="D155" s="2" t="s">
        <v>28</v>
      </c>
      <c r="E155" s="30">
        <v>43194</v>
      </c>
      <c r="F155" s="2" t="s">
        <v>67</v>
      </c>
      <c r="G155" s="1" t="s">
        <v>633</v>
      </c>
      <c r="H155" s="1" t="s">
        <v>634</v>
      </c>
      <c r="I155" s="2">
        <v>1000</v>
      </c>
      <c r="J155" s="28">
        <v>720</v>
      </c>
      <c r="K155" s="3">
        <v>0.28000000000000003</v>
      </c>
      <c r="S155" s="28">
        <v>64</v>
      </c>
      <c r="T155" t="str">
        <f t="shared" si="4"/>
        <v>Inexpesive</v>
      </c>
      <c r="V155" t="str">
        <f>_xlfn.CONCAT(G152," ",H152)</f>
        <v>HAROLD LUNN</v>
      </c>
      <c r="X155" t="str">
        <f t="shared" si="5"/>
        <v>Harold Lunn</v>
      </c>
    </row>
    <row r="156" spans="1:24" ht="15.75" customHeight="1">
      <c r="A156" s="1" t="s">
        <v>635</v>
      </c>
      <c r="B156" s="2" t="s">
        <v>180</v>
      </c>
      <c r="C156" s="2" t="s">
        <v>128</v>
      </c>
      <c r="D156" s="2" t="s">
        <v>21</v>
      </c>
      <c r="E156" s="31" t="s">
        <v>636</v>
      </c>
      <c r="F156" s="2" t="s">
        <v>43</v>
      </c>
      <c r="G156" s="1" t="s">
        <v>637</v>
      </c>
      <c r="H156" s="1" t="s">
        <v>638</v>
      </c>
      <c r="I156" s="2">
        <v>50</v>
      </c>
      <c r="J156" s="28">
        <v>43</v>
      </c>
      <c r="K156" s="3">
        <v>0.14000000000000001</v>
      </c>
      <c r="S156" s="28">
        <v>78</v>
      </c>
      <c r="T156" t="str">
        <f t="shared" si="4"/>
        <v>Inexpesive</v>
      </c>
      <c r="V156" t="str">
        <f>_xlfn.CONCAT(G153," ",H153)</f>
        <v>RYAN GOAD</v>
      </c>
      <c r="X156" t="str">
        <f t="shared" si="5"/>
        <v>Ryan Goad</v>
      </c>
    </row>
    <row r="157" spans="1:24" ht="15.75" customHeight="1">
      <c r="A157" s="1" t="s">
        <v>639</v>
      </c>
      <c r="B157" s="2" t="s">
        <v>273</v>
      </c>
      <c r="C157" s="2" t="s">
        <v>274</v>
      </c>
      <c r="D157" s="2" t="s">
        <v>14</v>
      </c>
      <c r="E157" s="30">
        <v>42158</v>
      </c>
      <c r="F157" s="2" t="s">
        <v>43</v>
      </c>
      <c r="G157" s="1" t="s">
        <v>640</v>
      </c>
      <c r="H157" s="1" t="s">
        <v>641</v>
      </c>
      <c r="I157" s="2">
        <v>50</v>
      </c>
      <c r="J157" s="28">
        <v>39</v>
      </c>
      <c r="K157" s="3">
        <v>0.22</v>
      </c>
      <c r="S157" s="28">
        <v>68</v>
      </c>
      <c r="T157" t="str">
        <f t="shared" si="4"/>
        <v>Inexpesive</v>
      </c>
      <c r="V157" t="str">
        <f>_xlfn.CONCAT(G154," ",H154)</f>
        <v>TERENCE MIRZA</v>
      </c>
      <c r="X157" t="str">
        <f t="shared" si="5"/>
        <v>Terence Mirza</v>
      </c>
    </row>
    <row r="158" spans="1:24" ht="15.75" customHeight="1">
      <c r="A158" s="1" t="s">
        <v>642</v>
      </c>
      <c r="B158" s="2" t="s">
        <v>115</v>
      </c>
      <c r="C158" s="2" t="s">
        <v>116</v>
      </c>
      <c r="D158" s="2" t="s">
        <v>14</v>
      </c>
      <c r="E158" s="30">
        <v>43293</v>
      </c>
      <c r="F158" s="2" t="s">
        <v>49</v>
      </c>
      <c r="G158" s="1" t="s">
        <v>643</v>
      </c>
      <c r="H158" s="1" t="s">
        <v>427</v>
      </c>
      <c r="I158" s="2">
        <v>500</v>
      </c>
      <c r="J158" s="28">
        <v>440</v>
      </c>
      <c r="K158" s="3">
        <v>0.12</v>
      </c>
      <c r="S158" s="28">
        <v>720</v>
      </c>
      <c r="T158" t="str">
        <f t="shared" si="4"/>
        <v>Expensive</v>
      </c>
      <c r="V158" t="str">
        <f>_xlfn.CONCAT(G155," ",H155)</f>
        <v>CATHERINE RAHMAN</v>
      </c>
      <c r="X158" t="str">
        <f t="shared" si="5"/>
        <v>Catherine Rahman</v>
      </c>
    </row>
    <row r="159" spans="1:24" ht="15.75" customHeight="1">
      <c r="A159" s="1" t="s">
        <v>644</v>
      </c>
      <c r="B159" s="2" t="s">
        <v>457</v>
      </c>
      <c r="C159" s="2" t="s">
        <v>458</v>
      </c>
      <c r="D159" s="2" t="s">
        <v>28</v>
      </c>
      <c r="E159" s="31" t="s">
        <v>645</v>
      </c>
      <c r="F159" s="2" t="s">
        <v>29</v>
      </c>
      <c r="G159" s="1" t="s">
        <v>646</v>
      </c>
      <c r="H159" s="1" t="s">
        <v>647</v>
      </c>
      <c r="I159" s="2">
        <v>700</v>
      </c>
      <c r="J159" s="28">
        <v>441</v>
      </c>
      <c r="K159" s="3">
        <v>0.37</v>
      </c>
      <c r="S159" s="28">
        <v>43</v>
      </c>
      <c r="T159" t="str">
        <f t="shared" si="4"/>
        <v>Inexpesive</v>
      </c>
      <c r="V159" t="str">
        <f>_xlfn.CONCAT(G156," ",H156)</f>
        <v>ELLEN LILLIE</v>
      </c>
      <c r="X159" t="str">
        <f t="shared" si="5"/>
        <v>Ellen Lillie</v>
      </c>
    </row>
    <row r="160" spans="1:24" ht="15.75" customHeight="1">
      <c r="A160" s="1" t="s">
        <v>648</v>
      </c>
      <c r="B160" s="2" t="s">
        <v>208</v>
      </c>
      <c r="C160" s="2" t="s">
        <v>209</v>
      </c>
      <c r="D160" s="2" t="s">
        <v>14</v>
      </c>
      <c r="E160" s="31" t="s">
        <v>649</v>
      </c>
      <c r="F160" s="2" t="s">
        <v>82</v>
      </c>
      <c r="G160" s="1" t="s">
        <v>650</v>
      </c>
      <c r="H160" s="1" t="s">
        <v>651</v>
      </c>
      <c r="I160" s="2">
        <v>500</v>
      </c>
      <c r="J160" s="28">
        <v>500</v>
      </c>
      <c r="K160" s="3">
        <v>0</v>
      </c>
      <c r="S160" s="28">
        <v>39</v>
      </c>
      <c r="T160" t="str">
        <f t="shared" si="4"/>
        <v>Inexpesive</v>
      </c>
      <c r="V160" t="str">
        <f>_xlfn.CONCAT(G157," ",H157)</f>
        <v>EMMA GIBBONS</v>
      </c>
      <c r="X160" t="str">
        <f t="shared" si="5"/>
        <v>Emma Gibbons</v>
      </c>
    </row>
    <row r="161" spans="1:24" ht="15.75" customHeight="1">
      <c r="A161" s="1" t="s">
        <v>652</v>
      </c>
      <c r="B161" s="2" t="s">
        <v>283</v>
      </c>
      <c r="C161" s="2" t="s">
        <v>284</v>
      </c>
      <c r="D161" s="2" t="s">
        <v>14</v>
      </c>
      <c r="E161" s="31" t="s">
        <v>653</v>
      </c>
      <c r="F161" s="2" t="s">
        <v>217</v>
      </c>
      <c r="G161" s="1" t="s">
        <v>187</v>
      </c>
      <c r="H161" s="1" t="s">
        <v>654</v>
      </c>
      <c r="I161" s="2">
        <v>50</v>
      </c>
      <c r="J161" s="28">
        <v>48</v>
      </c>
      <c r="K161" s="3">
        <v>0.04</v>
      </c>
      <c r="S161" s="28">
        <v>440</v>
      </c>
      <c r="T161" t="str">
        <f t="shared" si="4"/>
        <v>Inexpesive</v>
      </c>
      <c r="V161" t="str">
        <f>_xlfn.CONCAT(G158," ",H158)</f>
        <v>MARCUS JACOB</v>
      </c>
      <c r="X161" t="str">
        <f t="shared" si="5"/>
        <v>Marcus Jacob</v>
      </c>
    </row>
    <row r="162" spans="1:24" ht="15.75" customHeight="1">
      <c r="A162" s="1" t="s">
        <v>655</v>
      </c>
      <c r="B162" s="2" t="s">
        <v>418</v>
      </c>
      <c r="C162" s="2" t="s">
        <v>419</v>
      </c>
      <c r="D162" s="2" t="s">
        <v>14</v>
      </c>
      <c r="E162" s="31" t="s">
        <v>656</v>
      </c>
      <c r="F162" s="2" t="s">
        <v>217</v>
      </c>
      <c r="G162" s="1" t="s">
        <v>588</v>
      </c>
      <c r="H162" s="1" t="s">
        <v>657</v>
      </c>
      <c r="I162" s="2">
        <v>50</v>
      </c>
      <c r="J162" s="28">
        <v>47</v>
      </c>
      <c r="K162" s="3">
        <v>0.06</v>
      </c>
      <c r="S162" s="28">
        <v>441</v>
      </c>
      <c r="T162" t="str">
        <f t="shared" si="4"/>
        <v>Inexpesive</v>
      </c>
      <c r="V162" t="str">
        <f>_xlfn.CONCAT(G159," ",H159)</f>
        <v>KAREN HOPEWELL</v>
      </c>
      <c r="X162" t="str">
        <f t="shared" si="5"/>
        <v>Karen Hopewell</v>
      </c>
    </row>
    <row r="163" spans="1:24" ht="15.75" customHeight="1">
      <c r="A163" s="1" t="s">
        <v>658</v>
      </c>
      <c r="B163" s="2" t="s">
        <v>457</v>
      </c>
      <c r="C163" s="2" t="s">
        <v>458</v>
      </c>
      <c r="D163" s="2" t="s">
        <v>28</v>
      </c>
      <c r="E163" s="31" t="s">
        <v>659</v>
      </c>
      <c r="F163" s="2" t="s">
        <v>123</v>
      </c>
      <c r="G163" s="1" t="s">
        <v>660</v>
      </c>
      <c r="H163" s="1" t="s">
        <v>661</v>
      </c>
      <c r="I163" s="2">
        <v>70</v>
      </c>
      <c r="J163" s="28">
        <v>69</v>
      </c>
      <c r="K163" s="3">
        <v>1.43E-2</v>
      </c>
      <c r="S163" s="28">
        <v>500</v>
      </c>
      <c r="T163" t="str">
        <f t="shared" si="4"/>
        <v>Inexpesive</v>
      </c>
      <c r="V163" t="str">
        <f>_xlfn.CONCAT(G160," ",H160)</f>
        <v>GOLAM REID</v>
      </c>
      <c r="X163" t="str">
        <f t="shared" si="5"/>
        <v>Golam Reid</v>
      </c>
    </row>
    <row r="164" spans="1:24" ht="15.75" customHeight="1">
      <c r="A164" s="1" t="s">
        <v>662</v>
      </c>
      <c r="B164" s="2" t="s">
        <v>174</v>
      </c>
      <c r="C164" s="2" t="s">
        <v>175</v>
      </c>
      <c r="D164" s="2" t="s">
        <v>14</v>
      </c>
      <c r="E164" s="31" t="s">
        <v>663</v>
      </c>
      <c r="F164" s="2" t="s">
        <v>123</v>
      </c>
      <c r="G164" s="1" t="s">
        <v>664</v>
      </c>
      <c r="H164" s="1" t="s">
        <v>665</v>
      </c>
      <c r="I164" s="2">
        <v>70</v>
      </c>
      <c r="J164" s="28">
        <v>67</v>
      </c>
      <c r="K164" s="3">
        <v>4.2900000000000001E-2</v>
      </c>
      <c r="S164" s="28">
        <v>48</v>
      </c>
      <c r="T164" t="str">
        <f t="shared" si="4"/>
        <v>Inexpesive</v>
      </c>
      <c r="V164" t="str">
        <f>_xlfn.CONCAT(G161," ",H161)</f>
        <v>MARTIN MISHRA</v>
      </c>
      <c r="X164" t="str">
        <f t="shared" si="5"/>
        <v>Martin Mishra</v>
      </c>
    </row>
    <row r="165" spans="1:24" ht="15.75" customHeight="1">
      <c r="A165" s="1" t="s">
        <v>666</v>
      </c>
      <c r="B165" s="2" t="s">
        <v>65</v>
      </c>
      <c r="C165" s="2" t="s">
        <v>66</v>
      </c>
      <c r="D165" s="2" t="s">
        <v>14</v>
      </c>
      <c r="E165" s="30">
        <v>42227</v>
      </c>
      <c r="F165" s="2" t="s">
        <v>36</v>
      </c>
      <c r="G165" s="1" t="s">
        <v>667</v>
      </c>
      <c r="H165" s="1" t="s">
        <v>668</v>
      </c>
      <c r="I165" s="2">
        <v>150</v>
      </c>
      <c r="J165" s="28">
        <v>93</v>
      </c>
      <c r="K165" s="3">
        <v>0.38</v>
      </c>
      <c r="S165" s="28">
        <v>47</v>
      </c>
      <c r="T165" t="str">
        <f t="shared" si="4"/>
        <v>Inexpesive</v>
      </c>
      <c r="V165" t="str">
        <f>_xlfn.CONCAT(G162," ",H162)</f>
        <v>RAYMOND DENNING</v>
      </c>
      <c r="X165" t="str">
        <f t="shared" si="5"/>
        <v>Raymond Denning</v>
      </c>
    </row>
    <row r="166" spans="1:24" ht="15.75" customHeight="1">
      <c r="A166" s="1" t="s">
        <v>669</v>
      </c>
      <c r="B166" s="2" t="s">
        <v>19</v>
      </c>
      <c r="C166" s="2" t="s">
        <v>20</v>
      </c>
      <c r="D166" s="2" t="s">
        <v>21</v>
      </c>
      <c r="E166" s="30">
        <v>41672</v>
      </c>
      <c r="F166" s="2" t="s">
        <v>67</v>
      </c>
      <c r="G166" s="1" t="s">
        <v>670</v>
      </c>
      <c r="H166" s="1" t="s">
        <v>671</v>
      </c>
      <c r="I166" s="2">
        <v>1000</v>
      </c>
      <c r="J166" s="28">
        <v>750</v>
      </c>
      <c r="K166" s="3">
        <v>0.25</v>
      </c>
      <c r="S166" s="28">
        <v>69</v>
      </c>
      <c r="T166" t="str">
        <f t="shared" si="4"/>
        <v>Inexpesive</v>
      </c>
      <c r="V166" t="str">
        <f>_xlfn.CONCAT(G163," ",H163)</f>
        <v>JASON EDMUND</v>
      </c>
      <c r="X166" t="str">
        <f t="shared" si="5"/>
        <v>Jason Edmund</v>
      </c>
    </row>
    <row r="167" spans="1:24" ht="15.75" customHeight="1">
      <c r="A167" s="1" t="s">
        <v>672</v>
      </c>
      <c r="B167" s="2" t="s">
        <v>95</v>
      </c>
      <c r="C167" s="2" t="s">
        <v>96</v>
      </c>
      <c r="D167" s="2" t="s">
        <v>14</v>
      </c>
      <c r="E167" s="31" t="s">
        <v>673</v>
      </c>
      <c r="F167" s="2" t="s">
        <v>43</v>
      </c>
      <c r="G167" s="1" t="s">
        <v>674</v>
      </c>
      <c r="H167" s="1" t="s">
        <v>31</v>
      </c>
      <c r="I167" s="2">
        <v>50</v>
      </c>
      <c r="J167" s="28">
        <v>46</v>
      </c>
      <c r="K167" s="3">
        <v>0.08</v>
      </c>
      <c r="S167" s="28">
        <v>67</v>
      </c>
      <c r="T167" t="str">
        <f t="shared" si="4"/>
        <v>Inexpesive</v>
      </c>
      <c r="V167" t="str">
        <f>_xlfn.CONCAT(G164," ",H164)</f>
        <v>MELANIE FLETCHER</v>
      </c>
      <c r="X167" t="str">
        <f t="shared" si="5"/>
        <v>Melanie Fletcher</v>
      </c>
    </row>
    <row r="168" spans="1:24" ht="15.75" customHeight="1">
      <c r="A168" s="1" t="s">
        <v>675</v>
      </c>
      <c r="B168" s="2" t="s">
        <v>103</v>
      </c>
      <c r="C168" s="2" t="s">
        <v>104</v>
      </c>
      <c r="D168" s="2" t="s">
        <v>42</v>
      </c>
      <c r="E168" s="31" t="s">
        <v>676</v>
      </c>
      <c r="F168" s="2" t="s">
        <v>29</v>
      </c>
      <c r="G168" s="1" t="s">
        <v>677</v>
      </c>
      <c r="H168" s="1" t="s">
        <v>678</v>
      </c>
      <c r="I168" s="2">
        <v>700</v>
      </c>
      <c r="J168" s="28">
        <v>686</v>
      </c>
      <c r="K168" s="3">
        <v>0.02</v>
      </c>
      <c r="S168" s="28">
        <v>93</v>
      </c>
      <c r="T168" t="str">
        <f t="shared" si="4"/>
        <v>Inexpesive</v>
      </c>
      <c r="V168" t="str">
        <f>_xlfn.CONCAT(G165," ",H165)</f>
        <v>JODIE FAIRHURST</v>
      </c>
      <c r="X168" t="str">
        <f t="shared" si="5"/>
        <v>Jodie Fairhurst</v>
      </c>
    </row>
    <row r="169" spans="1:24" ht="15.75" customHeight="1">
      <c r="A169" s="1" t="s">
        <v>679</v>
      </c>
      <c r="B169" s="2" t="s">
        <v>255</v>
      </c>
      <c r="C169" s="2" t="s">
        <v>54</v>
      </c>
      <c r="D169" s="2" t="s">
        <v>28</v>
      </c>
      <c r="E169" s="31" t="s">
        <v>680</v>
      </c>
      <c r="F169" s="2" t="s">
        <v>217</v>
      </c>
      <c r="G169" s="1" t="s">
        <v>681</v>
      </c>
      <c r="H169" s="1" t="s">
        <v>84</v>
      </c>
      <c r="I169" s="2">
        <v>50</v>
      </c>
      <c r="J169" s="28">
        <v>44</v>
      </c>
      <c r="K169" s="3">
        <v>0.12</v>
      </c>
      <c r="S169" s="28">
        <v>750</v>
      </c>
      <c r="T169" t="str">
        <f t="shared" si="4"/>
        <v>Expensive</v>
      </c>
      <c r="V169" t="str">
        <f>_xlfn.CONCAT(G166," ",H166)</f>
        <v>KYLE ANDERSON</v>
      </c>
      <c r="X169" t="str">
        <f t="shared" si="5"/>
        <v>Kyle Anderson</v>
      </c>
    </row>
    <row r="170" spans="1:24" ht="15.75" customHeight="1">
      <c r="A170" s="1" t="s">
        <v>682</v>
      </c>
      <c r="B170" s="2" t="s">
        <v>19</v>
      </c>
      <c r="C170" s="2" t="s">
        <v>20</v>
      </c>
      <c r="D170" s="2" t="s">
        <v>21</v>
      </c>
      <c r="E170" s="31" t="s">
        <v>325</v>
      </c>
      <c r="F170" s="2" t="s">
        <v>36</v>
      </c>
      <c r="G170" s="1" t="s">
        <v>683</v>
      </c>
      <c r="H170" s="1" t="s">
        <v>684</v>
      </c>
      <c r="I170" s="2">
        <v>150</v>
      </c>
      <c r="J170" s="28">
        <v>150</v>
      </c>
      <c r="K170" s="3">
        <v>0</v>
      </c>
      <c r="S170" s="28">
        <v>46</v>
      </c>
      <c r="T170" t="str">
        <f t="shared" si="4"/>
        <v>Inexpesive</v>
      </c>
      <c r="V170" t="str">
        <f>_xlfn.CONCAT(G167," ",H167)</f>
        <v>MAUREEN REYNOLDS</v>
      </c>
      <c r="X170" t="str">
        <f t="shared" si="5"/>
        <v>Maureen Reynolds</v>
      </c>
    </row>
    <row r="171" spans="1:24" ht="15.75" customHeight="1">
      <c r="A171" s="1" t="s">
        <v>685</v>
      </c>
      <c r="B171" s="2" t="s">
        <v>144</v>
      </c>
      <c r="C171" s="2" t="s">
        <v>145</v>
      </c>
      <c r="D171" s="2" t="s">
        <v>42</v>
      </c>
      <c r="E171" s="30">
        <v>42527</v>
      </c>
      <c r="F171" s="2" t="s">
        <v>217</v>
      </c>
      <c r="G171" s="1" t="s">
        <v>686</v>
      </c>
      <c r="H171" s="1" t="s">
        <v>687</v>
      </c>
      <c r="I171" s="2">
        <v>50</v>
      </c>
      <c r="J171" s="28">
        <v>49</v>
      </c>
      <c r="K171" s="3">
        <v>0.02</v>
      </c>
      <c r="S171" s="28">
        <v>686</v>
      </c>
      <c r="T171" t="str">
        <f t="shared" si="4"/>
        <v>Expensive</v>
      </c>
      <c r="V171" t="str">
        <f>_xlfn.CONCAT(G168," ",H168)</f>
        <v>ALICE CANNING</v>
      </c>
      <c r="X171" t="str">
        <f t="shared" si="5"/>
        <v>Alice Canning</v>
      </c>
    </row>
    <row r="172" spans="1:24" ht="15.75" customHeight="1">
      <c r="A172" s="1" t="s">
        <v>688</v>
      </c>
      <c r="B172" s="2" t="s">
        <v>352</v>
      </c>
      <c r="C172" s="2" t="s">
        <v>128</v>
      </c>
      <c r="D172" s="2" t="s">
        <v>21</v>
      </c>
      <c r="E172" s="31" t="s">
        <v>689</v>
      </c>
      <c r="F172" s="2" t="s">
        <v>49</v>
      </c>
      <c r="G172" s="1" t="s">
        <v>690</v>
      </c>
      <c r="H172" s="1" t="s">
        <v>691</v>
      </c>
      <c r="I172" s="2">
        <v>500</v>
      </c>
      <c r="J172" s="28">
        <v>450</v>
      </c>
      <c r="K172" s="3">
        <v>0.1</v>
      </c>
      <c r="S172" s="28">
        <v>44</v>
      </c>
      <c r="T172" t="str">
        <f t="shared" si="4"/>
        <v>Inexpesive</v>
      </c>
      <c r="V172" t="str">
        <f>_xlfn.CONCAT(G169," ",H169)</f>
        <v>JEREMY MORROW</v>
      </c>
      <c r="X172" t="str">
        <f t="shared" si="5"/>
        <v>Jeremy Morrow</v>
      </c>
    </row>
    <row r="173" spans="1:24" ht="15.75" customHeight="1">
      <c r="A173" s="1" t="s">
        <v>692</v>
      </c>
      <c r="B173" s="2" t="s">
        <v>414</v>
      </c>
      <c r="C173" s="2" t="s">
        <v>104</v>
      </c>
      <c r="D173" s="2" t="s">
        <v>42</v>
      </c>
      <c r="E173" s="30">
        <v>42411</v>
      </c>
      <c r="F173" s="2" t="s">
        <v>15</v>
      </c>
      <c r="G173" s="1" t="s">
        <v>693</v>
      </c>
      <c r="H173" s="1" t="s">
        <v>694</v>
      </c>
      <c r="I173" s="2">
        <v>80</v>
      </c>
      <c r="J173" s="28">
        <v>71</v>
      </c>
      <c r="K173" s="3">
        <v>0.1125</v>
      </c>
      <c r="S173" s="28">
        <v>150</v>
      </c>
      <c r="T173" t="str">
        <f t="shared" si="4"/>
        <v>Inexpesive</v>
      </c>
      <c r="V173" t="str">
        <f>_xlfn.CONCAT(G170," ",H170)</f>
        <v>JORDAN ANDREWS</v>
      </c>
      <c r="X173" t="str">
        <f t="shared" si="5"/>
        <v>Jordan Andrews</v>
      </c>
    </row>
    <row r="174" spans="1:24" ht="15.75" customHeight="1">
      <c r="A174" s="1" t="s">
        <v>695</v>
      </c>
      <c r="B174" s="2" t="s">
        <v>352</v>
      </c>
      <c r="C174" s="2" t="s">
        <v>128</v>
      </c>
      <c r="D174" s="2" t="s">
        <v>21</v>
      </c>
      <c r="E174" s="30">
        <v>41951</v>
      </c>
      <c r="F174" s="2" t="s">
        <v>123</v>
      </c>
      <c r="G174" s="1" t="s">
        <v>696</v>
      </c>
      <c r="H174" s="1" t="s">
        <v>697</v>
      </c>
      <c r="I174" s="2">
        <v>70</v>
      </c>
      <c r="J174" s="28">
        <v>65</v>
      </c>
      <c r="K174" s="3">
        <v>7.1400000000000005E-2</v>
      </c>
      <c r="S174" s="28">
        <v>49</v>
      </c>
      <c r="T174" t="str">
        <f t="shared" si="4"/>
        <v>Inexpesive</v>
      </c>
      <c r="V174" t="str">
        <f>_xlfn.CONCAT(G171," ",H171)</f>
        <v>HELEN WATT</v>
      </c>
      <c r="X174" t="str">
        <f t="shared" si="5"/>
        <v>Helen Watt</v>
      </c>
    </row>
    <row r="175" spans="1:24" ht="15.75" customHeight="1">
      <c r="A175" s="1" t="s">
        <v>698</v>
      </c>
      <c r="B175" s="2" t="s">
        <v>71</v>
      </c>
      <c r="C175" s="2" t="s">
        <v>72</v>
      </c>
      <c r="D175" s="2" t="s">
        <v>42</v>
      </c>
      <c r="E175" s="31" t="s">
        <v>699</v>
      </c>
      <c r="F175" s="2" t="s">
        <v>67</v>
      </c>
      <c r="G175" s="1" t="s">
        <v>700</v>
      </c>
      <c r="H175" s="1" t="s">
        <v>701</v>
      </c>
      <c r="I175" s="2">
        <v>1000</v>
      </c>
      <c r="J175" s="28">
        <v>850</v>
      </c>
      <c r="K175" s="3">
        <v>0.15</v>
      </c>
      <c r="S175" s="28">
        <v>450</v>
      </c>
      <c r="T175" t="str">
        <f t="shared" si="4"/>
        <v>Inexpesive</v>
      </c>
      <c r="V175" t="str">
        <f>_xlfn.CONCAT(G172," ",H172)</f>
        <v>MATTHEW CROWE</v>
      </c>
      <c r="X175" t="str">
        <f t="shared" si="5"/>
        <v>Matthew Crowe</v>
      </c>
    </row>
    <row r="176" spans="1:24" ht="15.75" customHeight="1">
      <c r="A176" s="1" t="s">
        <v>702</v>
      </c>
      <c r="B176" s="2" t="s">
        <v>250</v>
      </c>
      <c r="C176" s="2" t="s">
        <v>145</v>
      </c>
      <c r="D176" s="2" t="s">
        <v>42</v>
      </c>
      <c r="E176" s="31" t="s">
        <v>703</v>
      </c>
      <c r="F176" s="2" t="s">
        <v>43</v>
      </c>
      <c r="G176" s="1" t="s">
        <v>704</v>
      </c>
      <c r="H176" s="1" t="s">
        <v>705</v>
      </c>
      <c r="I176" s="2">
        <v>50</v>
      </c>
      <c r="J176" s="28">
        <v>40</v>
      </c>
      <c r="K176" s="3">
        <v>0.2</v>
      </c>
      <c r="S176" s="28">
        <v>71</v>
      </c>
      <c r="T176" t="str">
        <f t="shared" si="4"/>
        <v>Inexpesive</v>
      </c>
      <c r="V176" t="str">
        <f>_xlfn.CONCAT(G173," ",H173)</f>
        <v>ROSE ROWNTREE</v>
      </c>
      <c r="X176" t="str">
        <f t="shared" si="5"/>
        <v>Rose Rowntree</v>
      </c>
    </row>
    <row r="177" spans="1:24" ht="15.75" customHeight="1">
      <c r="A177" s="1" t="s">
        <v>706</v>
      </c>
      <c r="B177" s="2" t="s">
        <v>139</v>
      </c>
      <c r="C177" s="2" t="s">
        <v>140</v>
      </c>
      <c r="D177" s="2" t="s">
        <v>42</v>
      </c>
      <c r="E177" s="31" t="s">
        <v>707</v>
      </c>
      <c r="F177" s="2" t="s">
        <v>67</v>
      </c>
      <c r="G177" s="1" t="s">
        <v>708</v>
      </c>
      <c r="H177" s="1" t="s">
        <v>45</v>
      </c>
      <c r="I177" s="2">
        <v>1000</v>
      </c>
      <c r="J177" s="28">
        <v>930</v>
      </c>
      <c r="K177" s="3">
        <v>7.0000000000000007E-2</v>
      </c>
      <c r="S177" s="28">
        <v>65</v>
      </c>
      <c r="T177" t="str">
        <f t="shared" si="4"/>
        <v>Inexpesive</v>
      </c>
      <c r="V177" t="str">
        <f>_xlfn.CONCAT(G174," ",H174)</f>
        <v>GEORGE STEVENSON</v>
      </c>
      <c r="X177" t="str">
        <f t="shared" si="5"/>
        <v>George Stevenson</v>
      </c>
    </row>
    <row r="178" spans="1:24" ht="15.75" customHeight="1">
      <c r="A178" s="1" t="s">
        <v>709</v>
      </c>
      <c r="B178" s="2" t="s">
        <v>115</v>
      </c>
      <c r="C178" s="2" t="s">
        <v>116</v>
      </c>
      <c r="D178" s="2" t="s">
        <v>14</v>
      </c>
      <c r="E178" s="30">
        <v>42249</v>
      </c>
      <c r="F178" s="2" t="s">
        <v>49</v>
      </c>
      <c r="G178" s="1" t="s">
        <v>710</v>
      </c>
      <c r="H178" s="1" t="s">
        <v>711</v>
      </c>
      <c r="I178" s="2">
        <v>500</v>
      </c>
      <c r="J178" s="28">
        <v>485</v>
      </c>
      <c r="K178" s="3">
        <v>0.03</v>
      </c>
      <c r="S178" s="28">
        <v>850</v>
      </c>
      <c r="T178" t="str">
        <f t="shared" si="4"/>
        <v>Expensive</v>
      </c>
      <c r="V178" t="str">
        <f>_xlfn.CONCAT(G175," ",H175)</f>
        <v>OLIVE FOSTER</v>
      </c>
      <c r="X178" t="str">
        <f t="shared" si="5"/>
        <v>Olive Foster</v>
      </c>
    </row>
    <row r="179" spans="1:24" ht="15.75" customHeight="1">
      <c r="A179" s="1" t="s">
        <v>712</v>
      </c>
      <c r="B179" s="2" t="s">
        <v>89</v>
      </c>
      <c r="C179" s="2" t="s">
        <v>90</v>
      </c>
      <c r="D179" s="2" t="s">
        <v>42</v>
      </c>
      <c r="E179" s="30">
        <v>43042</v>
      </c>
      <c r="F179" s="2" t="s">
        <v>49</v>
      </c>
      <c r="G179" s="1" t="s">
        <v>713</v>
      </c>
      <c r="H179" s="1" t="s">
        <v>482</v>
      </c>
      <c r="I179" s="2">
        <v>500</v>
      </c>
      <c r="J179" s="28">
        <v>450</v>
      </c>
      <c r="K179" s="3">
        <v>0.1</v>
      </c>
      <c r="S179" s="28">
        <v>40</v>
      </c>
      <c r="T179" t="str">
        <f t="shared" si="4"/>
        <v>Inexpesive</v>
      </c>
      <c r="V179" t="str">
        <f>_xlfn.CONCAT(G176," ",H176)</f>
        <v>JONATHAN WILL</v>
      </c>
      <c r="X179" t="str">
        <f t="shared" si="5"/>
        <v>Jonathan Will</v>
      </c>
    </row>
    <row r="180" spans="1:24" ht="15.75" customHeight="1">
      <c r="A180" s="1" t="s">
        <v>714</v>
      </c>
      <c r="B180" s="2" t="s">
        <v>418</v>
      </c>
      <c r="C180" s="2" t="s">
        <v>419</v>
      </c>
      <c r="D180" s="2" t="s">
        <v>14</v>
      </c>
      <c r="E180" s="30">
        <v>42952</v>
      </c>
      <c r="F180" s="2" t="s">
        <v>55</v>
      </c>
      <c r="G180" s="1" t="s">
        <v>715</v>
      </c>
      <c r="H180" s="1" t="s">
        <v>716</v>
      </c>
      <c r="I180" s="2">
        <v>30</v>
      </c>
      <c r="J180" s="28">
        <v>29</v>
      </c>
      <c r="K180" s="3">
        <v>3.3300000000000003E-2</v>
      </c>
      <c r="S180" s="28">
        <v>930</v>
      </c>
      <c r="T180" t="str">
        <f t="shared" si="4"/>
        <v>Expensive</v>
      </c>
      <c r="V180" t="str">
        <f>_xlfn.CONCAT(G177," ",H177)</f>
        <v>SUZANNA DAVIES</v>
      </c>
      <c r="X180" t="str">
        <f t="shared" si="5"/>
        <v>Suzanna Davies</v>
      </c>
    </row>
    <row r="181" spans="1:24" ht="15.75" customHeight="1">
      <c r="A181" s="1" t="s">
        <v>717</v>
      </c>
      <c r="B181" s="2" t="s">
        <v>139</v>
      </c>
      <c r="C181" s="2" t="s">
        <v>140</v>
      </c>
      <c r="D181" s="2" t="s">
        <v>42</v>
      </c>
      <c r="E181" s="30">
        <v>42856</v>
      </c>
      <c r="F181" s="2" t="s">
        <v>217</v>
      </c>
      <c r="G181" s="1" t="s">
        <v>718</v>
      </c>
      <c r="H181" s="1" t="s">
        <v>719</v>
      </c>
      <c r="I181" s="2">
        <v>50</v>
      </c>
      <c r="J181" s="28">
        <v>48</v>
      </c>
      <c r="K181" s="3">
        <v>0.04</v>
      </c>
      <c r="S181" s="28">
        <v>485</v>
      </c>
      <c r="T181" t="str">
        <f t="shared" si="4"/>
        <v>Inexpesive</v>
      </c>
      <c r="V181" t="str">
        <f>_xlfn.CONCAT(G178," ",H178)</f>
        <v>LUCY DOWNS</v>
      </c>
      <c r="X181" t="str">
        <f t="shared" si="5"/>
        <v>Lucy Downs</v>
      </c>
    </row>
    <row r="182" spans="1:24" ht="15.75" customHeight="1">
      <c r="A182" s="1" t="s">
        <v>720</v>
      </c>
      <c r="B182" s="2" t="s">
        <v>336</v>
      </c>
      <c r="C182" s="2" t="s">
        <v>128</v>
      </c>
      <c r="D182" s="2" t="s">
        <v>21</v>
      </c>
      <c r="E182" s="30">
        <v>43405</v>
      </c>
      <c r="F182" s="2" t="s">
        <v>82</v>
      </c>
      <c r="G182" s="1" t="s">
        <v>721</v>
      </c>
      <c r="H182" s="1" t="s">
        <v>722</v>
      </c>
      <c r="I182" s="2">
        <v>500</v>
      </c>
      <c r="J182" s="28">
        <v>495</v>
      </c>
      <c r="K182" s="3">
        <v>0.01</v>
      </c>
      <c r="S182" s="28">
        <v>450</v>
      </c>
      <c r="T182" t="str">
        <f t="shared" si="4"/>
        <v>Inexpesive</v>
      </c>
      <c r="V182" t="str">
        <f>_xlfn.CONCAT(G179," ",H179)</f>
        <v>AUSTIN PARSONS</v>
      </c>
      <c r="X182" t="str">
        <f t="shared" si="5"/>
        <v>Austin Parsons</v>
      </c>
    </row>
    <row r="183" spans="1:24" ht="15.75" customHeight="1">
      <c r="A183" s="1" t="s">
        <v>723</v>
      </c>
      <c r="B183" s="2" t="s">
        <v>12</v>
      </c>
      <c r="C183" s="2" t="s">
        <v>13</v>
      </c>
      <c r="D183" s="2" t="s">
        <v>14</v>
      </c>
      <c r="E183" s="30">
        <v>42952</v>
      </c>
      <c r="F183" s="2" t="s">
        <v>36</v>
      </c>
      <c r="G183" s="1" t="s">
        <v>724</v>
      </c>
      <c r="H183" s="1" t="s">
        <v>725</v>
      </c>
      <c r="I183" s="2">
        <v>150</v>
      </c>
      <c r="J183" s="28">
        <v>147</v>
      </c>
      <c r="K183" s="3">
        <v>0.02</v>
      </c>
      <c r="S183" s="28">
        <v>29</v>
      </c>
      <c r="T183" t="str">
        <f t="shared" si="4"/>
        <v>Inexpesive</v>
      </c>
      <c r="V183" t="str">
        <f>_xlfn.CONCAT(G180," ",H180)</f>
        <v>JESUS TIMMINS</v>
      </c>
      <c r="X183" t="str">
        <f t="shared" si="5"/>
        <v>Jesus Timmins</v>
      </c>
    </row>
    <row r="184" spans="1:24" ht="15.75" customHeight="1">
      <c r="A184" s="1" t="s">
        <v>726</v>
      </c>
      <c r="B184" s="2" t="s">
        <v>444</v>
      </c>
      <c r="C184" s="2" t="s">
        <v>445</v>
      </c>
      <c r="D184" s="2" t="s">
        <v>14</v>
      </c>
      <c r="E184" s="30">
        <v>42340</v>
      </c>
      <c r="F184" s="2" t="s">
        <v>61</v>
      </c>
      <c r="G184" s="1" t="s">
        <v>727</v>
      </c>
      <c r="H184" s="1" t="s">
        <v>290</v>
      </c>
      <c r="I184" s="2">
        <v>800</v>
      </c>
      <c r="J184" s="28">
        <v>680</v>
      </c>
      <c r="K184" s="3">
        <v>0.15</v>
      </c>
      <c r="S184" s="28">
        <v>48</v>
      </c>
      <c r="T184" t="str">
        <f t="shared" si="4"/>
        <v>Inexpesive</v>
      </c>
      <c r="V184" t="str">
        <f>_xlfn.CONCAT(G181," ",H181)</f>
        <v>IFTIKHAR HAYWOOD</v>
      </c>
      <c r="X184" t="str">
        <f t="shared" si="5"/>
        <v>Iftikhar Haywood</v>
      </c>
    </row>
    <row r="185" spans="1:24" ht="15.75" customHeight="1">
      <c r="A185" s="1" t="s">
        <v>728</v>
      </c>
      <c r="B185" s="2" t="s">
        <v>115</v>
      </c>
      <c r="C185" s="2" t="s">
        <v>116</v>
      </c>
      <c r="D185" s="2" t="s">
        <v>14</v>
      </c>
      <c r="E185" s="31" t="s">
        <v>729</v>
      </c>
      <c r="F185" s="2" t="s">
        <v>43</v>
      </c>
      <c r="G185" s="1" t="s">
        <v>730</v>
      </c>
      <c r="H185" s="1" t="s">
        <v>731</v>
      </c>
      <c r="I185" s="2">
        <v>50</v>
      </c>
      <c r="J185" s="28">
        <v>48</v>
      </c>
      <c r="K185" s="3">
        <v>0.04</v>
      </c>
      <c r="S185" s="28">
        <v>495</v>
      </c>
      <c r="T185" t="str">
        <f t="shared" si="4"/>
        <v>Inexpesive</v>
      </c>
      <c r="V185" t="str">
        <f>_xlfn.CONCAT(G182," ",H182)</f>
        <v>AMELIA SCOTT</v>
      </c>
      <c r="X185" t="str">
        <f t="shared" si="5"/>
        <v>Amelia Scott</v>
      </c>
    </row>
    <row r="186" spans="1:24" ht="15.75" customHeight="1">
      <c r="A186" s="1" t="s">
        <v>732</v>
      </c>
      <c r="B186" s="2" t="s">
        <v>47</v>
      </c>
      <c r="C186" s="2" t="s">
        <v>48</v>
      </c>
      <c r="D186" s="2" t="s">
        <v>28</v>
      </c>
      <c r="E186" s="31" t="s">
        <v>733</v>
      </c>
      <c r="F186" s="2" t="s">
        <v>43</v>
      </c>
      <c r="G186" s="1" t="s">
        <v>734</v>
      </c>
      <c r="H186" s="1" t="s">
        <v>735</v>
      </c>
      <c r="I186" s="2">
        <v>50</v>
      </c>
      <c r="J186" s="28">
        <v>43</v>
      </c>
      <c r="K186" s="3">
        <v>0.14000000000000001</v>
      </c>
      <c r="S186" s="28">
        <v>147</v>
      </c>
      <c r="T186" t="str">
        <f t="shared" si="4"/>
        <v>Inexpesive</v>
      </c>
      <c r="V186" t="str">
        <f>_xlfn.CONCAT(G183," ",H183)</f>
        <v>DIANE BATTY</v>
      </c>
      <c r="X186" t="str">
        <f t="shared" si="5"/>
        <v>Diane Batty</v>
      </c>
    </row>
    <row r="187" spans="1:24" ht="15.75" customHeight="1">
      <c r="A187" s="1" t="s">
        <v>736</v>
      </c>
      <c r="B187" s="2" t="s">
        <v>95</v>
      </c>
      <c r="C187" s="2" t="s">
        <v>96</v>
      </c>
      <c r="D187" s="2" t="s">
        <v>14</v>
      </c>
      <c r="E187" s="30">
        <v>43378</v>
      </c>
      <c r="F187" s="2" t="s">
        <v>29</v>
      </c>
      <c r="G187" s="1" t="s">
        <v>737</v>
      </c>
      <c r="H187" s="1" t="s">
        <v>738</v>
      </c>
      <c r="I187" s="2">
        <v>700</v>
      </c>
      <c r="J187" s="28">
        <v>651</v>
      </c>
      <c r="K187" s="3">
        <v>7.0000000000000007E-2</v>
      </c>
      <c r="S187" s="28">
        <v>680</v>
      </c>
      <c r="T187" t="str">
        <f t="shared" si="4"/>
        <v>Expensive</v>
      </c>
      <c r="V187" t="str">
        <f>_xlfn.CONCAT(G184," ",H184)</f>
        <v>FRANK MURRAY</v>
      </c>
      <c r="X187" t="str">
        <f t="shared" si="5"/>
        <v>Frank Murray</v>
      </c>
    </row>
    <row r="188" spans="1:24" ht="15.75" customHeight="1">
      <c r="A188" s="1" t="s">
        <v>739</v>
      </c>
      <c r="B188" s="2" t="s">
        <v>255</v>
      </c>
      <c r="C188" s="2" t="s">
        <v>54</v>
      </c>
      <c r="D188" s="2" t="s">
        <v>28</v>
      </c>
      <c r="E188" s="31" t="s">
        <v>740</v>
      </c>
      <c r="F188" s="2" t="s">
        <v>61</v>
      </c>
      <c r="G188" s="1" t="s">
        <v>741</v>
      </c>
      <c r="H188" s="1" t="s">
        <v>742</v>
      </c>
      <c r="I188" s="2">
        <v>800</v>
      </c>
      <c r="J188" s="28">
        <v>552</v>
      </c>
      <c r="K188" s="3">
        <v>0.31</v>
      </c>
      <c r="S188" s="28">
        <v>48</v>
      </c>
      <c r="T188" t="str">
        <f t="shared" si="4"/>
        <v>Inexpesive</v>
      </c>
      <c r="V188" t="str">
        <f>_xlfn.CONCAT(G185," ",H185)</f>
        <v>NOEL BULL</v>
      </c>
      <c r="X188" t="str">
        <f t="shared" si="5"/>
        <v>Noel Bull</v>
      </c>
    </row>
    <row r="189" spans="1:24" ht="15.75" customHeight="1">
      <c r="A189" s="1" t="s">
        <v>743</v>
      </c>
      <c r="B189" s="2" t="s">
        <v>180</v>
      </c>
      <c r="C189" s="2" t="s">
        <v>128</v>
      </c>
      <c r="D189" s="2" t="s">
        <v>21</v>
      </c>
      <c r="E189" s="31" t="s">
        <v>744</v>
      </c>
      <c r="F189" s="2" t="s">
        <v>82</v>
      </c>
      <c r="G189" s="1" t="s">
        <v>745</v>
      </c>
      <c r="H189" s="1" t="s">
        <v>746</v>
      </c>
      <c r="I189" s="2">
        <v>500</v>
      </c>
      <c r="J189" s="28">
        <v>495</v>
      </c>
      <c r="K189" s="3">
        <v>0.01</v>
      </c>
      <c r="S189" s="28">
        <v>43</v>
      </c>
      <c r="T189" t="str">
        <f t="shared" si="4"/>
        <v>Inexpesive</v>
      </c>
      <c r="V189" t="str">
        <f>_xlfn.CONCAT(G186," ",H186)</f>
        <v>LLOYD NORTON</v>
      </c>
      <c r="X189" t="str">
        <f t="shared" si="5"/>
        <v>Lloyd Norton</v>
      </c>
    </row>
    <row r="190" spans="1:24" ht="15.75" customHeight="1">
      <c r="A190" s="1" t="s">
        <v>747</v>
      </c>
      <c r="B190" s="2" t="s">
        <v>229</v>
      </c>
      <c r="C190" s="2" t="s">
        <v>128</v>
      </c>
      <c r="D190" s="2" t="s">
        <v>21</v>
      </c>
      <c r="E190" s="30">
        <v>42592</v>
      </c>
      <c r="F190" s="2" t="s">
        <v>29</v>
      </c>
      <c r="G190" s="1" t="s">
        <v>748</v>
      </c>
      <c r="H190" s="1" t="s">
        <v>749</v>
      </c>
      <c r="I190" s="2">
        <v>700</v>
      </c>
      <c r="J190" s="28">
        <v>595</v>
      </c>
      <c r="K190" s="3">
        <v>0.15</v>
      </c>
      <c r="S190" s="28">
        <v>651</v>
      </c>
      <c r="T190" t="str">
        <f t="shared" si="4"/>
        <v>Expensive</v>
      </c>
      <c r="V190" t="str">
        <f>_xlfn.CONCAT(G187," ",H187)</f>
        <v>FRANCES WELLER</v>
      </c>
      <c r="X190" t="str">
        <f t="shared" si="5"/>
        <v>Frances Weller</v>
      </c>
    </row>
    <row r="191" spans="1:24" ht="15.75" customHeight="1">
      <c r="A191" s="1" t="s">
        <v>750</v>
      </c>
      <c r="B191" s="2" t="s">
        <v>193</v>
      </c>
      <c r="C191" s="2" t="s">
        <v>145</v>
      </c>
      <c r="D191" s="2" t="s">
        <v>42</v>
      </c>
      <c r="E191" s="31" t="s">
        <v>751</v>
      </c>
      <c r="F191" s="2" t="s">
        <v>67</v>
      </c>
      <c r="G191" s="1" t="s">
        <v>752</v>
      </c>
      <c r="H191" s="1" t="s">
        <v>86</v>
      </c>
      <c r="I191" s="2">
        <v>1000</v>
      </c>
      <c r="J191" s="28">
        <v>700</v>
      </c>
      <c r="K191" s="3">
        <v>0.3</v>
      </c>
      <c r="S191" s="28">
        <v>552</v>
      </c>
      <c r="T191" t="str">
        <f t="shared" si="4"/>
        <v>Expensive</v>
      </c>
      <c r="V191" t="str">
        <f>_xlfn.CONCAT(G188," ",H188)</f>
        <v>PHILLIP CLARKE</v>
      </c>
      <c r="X191" t="str">
        <f t="shared" si="5"/>
        <v>Phillip Clarke</v>
      </c>
    </row>
    <row r="192" spans="1:24" ht="15.75" customHeight="1">
      <c r="A192" s="1" t="s">
        <v>753</v>
      </c>
      <c r="B192" s="2" t="s">
        <v>174</v>
      </c>
      <c r="C192" s="2" t="s">
        <v>175</v>
      </c>
      <c r="D192" s="2" t="s">
        <v>14</v>
      </c>
      <c r="E192" s="31" t="s">
        <v>754</v>
      </c>
      <c r="F192" s="2" t="s">
        <v>135</v>
      </c>
      <c r="G192" s="1" t="s">
        <v>755</v>
      </c>
      <c r="H192" s="1" t="s">
        <v>756</v>
      </c>
      <c r="I192" s="2">
        <v>250</v>
      </c>
      <c r="J192" s="28">
        <v>243</v>
      </c>
      <c r="K192" s="3">
        <v>2.8000000000000001E-2</v>
      </c>
      <c r="S192" s="28">
        <v>495</v>
      </c>
      <c r="T192" t="str">
        <f t="shared" si="4"/>
        <v>Inexpesive</v>
      </c>
      <c r="V192" t="str">
        <f>_xlfn.CONCAT(G189," ",H189)</f>
        <v>RON GOODMAN</v>
      </c>
      <c r="X192" t="str">
        <f t="shared" si="5"/>
        <v>Ron Goodman</v>
      </c>
    </row>
    <row r="193" spans="1:24" ht="15.75" customHeight="1">
      <c r="A193" s="1" t="s">
        <v>757</v>
      </c>
      <c r="B193" s="2" t="s">
        <v>174</v>
      </c>
      <c r="C193" s="2" t="s">
        <v>175</v>
      </c>
      <c r="D193" s="2" t="s">
        <v>14</v>
      </c>
      <c r="E193" s="30">
        <v>41794</v>
      </c>
      <c r="F193" s="2" t="s">
        <v>36</v>
      </c>
      <c r="G193" s="1" t="s">
        <v>758</v>
      </c>
      <c r="H193" s="1" t="s">
        <v>543</v>
      </c>
      <c r="I193" s="2">
        <v>150</v>
      </c>
      <c r="J193" s="28">
        <v>137</v>
      </c>
      <c r="K193" s="3">
        <v>8.6699999999999999E-2</v>
      </c>
      <c r="S193" s="28">
        <v>595</v>
      </c>
      <c r="T193" t="str">
        <f t="shared" si="4"/>
        <v>Expensive</v>
      </c>
      <c r="V193" t="str">
        <f>_xlfn.CONCAT(G190," ",H190)</f>
        <v>SAFFRON CRUSE</v>
      </c>
      <c r="X193" t="str">
        <f t="shared" si="5"/>
        <v>Saffron Cruse</v>
      </c>
    </row>
    <row r="194" spans="1:24" ht="15.75" customHeight="1">
      <c r="A194" s="1" t="s">
        <v>759</v>
      </c>
      <c r="B194" s="2" t="s">
        <v>418</v>
      </c>
      <c r="C194" s="2" t="s">
        <v>419</v>
      </c>
      <c r="D194" s="2" t="s">
        <v>14</v>
      </c>
      <c r="E194" s="31" t="s">
        <v>760</v>
      </c>
      <c r="F194" s="2" t="s">
        <v>135</v>
      </c>
      <c r="G194" s="1" t="s">
        <v>761</v>
      </c>
      <c r="H194" s="1" t="s">
        <v>671</v>
      </c>
      <c r="I194" s="2">
        <v>250</v>
      </c>
      <c r="J194" s="28">
        <v>243</v>
      </c>
      <c r="K194" s="3">
        <v>2.8000000000000001E-2</v>
      </c>
      <c r="S194" s="28">
        <v>700</v>
      </c>
      <c r="T194" t="str">
        <f t="shared" si="4"/>
        <v>Expensive</v>
      </c>
      <c r="V194" t="str">
        <f>_xlfn.CONCAT(G191," ",H191)</f>
        <v>FATIMA JAMES</v>
      </c>
      <c r="X194" t="str">
        <f t="shared" si="5"/>
        <v>Fatima James</v>
      </c>
    </row>
    <row r="195" spans="1:24" ht="15.75" customHeight="1">
      <c r="A195" s="1" t="s">
        <v>762</v>
      </c>
      <c r="B195" s="2" t="s">
        <v>103</v>
      </c>
      <c r="C195" s="2" t="s">
        <v>104</v>
      </c>
      <c r="D195" s="2" t="s">
        <v>42</v>
      </c>
      <c r="E195" s="31" t="s">
        <v>707</v>
      </c>
      <c r="F195" s="2" t="s">
        <v>43</v>
      </c>
      <c r="G195" s="1" t="s">
        <v>763</v>
      </c>
      <c r="H195" s="1" t="s">
        <v>764</v>
      </c>
      <c r="I195" s="2">
        <v>50</v>
      </c>
      <c r="J195" s="28">
        <v>46</v>
      </c>
      <c r="K195" s="3">
        <v>0.08</v>
      </c>
      <c r="S195" s="28">
        <v>243</v>
      </c>
      <c r="T195" t="str">
        <f t="shared" si="4"/>
        <v>Inexpesive</v>
      </c>
      <c r="V195" t="str">
        <f>_xlfn.CONCAT(G192," ",H192)</f>
        <v>RORY BULLION</v>
      </c>
      <c r="X195" t="str">
        <f t="shared" si="5"/>
        <v>Rory Bullion</v>
      </c>
    </row>
    <row r="196" spans="1:24" ht="15.75" customHeight="1">
      <c r="A196" s="1" t="s">
        <v>765</v>
      </c>
      <c r="B196" s="2" t="s">
        <v>373</v>
      </c>
      <c r="C196" s="2" t="s">
        <v>374</v>
      </c>
      <c r="D196" s="2" t="s">
        <v>14</v>
      </c>
      <c r="E196" s="31" t="s">
        <v>766</v>
      </c>
      <c r="F196" s="2" t="s">
        <v>15</v>
      </c>
      <c r="G196" s="1" t="s">
        <v>767</v>
      </c>
      <c r="H196" s="1" t="s">
        <v>768</v>
      </c>
      <c r="I196" s="2">
        <v>80</v>
      </c>
      <c r="J196" s="28">
        <v>76</v>
      </c>
      <c r="K196" s="3">
        <v>0.05</v>
      </c>
      <c r="S196" s="28">
        <v>137</v>
      </c>
      <c r="T196" t="str">
        <f t="shared" si="4"/>
        <v>Inexpesive</v>
      </c>
      <c r="V196" t="str">
        <f>_xlfn.CONCAT(G193," ",H193)</f>
        <v>KETAN BRYAN</v>
      </c>
      <c r="X196" t="str">
        <f t="shared" si="5"/>
        <v>Ketan Bryan</v>
      </c>
    </row>
    <row r="197" spans="1:24" ht="15.75" customHeight="1">
      <c r="A197" s="1" t="s">
        <v>769</v>
      </c>
      <c r="B197" s="2" t="s">
        <v>234</v>
      </c>
      <c r="C197" s="2" t="s">
        <v>235</v>
      </c>
      <c r="D197" s="2" t="s">
        <v>28</v>
      </c>
      <c r="E197" s="31" t="s">
        <v>770</v>
      </c>
      <c r="F197" s="2" t="s">
        <v>67</v>
      </c>
      <c r="G197" s="1" t="s">
        <v>771</v>
      </c>
      <c r="H197" s="1" t="s">
        <v>772</v>
      </c>
      <c r="I197" s="2">
        <v>1000</v>
      </c>
      <c r="J197" s="28">
        <v>710</v>
      </c>
      <c r="K197" s="3">
        <v>0.28999999999999998</v>
      </c>
      <c r="S197" s="28">
        <v>243</v>
      </c>
      <c r="T197" t="str">
        <f t="shared" si="4"/>
        <v>Inexpesive</v>
      </c>
      <c r="V197" t="str">
        <f>_xlfn.CONCAT(G194," ",H194)</f>
        <v>BALJINDER ANDERSON</v>
      </c>
      <c r="X197" t="str">
        <f t="shared" si="5"/>
        <v>Baljinder Anderson</v>
      </c>
    </row>
    <row r="198" spans="1:24" ht="15.75" customHeight="1">
      <c r="A198" s="1" t="s">
        <v>773</v>
      </c>
      <c r="B198" s="2" t="s">
        <v>133</v>
      </c>
      <c r="C198" s="2" t="s">
        <v>60</v>
      </c>
      <c r="D198" s="2" t="s">
        <v>14</v>
      </c>
      <c r="E198" s="30">
        <v>42649</v>
      </c>
      <c r="F198" s="2" t="s">
        <v>49</v>
      </c>
      <c r="G198" s="1" t="s">
        <v>774</v>
      </c>
      <c r="H198" s="1" t="s">
        <v>775</v>
      </c>
      <c r="I198" s="2">
        <v>500</v>
      </c>
      <c r="J198" s="28">
        <v>455</v>
      </c>
      <c r="K198" s="3">
        <v>0.09</v>
      </c>
      <c r="S198" s="28">
        <v>46</v>
      </c>
      <c r="T198" t="str">
        <f t="shared" ref="T198:T214" si="6">IF(S198&gt;500,"Expensive","Inexpesive")</f>
        <v>Inexpesive</v>
      </c>
      <c r="V198" t="str">
        <f>_xlfn.CONCAT(G195," ",H195)</f>
        <v>APRIL CHILDS</v>
      </c>
      <c r="X198" t="str">
        <f t="shared" ref="X198:X214" si="7">PROPER(V198)</f>
        <v>April Childs</v>
      </c>
    </row>
    <row r="199" spans="1:24" ht="15.75" customHeight="1">
      <c r="A199" s="1" t="s">
        <v>776</v>
      </c>
      <c r="B199" s="2" t="s">
        <v>103</v>
      </c>
      <c r="C199" s="2" t="s">
        <v>104</v>
      </c>
      <c r="D199" s="2" t="s">
        <v>42</v>
      </c>
      <c r="E199" s="31" t="s">
        <v>777</v>
      </c>
      <c r="F199" s="2" t="s">
        <v>29</v>
      </c>
      <c r="G199" s="1" t="s">
        <v>778</v>
      </c>
      <c r="H199" s="1" t="s">
        <v>779</v>
      </c>
      <c r="I199" s="2">
        <v>700</v>
      </c>
      <c r="J199" s="28">
        <v>651</v>
      </c>
      <c r="K199" s="3">
        <v>7.0000000000000007E-2</v>
      </c>
      <c r="S199" s="28">
        <v>76</v>
      </c>
      <c r="T199" t="str">
        <f t="shared" si="6"/>
        <v>Inexpesive</v>
      </c>
      <c r="V199" t="str">
        <f>_xlfn.CONCAT(G196," ",H196)</f>
        <v>DELL LOCKWOOD</v>
      </c>
      <c r="X199" t="str">
        <f t="shared" si="7"/>
        <v>Dell Lockwood</v>
      </c>
    </row>
    <row r="200" spans="1:24" ht="15.75" customHeight="1">
      <c r="A200" s="1" t="s">
        <v>780</v>
      </c>
      <c r="B200" s="2" t="s">
        <v>71</v>
      </c>
      <c r="C200" s="2" t="s">
        <v>72</v>
      </c>
      <c r="D200" s="2" t="s">
        <v>42</v>
      </c>
      <c r="E200" s="31" t="s">
        <v>583</v>
      </c>
      <c r="F200" s="2" t="s">
        <v>36</v>
      </c>
      <c r="G200" s="1" t="s">
        <v>781</v>
      </c>
      <c r="H200" s="1" t="s">
        <v>782</v>
      </c>
      <c r="I200" s="2">
        <v>150</v>
      </c>
      <c r="J200" s="28">
        <v>146</v>
      </c>
      <c r="K200" s="3">
        <v>2.6700000000000002E-2</v>
      </c>
      <c r="S200" s="28">
        <v>710</v>
      </c>
      <c r="T200" t="str">
        <f t="shared" si="6"/>
        <v>Expensive</v>
      </c>
      <c r="V200" t="str">
        <f>_xlfn.CONCAT(G197," ",H197)</f>
        <v>RUSSELL THORLEY</v>
      </c>
      <c r="X200" t="str">
        <f t="shared" si="7"/>
        <v>Russell Thorley</v>
      </c>
    </row>
    <row r="201" spans="1:24" ht="15.75" customHeight="1">
      <c r="A201" s="1" t="s">
        <v>783</v>
      </c>
      <c r="B201" s="2" t="s">
        <v>193</v>
      </c>
      <c r="C201" s="2" t="s">
        <v>145</v>
      </c>
      <c r="D201" s="2" t="s">
        <v>42</v>
      </c>
      <c r="E201" s="30">
        <v>41700</v>
      </c>
      <c r="F201" s="2" t="s">
        <v>29</v>
      </c>
      <c r="G201" s="1" t="s">
        <v>784</v>
      </c>
      <c r="H201" s="1" t="s">
        <v>785</v>
      </c>
      <c r="I201" s="2">
        <v>700</v>
      </c>
      <c r="J201" s="28">
        <v>539</v>
      </c>
      <c r="K201" s="3">
        <v>0.23</v>
      </c>
      <c r="S201" s="28">
        <v>455</v>
      </c>
      <c r="T201" t="str">
        <f t="shared" si="6"/>
        <v>Inexpesive</v>
      </c>
      <c r="V201" t="str">
        <f>_xlfn.CONCAT(G198," ",H198)</f>
        <v>JOHANNA COLLINS</v>
      </c>
      <c r="X201" t="str">
        <f t="shared" si="7"/>
        <v>Johanna Collins</v>
      </c>
    </row>
    <row r="202" spans="1:24" ht="15.75" customHeight="1">
      <c r="A202" s="1" t="s">
        <v>786</v>
      </c>
      <c r="B202" s="2" t="s">
        <v>193</v>
      </c>
      <c r="C202" s="2" t="s">
        <v>145</v>
      </c>
      <c r="D202" s="2" t="s">
        <v>42</v>
      </c>
      <c r="E202" s="30">
        <v>41699</v>
      </c>
      <c r="F202" s="2" t="s">
        <v>135</v>
      </c>
      <c r="G202" s="1" t="s">
        <v>787</v>
      </c>
      <c r="H202" s="1" t="s">
        <v>788</v>
      </c>
      <c r="I202" s="2">
        <v>250</v>
      </c>
      <c r="J202" s="28">
        <v>235</v>
      </c>
      <c r="K202" s="3">
        <v>0.06</v>
      </c>
      <c r="S202" s="28">
        <v>651</v>
      </c>
      <c r="T202" t="str">
        <f t="shared" si="6"/>
        <v>Expensive</v>
      </c>
      <c r="V202" t="str">
        <f>_xlfn.CONCAT(G199," ",H199)</f>
        <v>SELWYN KITCHING</v>
      </c>
      <c r="X202" t="str">
        <f t="shared" si="7"/>
        <v>Selwyn Kitching</v>
      </c>
    </row>
    <row r="203" spans="1:24" ht="15.75" customHeight="1">
      <c r="A203" s="1" t="s">
        <v>789</v>
      </c>
      <c r="B203" s="2" t="s">
        <v>234</v>
      </c>
      <c r="C203" s="2" t="s">
        <v>235</v>
      </c>
      <c r="D203" s="2" t="s">
        <v>28</v>
      </c>
      <c r="E203" s="30">
        <v>41917</v>
      </c>
      <c r="F203" s="2" t="s">
        <v>49</v>
      </c>
      <c r="G203" s="1" t="s">
        <v>790</v>
      </c>
      <c r="H203" s="1" t="s">
        <v>791</v>
      </c>
      <c r="I203" s="2">
        <v>500</v>
      </c>
      <c r="J203" s="28">
        <v>430</v>
      </c>
      <c r="K203" s="3">
        <v>0.14000000000000001</v>
      </c>
      <c r="S203" s="28">
        <v>146</v>
      </c>
      <c r="T203" t="str">
        <f t="shared" si="6"/>
        <v>Inexpesive</v>
      </c>
      <c r="V203" t="str">
        <f>_xlfn.CONCAT(G200," ",H200)</f>
        <v>CAROL CORMACK</v>
      </c>
      <c r="X203" t="str">
        <f t="shared" si="7"/>
        <v>Carol Cormack</v>
      </c>
    </row>
    <row r="204" spans="1:24" ht="15.75" customHeight="1">
      <c r="A204" s="1" t="s">
        <v>792</v>
      </c>
      <c r="B204" s="2" t="s">
        <v>444</v>
      </c>
      <c r="C204" s="2" t="s">
        <v>445</v>
      </c>
      <c r="D204" s="2" t="s">
        <v>14</v>
      </c>
      <c r="E204" s="31" t="s">
        <v>793</v>
      </c>
      <c r="F204" s="2" t="s">
        <v>217</v>
      </c>
      <c r="G204" s="1" t="s">
        <v>794</v>
      </c>
      <c r="H204" s="1" t="s">
        <v>232</v>
      </c>
      <c r="I204" s="2">
        <v>50</v>
      </c>
      <c r="J204" s="28">
        <v>37</v>
      </c>
      <c r="K204" s="3">
        <v>0.26</v>
      </c>
      <c r="S204" s="28">
        <v>539</v>
      </c>
      <c r="T204" t="str">
        <f t="shared" si="6"/>
        <v>Expensive</v>
      </c>
      <c r="V204" t="str">
        <f>_xlfn.CONCAT(G201," ",H201)</f>
        <v>ALASTAIR MILLS</v>
      </c>
      <c r="X204" t="str">
        <f t="shared" si="7"/>
        <v>Alastair Mills</v>
      </c>
    </row>
    <row r="205" spans="1:24" ht="15.75" customHeight="1">
      <c r="A205" s="1" t="s">
        <v>795</v>
      </c>
      <c r="B205" s="2" t="s">
        <v>796</v>
      </c>
      <c r="C205" s="2" t="s">
        <v>20</v>
      </c>
      <c r="D205" s="2" t="s">
        <v>21</v>
      </c>
      <c r="E205" s="30">
        <v>43313</v>
      </c>
      <c r="F205" s="2" t="s">
        <v>36</v>
      </c>
      <c r="G205" s="1" t="s">
        <v>797</v>
      </c>
      <c r="H205" s="1" t="s">
        <v>742</v>
      </c>
      <c r="I205" s="2">
        <v>150</v>
      </c>
      <c r="J205" s="28">
        <v>131</v>
      </c>
      <c r="K205" s="3">
        <v>0.12670000000000001</v>
      </c>
      <c r="S205" s="28">
        <v>235</v>
      </c>
      <c r="T205" t="str">
        <f t="shared" si="6"/>
        <v>Inexpesive</v>
      </c>
      <c r="V205" t="str">
        <f>_xlfn.CONCAT(G202," ",H202)</f>
        <v>KEITH DRAGE</v>
      </c>
      <c r="X205" t="str">
        <f t="shared" si="7"/>
        <v>Keith Drage</v>
      </c>
    </row>
    <row r="206" spans="1:24" ht="15.75" customHeight="1">
      <c r="A206" s="1" t="s">
        <v>798</v>
      </c>
      <c r="B206" s="2" t="s">
        <v>796</v>
      </c>
      <c r="C206" s="2" t="s">
        <v>20</v>
      </c>
      <c r="D206" s="2" t="s">
        <v>21</v>
      </c>
      <c r="E206" s="30">
        <v>42136</v>
      </c>
      <c r="F206" s="2" t="s">
        <v>61</v>
      </c>
      <c r="G206" s="1" t="s">
        <v>799</v>
      </c>
      <c r="H206" s="1" t="s">
        <v>800</v>
      </c>
      <c r="I206" s="2">
        <v>800</v>
      </c>
      <c r="J206" s="28">
        <v>448</v>
      </c>
      <c r="K206" s="3">
        <v>0.44</v>
      </c>
      <c r="S206" s="28">
        <v>430</v>
      </c>
      <c r="T206" t="str">
        <f t="shared" si="6"/>
        <v>Inexpesive</v>
      </c>
      <c r="V206" t="str">
        <f>_xlfn.CONCAT(G203," ",H203)</f>
        <v>SANDRA REW</v>
      </c>
      <c r="X206" t="str">
        <f t="shared" si="7"/>
        <v>Sandra Rew</v>
      </c>
    </row>
    <row r="207" spans="1:24" ht="15.75" customHeight="1">
      <c r="A207" s="1" t="s">
        <v>801</v>
      </c>
      <c r="B207" s="2" t="s">
        <v>89</v>
      </c>
      <c r="C207" s="2" t="s">
        <v>90</v>
      </c>
      <c r="D207" s="2" t="s">
        <v>42</v>
      </c>
      <c r="E207" s="30">
        <v>41863</v>
      </c>
      <c r="F207" s="2" t="s">
        <v>49</v>
      </c>
      <c r="G207" s="1" t="s">
        <v>802</v>
      </c>
      <c r="H207" s="1" t="s">
        <v>803</v>
      </c>
      <c r="I207" s="2">
        <v>500</v>
      </c>
      <c r="J207" s="28">
        <v>365</v>
      </c>
      <c r="K207" s="3">
        <v>0.27</v>
      </c>
      <c r="S207" s="28">
        <v>37</v>
      </c>
      <c r="T207" t="str">
        <f t="shared" si="6"/>
        <v>Inexpesive</v>
      </c>
      <c r="V207" t="str">
        <f>_xlfn.CONCAT(G204," ",H204)</f>
        <v>TOM CLARK</v>
      </c>
      <c r="X207" t="str">
        <f t="shared" si="7"/>
        <v>Tom Clark</v>
      </c>
    </row>
    <row r="208" spans="1:24" ht="15.75" customHeight="1">
      <c r="A208" s="1" t="s">
        <v>804</v>
      </c>
      <c r="B208" s="2" t="s">
        <v>71</v>
      </c>
      <c r="C208" s="2" t="s">
        <v>72</v>
      </c>
      <c r="D208" s="2" t="s">
        <v>42</v>
      </c>
      <c r="E208" s="31" t="s">
        <v>805</v>
      </c>
      <c r="F208" s="2" t="s">
        <v>82</v>
      </c>
      <c r="G208" s="1" t="s">
        <v>806</v>
      </c>
      <c r="H208" s="1" t="s">
        <v>807</v>
      </c>
      <c r="I208" s="2">
        <v>500</v>
      </c>
      <c r="J208" s="28">
        <v>490</v>
      </c>
      <c r="K208" s="3">
        <v>0.02</v>
      </c>
      <c r="S208" s="28">
        <v>131</v>
      </c>
      <c r="T208" t="str">
        <f t="shared" si="6"/>
        <v>Inexpesive</v>
      </c>
      <c r="V208" t="str">
        <f>_xlfn.CONCAT(G205," ",H205)</f>
        <v>BRIAN CLARKE</v>
      </c>
      <c r="X208" t="str">
        <f t="shared" si="7"/>
        <v>Brian Clarke</v>
      </c>
    </row>
    <row r="209" spans="1:24" ht="15.75" customHeight="1">
      <c r="A209" s="1" t="s">
        <v>808</v>
      </c>
      <c r="B209" s="2" t="s">
        <v>250</v>
      </c>
      <c r="C209" s="2" t="s">
        <v>145</v>
      </c>
      <c r="D209" s="2" t="s">
        <v>42</v>
      </c>
      <c r="E209" s="30">
        <v>43377</v>
      </c>
      <c r="F209" s="2" t="s">
        <v>15</v>
      </c>
      <c r="G209" s="1" t="s">
        <v>809</v>
      </c>
      <c r="H209" s="1" t="s">
        <v>810</v>
      </c>
      <c r="I209" s="2">
        <v>80</v>
      </c>
      <c r="J209" s="28">
        <v>73</v>
      </c>
      <c r="K209" s="3">
        <v>8.7499999999999994E-2</v>
      </c>
      <c r="S209" s="28">
        <v>448</v>
      </c>
      <c r="T209" t="str">
        <f t="shared" si="6"/>
        <v>Inexpesive</v>
      </c>
      <c r="V209" t="str">
        <f>_xlfn.CONCAT(G206," ",H206)</f>
        <v>SAVITA SIMPSON</v>
      </c>
      <c r="X209" t="str">
        <f t="shared" si="7"/>
        <v>Savita Simpson</v>
      </c>
    </row>
    <row r="210" spans="1:24" ht="15.75" customHeight="1">
      <c r="A210" s="1" t="s">
        <v>811</v>
      </c>
      <c r="B210" s="2" t="s">
        <v>180</v>
      </c>
      <c r="C210" s="2" t="s">
        <v>128</v>
      </c>
      <c r="D210" s="2" t="s">
        <v>21</v>
      </c>
      <c r="E210" s="31" t="s">
        <v>812</v>
      </c>
      <c r="F210" s="2" t="s">
        <v>43</v>
      </c>
      <c r="G210" s="1" t="s">
        <v>813</v>
      </c>
      <c r="H210" s="1" t="s">
        <v>814</v>
      </c>
      <c r="I210" s="2">
        <v>50</v>
      </c>
      <c r="J210" s="28">
        <v>45</v>
      </c>
      <c r="K210" s="3">
        <v>0.1</v>
      </c>
      <c r="S210" s="28">
        <v>365</v>
      </c>
      <c r="T210" t="str">
        <f t="shared" si="6"/>
        <v>Inexpesive</v>
      </c>
      <c r="V210" t="str">
        <f>_xlfn.CONCAT(G207," ",H207)</f>
        <v>SOPHIE PETERSEN</v>
      </c>
      <c r="X210" t="str">
        <f t="shared" si="7"/>
        <v>Sophie Petersen</v>
      </c>
    </row>
    <row r="211" spans="1:24" ht="15.75" customHeight="1">
      <c r="A211" s="1" t="s">
        <v>815</v>
      </c>
      <c r="B211" s="2" t="s">
        <v>33</v>
      </c>
      <c r="C211" s="2" t="s">
        <v>34</v>
      </c>
      <c r="D211" s="2" t="s">
        <v>14</v>
      </c>
      <c r="E211" s="30">
        <v>42888</v>
      </c>
      <c r="F211" s="2" t="s">
        <v>15</v>
      </c>
      <c r="G211" s="1" t="s">
        <v>816</v>
      </c>
      <c r="H211" s="1" t="s">
        <v>131</v>
      </c>
      <c r="I211" s="2">
        <v>80</v>
      </c>
      <c r="J211" s="28">
        <v>73</v>
      </c>
      <c r="K211" s="3">
        <v>8.7499999999999994E-2</v>
      </c>
      <c r="S211" s="28">
        <v>490</v>
      </c>
      <c r="T211" t="str">
        <f t="shared" si="6"/>
        <v>Inexpesive</v>
      </c>
      <c r="V211" t="str">
        <f>_xlfn.CONCAT(G208," ",H208)</f>
        <v>ANDI LIU</v>
      </c>
      <c r="X211" t="str">
        <f t="shared" si="7"/>
        <v>Andi Liu</v>
      </c>
    </row>
    <row r="212" spans="1:24" ht="15.75" customHeight="1">
      <c r="S212" s="28">
        <v>73</v>
      </c>
      <c r="T212" t="str">
        <f t="shared" si="6"/>
        <v>Inexpesive</v>
      </c>
      <c r="V212" t="str">
        <f>_xlfn.CONCAT(G209," ",H209)</f>
        <v>SHARON HUBBLE</v>
      </c>
      <c r="X212" t="str">
        <f t="shared" si="7"/>
        <v>Sharon Hubble</v>
      </c>
    </row>
    <row r="213" spans="1:24" ht="15.75" customHeight="1">
      <c r="S213" s="28">
        <v>45</v>
      </c>
      <c r="T213" t="str">
        <f t="shared" si="6"/>
        <v>Inexpesive</v>
      </c>
      <c r="V213" t="str">
        <f>_xlfn.CONCAT(G210," ",H210)</f>
        <v>MAXINE STOCKDALE</v>
      </c>
      <c r="X213" t="str">
        <f t="shared" si="7"/>
        <v>Maxine Stockdale</v>
      </c>
    </row>
    <row r="214" spans="1:24" ht="15.75" customHeight="1">
      <c r="S214" s="28">
        <v>73</v>
      </c>
      <c r="T214" t="str">
        <f t="shared" si="6"/>
        <v>Inexpesive</v>
      </c>
      <c r="V214" t="str">
        <f>_xlfn.CONCAT(G211," ",H211)</f>
        <v>JULIE POPE</v>
      </c>
      <c r="X214" t="str">
        <f t="shared" si="7"/>
        <v>Julie Pope</v>
      </c>
    </row>
    <row r="215" spans="1:24" ht="15.75" customHeight="1"/>
    <row r="216" spans="1:24" ht="15.75" customHeight="1"/>
    <row r="217" spans="1:24" ht="15.75" customHeight="1"/>
    <row r="218" spans="1:24" ht="15.75" customHeight="1"/>
    <row r="219" spans="1:24" ht="15.75" customHeight="1"/>
    <row r="220" spans="1:24" ht="15.75" customHeight="1"/>
    <row r="221" spans="1:24" ht="15.75" customHeight="1"/>
    <row r="222" spans="1:24" ht="15.75" customHeight="1"/>
    <row r="223" spans="1:24" ht="15.75" customHeight="1"/>
    <row r="224" spans="1: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S3:T3"/>
  </mergeCells>
  <conditionalFormatting sqref="K2:K211">
    <cfRule type="cellIs" dxfId="3" priority="3" operator="equal">
      <formula>0</formula>
    </cfRule>
    <cfRule type="cellIs" dxfId="2" priority="4" operator="greaterThanOrEqual">
      <formula>0.5</formula>
    </cfRule>
    <cfRule type="cellIs" priority="5" operator="greaterThanOrEqual">
      <formula>50</formula>
    </cfRule>
    <cfRule type="cellIs" priority="6" operator="greaterThanOrEqual">
      <formula>0.5</formula>
    </cfRule>
  </conditionalFormatting>
  <conditionalFormatting sqref="S5:S214">
    <cfRule type="cellIs" dxfId="1" priority="2" operator="greaterThan">
      <formula>500</formula>
    </cfRule>
  </conditionalFormatting>
  <conditionalFormatting sqref="T4:T214">
    <cfRule type="cellIs" dxfId="0" priority="1" operator="equal">
      <formula>"Expensive"</formula>
    </cfRule>
  </conditionalFormatting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40"/>
  <sheetViews>
    <sheetView workbookViewId="0"/>
  </sheetViews>
  <sheetFormatPr defaultColWidth="14.44140625" defaultRowHeight="15" customHeight="1"/>
  <cols>
    <col min="1" max="1" width="20.33203125" customWidth="1"/>
    <col min="2" max="2" width="11.88671875" customWidth="1"/>
    <col min="3" max="3" width="9.109375" customWidth="1"/>
    <col min="4" max="26" width="8.6640625" customWidth="1"/>
  </cols>
  <sheetData>
    <row r="1" spans="1:5" ht="14.4">
      <c r="A1" s="6" t="s">
        <v>817</v>
      </c>
      <c r="B1" s="7" t="s">
        <v>2</v>
      </c>
      <c r="C1" s="7" t="s">
        <v>3</v>
      </c>
    </row>
    <row r="2" spans="1:5" ht="14.4">
      <c r="A2" s="8" t="s">
        <v>818</v>
      </c>
      <c r="B2" s="9"/>
      <c r="C2" s="10"/>
      <c r="E2" s="11" t="s">
        <v>819</v>
      </c>
    </row>
    <row r="3" spans="1:5" ht="14.4">
      <c r="A3" s="12" t="s">
        <v>820</v>
      </c>
      <c r="B3" s="10"/>
      <c r="C3" s="10"/>
    </row>
    <row r="4" spans="1:5" ht="14.4">
      <c r="A4" s="12" t="s">
        <v>821</v>
      </c>
      <c r="B4" s="10"/>
      <c r="C4" s="10"/>
    </row>
    <row r="5" spans="1:5" ht="14.4">
      <c r="A5" s="12" t="s">
        <v>822</v>
      </c>
      <c r="B5" s="10"/>
      <c r="C5" s="10"/>
    </row>
    <row r="6" spans="1:5" ht="14.4">
      <c r="A6" s="12" t="s">
        <v>823</v>
      </c>
      <c r="B6" s="10"/>
      <c r="C6" s="10"/>
    </row>
    <row r="7" spans="1:5" ht="14.4">
      <c r="A7" s="12" t="s">
        <v>824</v>
      </c>
      <c r="B7" s="10"/>
      <c r="C7" s="10"/>
    </row>
    <row r="8" spans="1:5" ht="14.4">
      <c r="A8" s="12" t="s">
        <v>825</v>
      </c>
      <c r="B8" s="10"/>
      <c r="C8" s="10"/>
    </row>
    <row r="9" spans="1:5" ht="14.4">
      <c r="A9" s="12" t="s">
        <v>826</v>
      </c>
      <c r="B9" s="10"/>
      <c r="C9" s="10"/>
    </row>
    <row r="10" spans="1:5" ht="14.4">
      <c r="A10" s="12" t="s">
        <v>827</v>
      </c>
      <c r="B10" s="10"/>
      <c r="C10" s="10"/>
    </row>
    <row r="11" spans="1:5" ht="14.4">
      <c r="A11" s="12" t="s">
        <v>825</v>
      </c>
      <c r="B11" s="10"/>
      <c r="C11" s="10"/>
    </row>
    <row r="12" spans="1:5" ht="14.4">
      <c r="A12" s="12" t="s">
        <v>828</v>
      </c>
      <c r="B12" s="10"/>
      <c r="C12" s="10"/>
    </row>
    <row r="13" spans="1:5" ht="14.4">
      <c r="A13" s="12" t="s">
        <v>829</v>
      </c>
      <c r="B13" s="10"/>
      <c r="C13" s="10"/>
    </row>
    <row r="14" spans="1:5" ht="14.4">
      <c r="A14" s="12" t="s">
        <v>826</v>
      </c>
      <c r="B14" s="10"/>
      <c r="C14" s="10"/>
    </row>
    <row r="15" spans="1:5" ht="14.4">
      <c r="A15" s="12" t="s">
        <v>830</v>
      </c>
      <c r="B15" s="10"/>
      <c r="C15" s="10"/>
    </row>
    <row r="16" spans="1:5" ht="14.4">
      <c r="A16" s="12" t="s">
        <v>823</v>
      </c>
      <c r="B16" s="10"/>
      <c r="C16" s="10"/>
    </row>
    <row r="17" spans="1:3" ht="14.4">
      <c r="A17" s="12" t="s">
        <v>831</v>
      </c>
      <c r="B17" s="10"/>
      <c r="C17" s="10"/>
    </row>
    <row r="18" spans="1:3" ht="14.4">
      <c r="A18" s="12" t="s">
        <v>832</v>
      </c>
      <c r="B18" s="10"/>
      <c r="C18" s="10"/>
    </row>
    <row r="19" spans="1:3" ht="14.4">
      <c r="A19" s="12" t="s">
        <v>833</v>
      </c>
      <c r="B19" s="10"/>
      <c r="C19" s="10"/>
    </row>
    <row r="20" spans="1:3" ht="14.4">
      <c r="A20" s="12" t="s">
        <v>820</v>
      </c>
      <c r="B20" s="10"/>
      <c r="C20" s="10"/>
    </row>
    <row r="21" spans="1:3" ht="15.75" customHeight="1">
      <c r="A21" s="12" t="s">
        <v>834</v>
      </c>
      <c r="B21" s="10"/>
      <c r="C21" s="10"/>
    </row>
    <row r="22" spans="1:3" ht="15.75" customHeight="1">
      <c r="A22" s="12" t="s">
        <v>835</v>
      </c>
      <c r="B22" s="10"/>
      <c r="C22" s="10"/>
    </row>
    <row r="23" spans="1:3" ht="15.75" customHeight="1">
      <c r="A23" s="12" t="s">
        <v>836</v>
      </c>
      <c r="B23" s="10"/>
      <c r="C23" s="10"/>
    </row>
    <row r="24" spans="1:3" ht="15.75" customHeight="1">
      <c r="A24" s="12" t="s">
        <v>830</v>
      </c>
      <c r="B24" s="10"/>
      <c r="C24" s="10"/>
    </row>
    <row r="25" spans="1:3" ht="15.75" customHeight="1">
      <c r="A25" s="12" t="s">
        <v>837</v>
      </c>
      <c r="B25" s="10"/>
      <c r="C25" s="10"/>
    </row>
    <row r="26" spans="1:3" ht="15.75" customHeight="1">
      <c r="A26" s="12" t="s">
        <v>832</v>
      </c>
      <c r="B26" s="10"/>
      <c r="C26" s="10"/>
    </row>
    <row r="27" spans="1:3" ht="15.75" customHeight="1">
      <c r="A27" s="12" t="s">
        <v>827</v>
      </c>
      <c r="B27" s="10"/>
      <c r="C27" s="10"/>
    </row>
    <row r="28" spans="1:3" ht="15.75" customHeight="1">
      <c r="A28" s="12" t="s">
        <v>838</v>
      </c>
      <c r="B28" s="10"/>
      <c r="C28" s="10"/>
    </row>
    <row r="29" spans="1:3" ht="15.75" customHeight="1">
      <c r="A29" s="12" t="s">
        <v>820</v>
      </c>
      <c r="B29" s="10"/>
      <c r="C29" s="10"/>
    </row>
    <row r="30" spans="1:3" ht="15.75" customHeight="1">
      <c r="A30" s="12" t="s">
        <v>824</v>
      </c>
      <c r="B30" s="10"/>
      <c r="C30" s="10"/>
    </row>
    <row r="31" spans="1:3" ht="15.75" customHeight="1">
      <c r="A31" s="12" t="s">
        <v>839</v>
      </c>
      <c r="B31" s="10"/>
      <c r="C31" s="10"/>
    </row>
    <row r="32" spans="1:3" ht="15.75" customHeight="1">
      <c r="A32" s="12" t="s">
        <v>837</v>
      </c>
      <c r="B32" s="10"/>
      <c r="C32" s="10"/>
    </row>
    <row r="33" spans="1:3" ht="15.75" customHeight="1">
      <c r="A33" s="12" t="s">
        <v>834</v>
      </c>
      <c r="B33" s="10"/>
      <c r="C33" s="10"/>
    </row>
    <row r="34" spans="1:3" ht="15.75" customHeight="1">
      <c r="A34" s="12" t="s">
        <v>818</v>
      </c>
      <c r="B34" s="10"/>
      <c r="C34" s="10"/>
    </row>
    <row r="35" spans="1:3" ht="15.75" customHeight="1">
      <c r="A35" s="12" t="s">
        <v>836</v>
      </c>
      <c r="B35" s="10"/>
      <c r="C35" s="10"/>
    </row>
    <row r="36" spans="1:3" ht="15.75" customHeight="1">
      <c r="A36" s="12" t="s">
        <v>829</v>
      </c>
      <c r="B36" s="10"/>
      <c r="C36" s="10"/>
    </row>
    <row r="37" spans="1:3" ht="15.75" customHeight="1">
      <c r="A37" s="12" t="s">
        <v>830</v>
      </c>
      <c r="B37" s="10"/>
      <c r="C37" s="10"/>
    </row>
    <row r="38" spans="1:3" ht="15.75" customHeight="1">
      <c r="A38" s="12" t="s">
        <v>821</v>
      </c>
      <c r="B38" s="10"/>
      <c r="C38" s="10"/>
    </row>
    <row r="39" spans="1:3" ht="15.75" customHeight="1">
      <c r="A39" s="12" t="s">
        <v>840</v>
      </c>
      <c r="B39" s="10"/>
      <c r="C39" s="10"/>
    </row>
    <row r="40" spans="1:3" ht="15.75" customHeight="1">
      <c r="A40" s="12" t="s">
        <v>841</v>
      </c>
      <c r="B40" s="10"/>
      <c r="C40" s="10"/>
    </row>
    <row r="41" spans="1:3" ht="15.75" customHeight="1">
      <c r="A41" s="12" t="s">
        <v>837</v>
      </c>
      <c r="B41" s="10"/>
      <c r="C41" s="10"/>
    </row>
    <row r="42" spans="1:3" ht="15.75" customHeight="1">
      <c r="A42" s="12" t="s">
        <v>837</v>
      </c>
      <c r="B42" s="10"/>
      <c r="C42" s="10"/>
    </row>
    <row r="43" spans="1:3" ht="15.75" customHeight="1">
      <c r="A43" s="12" t="s">
        <v>823</v>
      </c>
      <c r="B43" s="10"/>
      <c r="C43" s="10"/>
    </row>
    <row r="44" spans="1:3" ht="15.75" customHeight="1">
      <c r="A44" s="12" t="s">
        <v>831</v>
      </c>
      <c r="B44" s="10"/>
      <c r="C44" s="10"/>
    </row>
    <row r="45" spans="1:3" ht="15.75" customHeight="1">
      <c r="A45" s="12" t="s">
        <v>824</v>
      </c>
      <c r="B45" s="10"/>
      <c r="C45" s="10"/>
    </row>
    <row r="46" spans="1:3" ht="15.75" customHeight="1">
      <c r="A46" s="12" t="s">
        <v>833</v>
      </c>
      <c r="B46" s="10"/>
      <c r="C46" s="10"/>
    </row>
    <row r="47" spans="1:3" ht="15.75" customHeight="1">
      <c r="A47" s="12" t="s">
        <v>827</v>
      </c>
      <c r="B47" s="10"/>
      <c r="C47" s="10"/>
    </row>
    <row r="48" spans="1:3" ht="15.75" customHeight="1">
      <c r="A48" s="12" t="s">
        <v>842</v>
      </c>
      <c r="B48" s="10"/>
      <c r="C48" s="10"/>
    </row>
    <row r="49" spans="1:3" ht="15.75" customHeight="1">
      <c r="A49" s="12" t="s">
        <v>843</v>
      </c>
      <c r="B49" s="10"/>
      <c r="C49" s="10"/>
    </row>
    <row r="50" spans="1:3" ht="15.75" customHeight="1">
      <c r="A50" s="12" t="s">
        <v>820</v>
      </c>
      <c r="B50" s="10"/>
      <c r="C50" s="10"/>
    </row>
    <row r="51" spans="1:3" ht="15.75" customHeight="1">
      <c r="A51" s="12" t="s">
        <v>835</v>
      </c>
      <c r="B51" s="10"/>
      <c r="C51" s="10"/>
    </row>
    <row r="52" spans="1:3" ht="15.75" customHeight="1">
      <c r="A52" s="12" t="s">
        <v>837</v>
      </c>
      <c r="B52" s="10"/>
      <c r="C52" s="10"/>
    </row>
    <row r="53" spans="1:3" ht="15.75" customHeight="1">
      <c r="A53" s="12" t="s">
        <v>841</v>
      </c>
      <c r="B53" s="10"/>
      <c r="C53" s="10"/>
    </row>
    <row r="54" spans="1:3" ht="15.75" customHeight="1">
      <c r="A54" s="12" t="s">
        <v>844</v>
      </c>
      <c r="B54" s="10"/>
      <c r="C54" s="10"/>
    </row>
    <row r="55" spans="1:3" ht="15.75" customHeight="1">
      <c r="A55" s="12" t="s">
        <v>830</v>
      </c>
      <c r="B55" s="10"/>
      <c r="C55" s="10"/>
    </row>
    <row r="56" spans="1:3" ht="15.75" customHeight="1">
      <c r="A56" s="12" t="s">
        <v>818</v>
      </c>
      <c r="B56" s="10"/>
      <c r="C56" s="10"/>
    </row>
    <row r="57" spans="1:3" ht="15.75" customHeight="1">
      <c r="A57" s="12" t="s">
        <v>832</v>
      </c>
      <c r="B57" s="10"/>
      <c r="C57" s="10"/>
    </row>
    <row r="58" spans="1:3" ht="15.75" customHeight="1">
      <c r="A58" s="12" t="s">
        <v>823</v>
      </c>
      <c r="B58" s="10"/>
      <c r="C58" s="10"/>
    </row>
    <row r="59" spans="1:3" ht="15.75" customHeight="1">
      <c r="A59" s="12" t="s">
        <v>834</v>
      </c>
      <c r="B59" s="10"/>
      <c r="C59" s="10"/>
    </row>
    <row r="60" spans="1:3" ht="15.75" customHeight="1">
      <c r="A60" s="12" t="s">
        <v>825</v>
      </c>
      <c r="B60" s="10"/>
      <c r="C60" s="10"/>
    </row>
    <row r="61" spans="1:3" ht="15.75" customHeight="1">
      <c r="A61" s="12" t="s">
        <v>837</v>
      </c>
      <c r="B61" s="10"/>
      <c r="C61" s="10"/>
    </row>
    <row r="62" spans="1:3" ht="15.75" customHeight="1">
      <c r="A62" s="12" t="s">
        <v>845</v>
      </c>
      <c r="B62" s="10"/>
      <c r="C62" s="10"/>
    </row>
    <row r="63" spans="1:3" ht="15.75" customHeight="1">
      <c r="A63" s="12" t="s">
        <v>842</v>
      </c>
      <c r="B63" s="10"/>
      <c r="C63" s="10"/>
    </row>
    <row r="64" spans="1:3" ht="15.75" customHeight="1">
      <c r="A64" s="12" t="s">
        <v>839</v>
      </c>
      <c r="B64" s="10"/>
      <c r="C64" s="10"/>
    </row>
    <row r="65" spans="1:3" ht="15.75" customHeight="1">
      <c r="A65" s="12" t="s">
        <v>837</v>
      </c>
      <c r="B65" s="10"/>
      <c r="C65" s="10"/>
    </row>
    <row r="66" spans="1:3" ht="15.75" customHeight="1">
      <c r="A66" s="12" t="s">
        <v>824</v>
      </c>
      <c r="B66" s="10"/>
      <c r="C66" s="10"/>
    </row>
    <row r="67" spans="1:3" ht="15.75" customHeight="1">
      <c r="A67" s="12" t="s">
        <v>835</v>
      </c>
      <c r="B67" s="10"/>
      <c r="C67" s="10"/>
    </row>
    <row r="68" spans="1:3" ht="15.75" customHeight="1">
      <c r="A68" s="12" t="s">
        <v>824</v>
      </c>
      <c r="B68" s="10"/>
      <c r="C68" s="10"/>
    </row>
    <row r="69" spans="1:3" ht="15.75" customHeight="1">
      <c r="A69" s="12" t="s">
        <v>843</v>
      </c>
      <c r="B69" s="10"/>
      <c r="C69" s="10"/>
    </row>
    <row r="70" spans="1:3" ht="15.75" customHeight="1">
      <c r="A70" s="12" t="s">
        <v>824</v>
      </c>
      <c r="B70" s="10"/>
      <c r="C70" s="10"/>
    </row>
    <row r="71" spans="1:3" ht="15.75" customHeight="1">
      <c r="A71" s="12" t="s">
        <v>826</v>
      </c>
      <c r="B71" s="10"/>
      <c r="C71" s="10"/>
    </row>
    <row r="72" spans="1:3" ht="15.75" customHeight="1">
      <c r="A72" s="12" t="s">
        <v>846</v>
      </c>
      <c r="B72" s="10"/>
      <c r="C72" s="10"/>
    </row>
    <row r="73" spans="1:3" ht="15.75" customHeight="1">
      <c r="A73" s="12" t="s">
        <v>824</v>
      </c>
      <c r="B73" s="10"/>
      <c r="C73" s="10"/>
    </row>
    <row r="74" spans="1:3" ht="15.75" customHeight="1">
      <c r="A74" s="12" t="s">
        <v>839</v>
      </c>
      <c r="B74" s="10"/>
      <c r="C74" s="10"/>
    </row>
    <row r="75" spans="1:3" ht="15.75" customHeight="1">
      <c r="A75" s="12" t="s">
        <v>827</v>
      </c>
      <c r="B75" s="10"/>
      <c r="C75" s="10"/>
    </row>
    <row r="76" spans="1:3" ht="15.75" customHeight="1">
      <c r="A76" s="12" t="s">
        <v>844</v>
      </c>
      <c r="B76" s="10"/>
      <c r="C76" s="10"/>
    </row>
    <row r="77" spans="1:3" ht="15.75" customHeight="1">
      <c r="A77" s="12" t="s">
        <v>837</v>
      </c>
      <c r="B77" s="10"/>
      <c r="C77" s="10"/>
    </row>
    <row r="78" spans="1:3" ht="15.75" customHeight="1">
      <c r="A78" s="12" t="s">
        <v>847</v>
      </c>
      <c r="B78" s="10"/>
      <c r="C78" s="10"/>
    </row>
    <row r="79" spans="1:3" ht="15.75" customHeight="1">
      <c r="A79" s="12" t="s">
        <v>824</v>
      </c>
      <c r="B79" s="10"/>
      <c r="C79" s="10"/>
    </row>
    <row r="80" spans="1:3" ht="15.75" customHeight="1">
      <c r="A80" s="12" t="s">
        <v>830</v>
      </c>
      <c r="B80" s="10"/>
      <c r="C80" s="10"/>
    </row>
    <row r="81" spans="1:3" ht="15.75" customHeight="1">
      <c r="A81" s="12" t="s">
        <v>822</v>
      </c>
      <c r="B81" s="10"/>
      <c r="C81" s="10"/>
    </row>
    <row r="82" spans="1:3" ht="15.75" customHeight="1">
      <c r="A82" s="12" t="s">
        <v>845</v>
      </c>
      <c r="B82" s="10"/>
      <c r="C82" s="10"/>
    </row>
    <row r="83" spans="1:3" ht="15.75" customHeight="1">
      <c r="A83" s="12" t="s">
        <v>825</v>
      </c>
      <c r="B83" s="10"/>
      <c r="C83" s="10"/>
    </row>
    <row r="84" spans="1:3" ht="15.75" customHeight="1">
      <c r="A84" s="12" t="s">
        <v>848</v>
      </c>
      <c r="B84" s="10"/>
      <c r="C84" s="10"/>
    </row>
    <row r="85" spans="1:3" ht="15.75" customHeight="1">
      <c r="A85" s="12" t="s">
        <v>821</v>
      </c>
      <c r="B85" s="10"/>
      <c r="C85" s="10"/>
    </row>
    <row r="86" spans="1:3" ht="15.75" customHeight="1">
      <c r="A86" s="12" t="s">
        <v>824</v>
      </c>
      <c r="B86" s="10"/>
      <c r="C86" s="10"/>
    </row>
    <row r="87" spans="1:3" ht="15.75" customHeight="1">
      <c r="A87" s="12" t="s">
        <v>824</v>
      </c>
      <c r="B87" s="10"/>
      <c r="C87" s="10"/>
    </row>
    <row r="88" spans="1:3" ht="15.75" customHeight="1">
      <c r="A88" s="12" t="s">
        <v>849</v>
      </c>
      <c r="B88" s="10"/>
      <c r="C88" s="10"/>
    </row>
    <row r="89" spans="1:3" ht="15.75" customHeight="1">
      <c r="A89" s="12" t="s">
        <v>837</v>
      </c>
      <c r="B89" s="10"/>
      <c r="C89" s="10"/>
    </row>
    <row r="90" spans="1:3" ht="15.75" customHeight="1">
      <c r="A90" s="12" t="s">
        <v>850</v>
      </c>
      <c r="B90" s="10"/>
      <c r="C90" s="10"/>
    </row>
    <row r="91" spans="1:3" ht="15.75" customHeight="1">
      <c r="A91" s="12" t="s">
        <v>842</v>
      </c>
      <c r="B91" s="10"/>
      <c r="C91" s="10"/>
    </row>
    <row r="92" spans="1:3" ht="15.75" customHeight="1">
      <c r="A92" s="12" t="s">
        <v>818</v>
      </c>
      <c r="B92" s="10"/>
      <c r="C92" s="10"/>
    </row>
    <row r="93" spans="1:3" ht="15.75" customHeight="1">
      <c r="A93" s="12" t="s">
        <v>846</v>
      </c>
      <c r="B93" s="10"/>
      <c r="C93" s="10"/>
    </row>
    <row r="94" spans="1:3" ht="15.75" customHeight="1">
      <c r="A94" s="12" t="s">
        <v>829</v>
      </c>
      <c r="B94" s="10"/>
      <c r="C94" s="10"/>
    </row>
    <row r="95" spans="1:3" ht="15.75" customHeight="1">
      <c r="A95" s="12" t="s">
        <v>832</v>
      </c>
      <c r="B95" s="10"/>
      <c r="C95" s="10"/>
    </row>
    <row r="96" spans="1:3" ht="15.75" customHeight="1">
      <c r="A96" s="12" t="s">
        <v>835</v>
      </c>
      <c r="B96" s="10"/>
      <c r="C96" s="10"/>
    </row>
    <row r="97" spans="1:3" ht="15.75" customHeight="1">
      <c r="A97" s="12" t="s">
        <v>834</v>
      </c>
      <c r="B97" s="10"/>
      <c r="C97" s="10"/>
    </row>
    <row r="98" spans="1:3" ht="15.75" customHeight="1">
      <c r="A98" s="12" t="s">
        <v>847</v>
      </c>
      <c r="B98" s="10"/>
      <c r="C98" s="10"/>
    </row>
    <row r="99" spans="1:3" ht="15.75" customHeight="1">
      <c r="A99" s="12" t="s">
        <v>837</v>
      </c>
      <c r="B99" s="10"/>
      <c r="C99" s="10"/>
    </row>
    <row r="100" spans="1:3" ht="15.75" customHeight="1">
      <c r="A100" s="12" t="s">
        <v>850</v>
      </c>
      <c r="B100" s="10"/>
      <c r="C100" s="10"/>
    </row>
    <row r="101" spans="1:3" ht="15.75" customHeight="1">
      <c r="A101" s="12" t="s">
        <v>818</v>
      </c>
      <c r="B101" s="10"/>
      <c r="C101" s="10"/>
    </row>
    <row r="102" spans="1:3" ht="15.75" customHeight="1">
      <c r="A102" s="12" t="s">
        <v>832</v>
      </c>
      <c r="B102" s="10"/>
      <c r="C102" s="10"/>
    </row>
    <row r="103" spans="1:3" ht="15.75" customHeight="1">
      <c r="A103" s="12" t="s">
        <v>818</v>
      </c>
      <c r="B103" s="10"/>
      <c r="C103" s="10"/>
    </row>
    <row r="104" spans="1:3" ht="15.75" customHeight="1">
      <c r="A104" s="12" t="s">
        <v>824</v>
      </c>
      <c r="B104" s="10"/>
      <c r="C104" s="10"/>
    </row>
    <row r="105" spans="1:3" ht="15.75" customHeight="1">
      <c r="A105" s="12" t="s">
        <v>829</v>
      </c>
      <c r="B105" s="10"/>
      <c r="C105" s="10"/>
    </row>
    <row r="106" spans="1:3" ht="15.75" customHeight="1">
      <c r="A106" s="12" t="s">
        <v>825</v>
      </c>
      <c r="B106" s="10"/>
      <c r="C106" s="10"/>
    </row>
    <row r="107" spans="1:3" ht="15.75" customHeight="1">
      <c r="A107" s="12" t="s">
        <v>839</v>
      </c>
      <c r="B107" s="10"/>
      <c r="C107" s="10"/>
    </row>
    <row r="108" spans="1:3" ht="15.75" customHeight="1">
      <c r="A108" s="12" t="s">
        <v>837</v>
      </c>
      <c r="B108" s="10"/>
      <c r="C108" s="10"/>
    </row>
    <row r="109" spans="1:3" ht="15.75" customHeight="1">
      <c r="A109" s="12" t="s">
        <v>841</v>
      </c>
      <c r="B109" s="10"/>
      <c r="C109" s="10"/>
    </row>
    <row r="110" spans="1:3" ht="15.75" customHeight="1">
      <c r="A110" s="12" t="s">
        <v>849</v>
      </c>
      <c r="B110" s="10"/>
      <c r="C110" s="10"/>
    </row>
    <row r="111" spans="1:3" ht="15.75" customHeight="1">
      <c r="A111" s="12" t="s">
        <v>821</v>
      </c>
      <c r="B111" s="10"/>
      <c r="C111" s="10"/>
    </row>
    <row r="112" spans="1:3" ht="15.75" customHeight="1">
      <c r="A112" s="12" t="s">
        <v>828</v>
      </c>
      <c r="B112" s="10"/>
      <c r="C112" s="10"/>
    </row>
    <row r="113" spans="1:3" ht="15.75" customHeight="1">
      <c r="A113" s="12" t="s">
        <v>849</v>
      </c>
      <c r="B113" s="10"/>
      <c r="C113" s="10"/>
    </row>
    <row r="114" spans="1:3" ht="15.75" customHeight="1">
      <c r="A114" s="12" t="s">
        <v>839</v>
      </c>
      <c r="B114" s="10"/>
      <c r="C114" s="10"/>
    </row>
    <row r="115" spans="1:3" ht="15.75" customHeight="1">
      <c r="A115" s="12" t="s">
        <v>831</v>
      </c>
      <c r="B115" s="10"/>
      <c r="C115" s="10"/>
    </row>
    <row r="116" spans="1:3" ht="15.75" customHeight="1">
      <c r="A116" s="12" t="s">
        <v>843</v>
      </c>
      <c r="B116" s="10"/>
      <c r="C116" s="10"/>
    </row>
    <row r="117" spans="1:3" ht="15.75" customHeight="1">
      <c r="A117" s="12" t="s">
        <v>825</v>
      </c>
      <c r="B117" s="10"/>
      <c r="C117" s="10"/>
    </row>
    <row r="118" spans="1:3" ht="15.75" customHeight="1">
      <c r="A118" s="12" t="s">
        <v>822</v>
      </c>
      <c r="B118" s="10"/>
      <c r="C118" s="10"/>
    </row>
    <row r="119" spans="1:3" ht="15.75" customHeight="1">
      <c r="A119" s="12" t="s">
        <v>851</v>
      </c>
      <c r="B119" s="10"/>
      <c r="C119" s="10"/>
    </row>
    <row r="120" spans="1:3" ht="15.75" customHeight="1">
      <c r="A120" s="12" t="s">
        <v>830</v>
      </c>
      <c r="B120" s="10"/>
      <c r="C120" s="10"/>
    </row>
    <row r="121" spans="1:3" ht="15.75" customHeight="1">
      <c r="A121" s="12" t="s">
        <v>837</v>
      </c>
      <c r="B121" s="10"/>
      <c r="C121" s="10"/>
    </row>
    <row r="122" spans="1:3" ht="15.75" customHeight="1">
      <c r="A122" s="12" t="s">
        <v>847</v>
      </c>
      <c r="B122" s="10"/>
      <c r="C122" s="10"/>
    </row>
    <row r="123" spans="1:3" ht="15.75" customHeight="1">
      <c r="A123" s="12" t="s">
        <v>835</v>
      </c>
      <c r="B123" s="10"/>
      <c r="C123" s="10"/>
    </row>
    <row r="124" spans="1:3" ht="15.75" customHeight="1">
      <c r="A124" s="12" t="s">
        <v>822</v>
      </c>
      <c r="B124" s="10"/>
      <c r="C124" s="10"/>
    </row>
    <row r="125" spans="1:3" ht="15.75" customHeight="1">
      <c r="A125" s="12" t="s">
        <v>850</v>
      </c>
      <c r="B125" s="10"/>
      <c r="C125" s="10"/>
    </row>
    <row r="126" spans="1:3" ht="15.75" customHeight="1">
      <c r="A126" s="12" t="s">
        <v>837</v>
      </c>
      <c r="B126" s="10"/>
      <c r="C126" s="10"/>
    </row>
    <row r="127" spans="1:3" ht="15.75" customHeight="1">
      <c r="A127" s="12" t="s">
        <v>833</v>
      </c>
      <c r="B127" s="10"/>
      <c r="C127" s="10"/>
    </row>
    <row r="128" spans="1:3" ht="15.75" customHeight="1">
      <c r="A128" s="12" t="s">
        <v>827</v>
      </c>
      <c r="B128" s="10"/>
      <c r="C128" s="10"/>
    </row>
    <row r="129" spans="1:3" ht="15.75" customHeight="1">
      <c r="A129" s="12" t="s">
        <v>837</v>
      </c>
      <c r="B129" s="10"/>
      <c r="C129" s="10"/>
    </row>
    <row r="130" spans="1:3" ht="15.75" customHeight="1">
      <c r="A130" s="12" t="s">
        <v>834</v>
      </c>
      <c r="B130" s="10"/>
      <c r="C130" s="10"/>
    </row>
    <row r="131" spans="1:3" ht="15.75" customHeight="1">
      <c r="A131" s="12" t="s">
        <v>837</v>
      </c>
      <c r="B131" s="10"/>
      <c r="C131" s="10"/>
    </row>
    <row r="132" spans="1:3" ht="15.75" customHeight="1">
      <c r="A132" s="12" t="s">
        <v>818</v>
      </c>
      <c r="B132" s="10"/>
      <c r="C132" s="10"/>
    </row>
    <row r="133" spans="1:3" ht="15.75" customHeight="1">
      <c r="A133" s="12" t="s">
        <v>847</v>
      </c>
      <c r="B133" s="10"/>
      <c r="C133" s="10"/>
    </row>
    <row r="134" spans="1:3" ht="15.75" customHeight="1">
      <c r="A134" s="12" t="s">
        <v>837</v>
      </c>
      <c r="B134" s="10"/>
      <c r="C134" s="10"/>
    </row>
    <row r="135" spans="1:3" ht="15.75" customHeight="1">
      <c r="A135" s="12" t="s">
        <v>837</v>
      </c>
      <c r="B135" s="10"/>
      <c r="C135" s="10"/>
    </row>
    <row r="136" spans="1:3" ht="15.75" customHeight="1">
      <c r="A136" s="12" t="s">
        <v>847</v>
      </c>
      <c r="B136" s="10"/>
      <c r="C136" s="10"/>
    </row>
    <row r="137" spans="1:3" ht="15.75" customHeight="1">
      <c r="A137" s="12" t="s">
        <v>829</v>
      </c>
      <c r="B137" s="10"/>
      <c r="C137" s="10"/>
    </row>
    <row r="138" spans="1:3" ht="15.75" customHeight="1">
      <c r="A138" s="12" t="s">
        <v>840</v>
      </c>
      <c r="B138" s="10"/>
      <c r="C138" s="10"/>
    </row>
    <row r="139" spans="1:3" ht="15.75" customHeight="1">
      <c r="A139" s="12" t="s">
        <v>828</v>
      </c>
      <c r="B139" s="10"/>
      <c r="C139" s="10"/>
    </row>
    <row r="140" spans="1:3" ht="15.75" customHeight="1">
      <c r="A140" s="12" t="s">
        <v>845</v>
      </c>
      <c r="B140" s="10"/>
      <c r="C140" s="10"/>
    </row>
    <row r="141" spans="1:3" ht="15.75" customHeight="1">
      <c r="A141" s="12" t="s">
        <v>833</v>
      </c>
      <c r="B141" s="10"/>
      <c r="C141" s="10"/>
    </row>
    <row r="142" spans="1:3" ht="15.75" customHeight="1">
      <c r="A142" s="12" t="s">
        <v>851</v>
      </c>
      <c r="B142" s="10"/>
      <c r="C142" s="10"/>
    </row>
    <row r="143" spans="1:3" ht="15.75" customHeight="1">
      <c r="A143" s="12" t="s">
        <v>827</v>
      </c>
      <c r="B143" s="10"/>
      <c r="C143" s="10"/>
    </row>
    <row r="144" spans="1:3" ht="15.75" customHeight="1">
      <c r="A144" s="12" t="s">
        <v>849</v>
      </c>
      <c r="B144" s="10"/>
      <c r="C144" s="10"/>
    </row>
    <row r="145" spans="1:3" ht="15.75" customHeight="1">
      <c r="A145" s="12" t="s">
        <v>845</v>
      </c>
      <c r="B145" s="10"/>
      <c r="C145" s="10"/>
    </row>
    <row r="146" spans="1:3" ht="15.75" customHeight="1">
      <c r="A146" s="12" t="s">
        <v>832</v>
      </c>
      <c r="B146" s="10"/>
      <c r="C146" s="10"/>
    </row>
    <row r="147" spans="1:3" ht="15.75" customHeight="1">
      <c r="A147" s="12" t="s">
        <v>834</v>
      </c>
      <c r="B147" s="10"/>
      <c r="C147" s="10"/>
    </row>
    <row r="148" spans="1:3" ht="15.75" customHeight="1">
      <c r="A148" s="12" t="s">
        <v>848</v>
      </c>
      <c r="B148" s="10"/>
      <c r="C148" s="10"/>
    </row>
    <row r="149" spans="1:3" ht="15.75" customHeight="1">
      <c r="A149" s="12" t="s">
        <v>826</v>
      </c>
      <c r="B149" s="10"/>
      <c r="C149" s="10"/>
    </row>
    <row r="150" spans="1:3" ht="15.75" customHeight="1">
      <c r="A150" s="12" t="s">
        <v>847</v>
      </c>
      <c r="B150" s="10"/>
      <c r="C150" s="10"/>
    </row>
    <row r="151" spans="1:3" ht="15.75" customHeight="1">
      <c r="A151" s="12" t="s">
        <v>837</v>
      </c>
      <c r="B151" s="10"/>
      <c r="C151" s="10"/>
    </row>
    <row r="152" spans="1:3" ht="15.75" customHeight="1">
      <c r="A152" s="12" t="s">
        <v>820</v>
      </c>
      <c r="B152" s="10"/>
      <c r="C152" s="10"/>
    </row>
    <row r="153" spans="1:3" ht="15.75" customHeight="1">
      <c r="A153" s="12" t="s">
        <v>839</v>
      </c>
      <c r="B153" s="10"/>
      <c r="C153" s="10"/>
    </row>
    <row r="154" spans="1:3" ht="15.75" customHeight="1">
      <c r="A154" s="12" t="s">
        <v>832</v>
      </c>
      <c r="B154" s="10"/>
      <c r="C154" s="10"/>
    </row>
    <row r="155" spans="1:3" ht="15.75" customHeight="1">
      <c r="A155" s="12" t="s">
        <v>830</v>
      </c>
      <c r="B155" s="10"/>
      <c r="C155" s="10"/>
    </row>
    <row r="156" spans="1:3" ht="15.75" customHeight="1">
      <c r="A156" s="12" t="s">
        <v>841</v>
      </c>
      <c r="B156" s="10"/>
      <c r="C156" s="10"/>
    </row>
    <row r="157" spans="1:3" ht="15.75" customHeight="1">
      <c r="A157" s="12" t="s">
        <v>830</v>
      </c>
      <c r="B157" s="10"/>
      <c r="C157" s="10"/>
    </row>
    <row r="158" spans="1:3" ht="15.75" customHeight="1">
      <c r="A158" s="12" t="s">
        <v>824</v>
      </c>
      <c r="B158" s="10"/>
      <c r="C158" s="10"/>
    </row>
    <row r="159" spans="1:3" ht="15.75" customHeight="1">
      <c r="A159" s="12" t="s">
        <v>831</v>
      </c>
      <c r="B159" s="10"/>
      <c r="C159" s="10"/>
    </row>
    <row r="160" spans="1:3" ht="15.75" customHeight="1">
      <c r="A160" s="12" t="s">
        <v>822</v>
      </c>
      <c r="B160" s="10"/>
      <c r="C160" s="10"/>
    </row>
    <row r="161" spans="1:3" ht="15.75" customHeight="1">
      <c r="A161" s="12" t="s">
        <v>826</v>
      </c>
      <c r="B161" s="10"/>
      <c r="C161" s="10"/>
    </row>
    <row r="162" spans="1:3" ht="15.75" customHeight="1">
      <c r="A162" s="12" t="s">
        <v>852</v>
      </c>
      <c r="B162" s="10"/>
      <c r="C162" s="10"/>
    </row>
    <row r="163" spans="1:3" ht="15.75" customHeight="1">
      <c r="A163" s="12" t="s">
        <v>827</v>
      </c>
      <c r="B163" s="10"/>
      <c r="C163" s="10"/>
    </row>
    <row r="164" spans="1:3" ht="15.75" customHeight="1">
      <c r="A164" s="12" t="s">
        <v>826</v>
      </c>
      <c r="B164" s="10"/>
      <c r="C164" s="10"/>
    </row>
    <row r="165" spans="1:3" ht="15.75" customHeight="1">
      <c r="A165" s="12" t="s">
        <v>837</v>
      </c>
      <c r="B165" s="10"/>
      <c r="C165" s="10"/>
    </row>
    <row r="166" spans="1:3" ht="15.75" customHeight="1">
      <c r="A166" s="12" t="s">
        <v>834</v>
      </c>
      <c r="B166" s="10"/>
      <c r="C166" s="10"/>
    </row>
    <row r="167" spans="1:3" ht="15.75" customHeight="1">
      <c r="A167" s="12" t="s">
        <v>841</v>
      </c>
      <c r="B167" s="10"/>
      <c r="C167" s="10"/>
    </row>
    <row r="168" spans="1:3" ht="15.75" customHeight="1">
      <c r="A168" s="12" t="s">
        <v>842</v>
      </c>
      <c r="B168" s="10"/>
      <c r="C168" s="10"/>
    </row>
    <row r="169" spans="1:3" ht="15.75" customHeight="1">
      <c r="A169" s="12" t="s">
        <v>826</v>
      </c>
      <c r="B169" s="10"/>
      <c r="C169" s="10"/>
    </row>
    <row r="170" spans="1:3" ht="15.75" customHeight="1">
      <c r="A170" s="12" t="s">
        <v>844</v>
      </c>
      <c r="B170" s="10"/>
      <c r="C170" s="10"/>
    </row>
    <row r="171" spans="1:3" ht="15.75" customHeight="1">
      <c r="A171" s="12" t="s">
        <v>830</v>
      </c>
      <c r="B171" s="10"/>
      <c r="C171" s="10"/>
    </row>
    <row r="172" spans="1:3" ht="15.75" customHeight="1">
      <c r="A172" s="12" t="s">
        <v>829</v>
      </c>
      <c r="B172" s="10"/>
      <c r="C172" s="10"/>
    </row>
    <row r="173" spans="1:3" ht="15.75" customHeight="1">
      <c r="A173" s="12" t="s">
        <v>832</v>
      </c>
      <c r="B173" s="10"/>
      <c r="C173" s="10"/>
    </row>
    <row r="174" spans="1:3" ht="15.75" customHeight="1">
      <c r="A174" s="12" t="s">
        <v>837</v>
      </c>
      <c r="B174" s="10"/>
      <c r="C174" s="10"/>
    </row>
    <row r="175" spans="1:3" ht="15.75" customHeight="1">
      <c r="A175" s="12" t="s">
        <v>839</v>
      </c>
      <c r="B175" s="10"/>
      <c r="C175" s="10"/>
    </row>
    <row r="176" spans="1:3" ht="15.75" customHeight="1">
      <c r="A176" s="12" t="s">
        <v>822</v>
      </c>
      <c r="B176" s="10"/>
      <c r="C176" s="10"/>
    </row>
    <row r="177" spans="1:3" ht="15.75" customHeight="1">
      <c r="A177" s="12" t="s">
        <v>847</v>
      </c>
      <c r="B177" s="10"/>
      <c r="C177" s="10"/>
    </row>
    <row r="178" spans="1:3" ht="15.75" customHeight="1">
      <c r="A178" s="12" t="s">
        <v>830</v>
      </c>
      <c r="B178" s="10"/>
      <c r="C178" s="10"/>
    </row>
    <row r="179" spans="1:3" ht="15.75" customHeight="1">
      <c r="A179" s="12" t="s">
        <v>837</v>
      </c>
      <c r="B179" s="10"/>
      <c r="C179" s="10"/>
    </row>
    <row r="180" spans="1:3" ht="15.75" customHeight="1">
      <c r="A180" s="12" t="s">
        <v>821</v>
      </c>
      <c r="B180" s="10"/>
      <c r="C180" s="10"/>
    </row>
    <row r="181" spans="1:3" ht="15.75" customHeight="1">
      <c r="A181" s="12" t="s">
        <v>825</v>
      </c>
      <c r="B181" s="10"/>
      <c r="C181" s="10"/>
    </row>
    <row r="182" spans="1:3" ht="15.75" customHeight="1">
      <c r="A182" s="12" t="s">
        <v>825</v>
      </c>
      <c r="B182" s="10"/>
      <c r="C182" s="10"/>
    </row>
    <row r="183" spans="1:3" ht="15.75" customHeight="1">
      <c r="A183" s="12" t="s">
        <v>853</v>
      </c>
      <c r="B183" s="10"/>
      <c r="C183" s="10"/>
    </row>
    <row r="184" spans="1:3" ht="15.75" customHeight="1">
      <c r="A184" s="12" t="s">
        <v>846</v>
      </c>
      <c r="B184" s="10"/>
      <c r="C184" s="10"/>
    </row>
    <row r="185" spans="1:3" ht="15.75" customHeight="1">
      <c r="A185" s="12" t="s">
        <v>842</v>
      </c>
      <c r="B185" s="10"/>
      <c r="C185" s="10"/>
    </row>
    <row r="186" spans="1:3" ht="15.75" customHeight="1">
      <c r="A186" s="12" t="s">
        <v>847</v>
      </c>
      <c r="B186" s="10"/>
      <c r="C186" s="10"/>
    </row>
    <row r="187" spans="1:3" ht="15.75" customHeight="1">
      <c r="A187" s="12" t="s">
        <v>852</v>
      </c>
      <c r="B187" s="10"/>
      <c r="C187" s="10"/>
    </row>
    <row r="188" spans="1:3" ht="15.75" customHeight="1">
      <c r="A188" s="12" t="s">
        <v>822</v>
      </c>
      <c r="B188" s="10"/>
      <c r="C188" s="10"/>
    </row>
    <row r="189" spans="1:3" ht="15.75" customHeight="1">
      <c r="A189" s="12" t="s">
        <v>846</v>
      </c>
      <c r="B189" s="10"/>
      <c r="C189" s="10"/>
    </row>
    <row r="190" spans="1:3" ht="15.75" customHeight="1">
      <c r="A190" s="12" t="s">
        <v>818</v>
      </c>
      <c r="B190" s="10"/>
      <c r="C190" s="10"/>
    </row>
    <row r="191" spans="1:3" ht="15.75" customHeight="1">
      <c r="A191" s="12" t="s">
        <v>842</v>
      </c>
      <c r="B191" s="10"/>
      <c r="C191" s="10"/>
    </row>
    <row r="192" spans="1:3" ht="15.75" customHeight="1">
      <c r="A192" s="12" t="s">
        <v>823</v>
      </c>
      <c r="B192" s="10"/>
      <c r="C192" s="10"/>
    </row>
    <row r="193" spans="1:3" ht="15.75" customHeight="1">
      <c r="A193" s="12" t="s">
        <v>851</v>
      </c>
      <c r="B193" s="10"/>
      <c r="C193" s="10"/>
    </row>
    <row r="194" spans="1:3" ht="15.75" customHeight="1">
      <c r="A194" s="12" t="s">
        <v>837</v>
      </c>
      <c r="B194" s="10"/>
      <c r="C194" s="10"/>
    </row>
    <row r="195" spans="1:3" ht="15.75" customHeight="1">
      <c r="A195" s="12" t="s">
        <v>832</v>
      </c>
      <c r="B195" s="10"/>
      <c r="C195" s="10"/>
    </row>
    <row r="196" spans="1:3" ht="15.75" customHeight="1">
      <c r="A196" s="12" t="s">
        <v>832</v>
      </c>
      <c r="B196" s="10"/>
      <c r="C196" s="10"/>
    </row>
    <row r="197" spans="1:3" ht="15.75" customHeight="1">
      <c r="A197" s="12" t="s">
        <v>824</v>
      </c>
      <c r="B197" s="10"/>
      <c r="C197" s="10"/>
    </row>
    <row r="198" spans="1:3" ht="15.75" customHeight="1">
      <c r="A198" s="12" t="s">
        <v>835</v>
      </c>
      <c r="B198" s="10"/>
      <c r="C198" s="10"/>
    </row>
    <row r="199" spans="1:3" ht="15.75" customHeight="1">
      <c r="A199" s="12" t="s">
        <v>853</v>
      </c>
      <c r="B199" s="10"/>
      <c r="C199" s="10"/>
    </row>
    <row r="200" spans="1:3" ht="15.75" customHeight="1">
      <c r="A200" s="12" t="s">
        <v>837</v>
      </c>
      <c r="B200" s="10"/>
      <c r="C200" s="10"/>
    </row>
    <row r="201" spans="1:3" ht="15.75" customHeight="1">
      <c r="A201" s="12" t="s">
        <v>818</v>
      </c>
      <c r="B201" s="10"/>
      <c r="C201" s="10"/>
    </row>
    <row r="202" spans="1:3" ht="15.75" customHeight="1">
      <c r="A202" s="12" t="s">
        <v>837</v>
      </c>
      <c r="B202" s="10"/>
      <c r="C202" s="10"/>
    </row>
    <row r="203" spans="1:3" ht="15.75" customHeight="1">
      <c r="A203" s="12" t="s">
        <v>843</v>
      </c>
      <c r="B203" s="10"/>
      <c r="C203" s="10"/>
    </row>
    <row r="204" spans="1:3" ht="15.75" customHeight="1">
      <c r="A204" s="12" t="s">
        <v>822</v>
      </c>
      <c r="B204" s="10"/>
      <c r="C204" s="10"/>
    </row>
    <row r="205" spans="1:3" ht="15.75" customHeight="1">
      <c r="A205" s="12" t="s">
        <v>852</v>
      </c>
      <c r="B205" s="10"/>
      <c r="C205" s="10"/>
    </row>
    <row r="206" spans="1:3" ht="15.75" customHeight="1">
      <c r="A206" s="12" t="s">
        <v>843</v>
      </c>
      <c r="B206" s="10"/>
      <c r="C206" s="10"/>
    </row>
    <row r="207" spans="1:3" ht="15.75" customHeight="1">
      <c r="A207" s="12" t="s">
        <v>837</v>
      </c>
      <c r="B207" s="10"/>
      <c r="C207" s="10"/>
    </row>
    <row r="208" spans="1:3" ht="15.75" customHeight="1">
      <c r="A208" s="12" t="s">
        <v>827</v>
      </c>
      <c r="B208" s="10"/>
      <c r="C208" s="10"/>
    </row>
    <row r="209" spans="1:3" ht="15.75" customHeight="1">
      <c r="A209" s="12" t="s">
        <v>820</v>
      </c>
      <c r="B209" s="10"/>
      <c r="C209" s="10"/>
    </row>
    <row r="210" spans="1:3" ht="15.75" customHeight="1">
      <c r="A210" s="12" t="s">
        <v>837</v>
      </c>
      <c r="B210" s="10"/>
      <c r="C210" s="10"/>
    </row>
    <row r="211" spans="1:3" ht="15.75" customHeight="1">
      <c r="A211" s="12" t="s">
        <v>837</v>
      </c>
      <c r="B211" s="10"/>
      <c r="C211" s="10"/>
    </row>
    <row r="212" spans="1:3" ht="15.75" customHeight="1">
      <c r="A212" s="12" t="s">
        <v>821</v>
      </c>
      <c r="B212" s="10"/>
      <c r="C212" s="10"/>
    </row>
    <row r="213" spans="1:3" ht="15.75" customHeight="1">
      <c r="A213" s="12" t="s">
        <v>842</v>
      </c>
      <c r="B213" s="10"/>
      <c r="C213" s="10"/>
    </row>
    <row r="214" spans="1:3" ht="15.75" customHeight="1">
      <c r="A214" s="12" t="s">
        <v>852</v>
      </c>
      <c r="B214" s="10"/>
      <c r="C214" s="10"/>
    </row>
    <row r="215" spans="1:3" ht="15.75" customHeight="1">
      <c r="A215" s="12" t="s">
        <v>853</v>
      </c>
      <c r="B215" s="10"/>
      <c r="C215" s="10"/>
    </row>
    <row r="216" spans="1:3" ht="15.75" customHeight="1">
      <c r="A216" s="12" t="s">
        <v>830</v>
      </c>
      <c r="B216" s="10"/>
      <c r="C216" s="10"/>
    </row>
    <row r="217" spans="1:3" ht="15.75" customHeight="1">
      <c r="A217" s="12" t="s">
        <v>837</v>
      </c>
      <c r="B217" s="10"/>
      <c r="C217" s="10"/>
    </row>
    <row r="218" spans="1:3" ht="15.75" customHeight="1">
      <c r="A218" s="12" t="s">
        <v>851</v>
      </c>
      <c r="B218" s="10"/>
      <c r="C218" s="10"/>
    </row>
    <row r="219" spans="1:3" ht="15.75" customHeight="1">
      <c r="A219" s="12" t="s">
        <v>820</v>
      </c>
      <c r="B219" s="10"/>
      <c r="C219" s="10"/>
    </row>
    <row r="220" spans="1:3" ht="15.75" customHeight="1">
      <c r="A220" s="12" t="s">
        <v>834</v>
      </c>
      <c r="B220" s="10"/>
      <c r="C220" s="10"/>
    </row>
    <row r="221" spans="1:3" ht="15.75" customHeight="1">
      <c r="A221" s="12" t="s">
        <v>830</v>
      </c>
      <c r="B221" s="10"/>
      <c r="C221" s="10"/>
    </row>
    <row r="222" spans="1:3" ht="15.75" customHeight="1">
      <c r="A222" s="12" t="s">
        <v>837</v>
      </c>
      <c r="B222" s="10"/>
      <c r="C222" s="10"/>
    </row>
    <row r="223" spans="1:3" ht="15.75" customHeight="1">
      <c r="A223" s="12" t="s">
        <v>837</v>
      </c>
      <c r="B223" s="10"/>
      <c r="C223" s="10"/>
    </row>
    <row r="224" spans="1:3" ht="15.75" customHeight="1">
      <c r="A224" s="12" t="s">
        <v>837</v>
      </c>
      <c r="B224" s="10"/>
      <c r="C224" s="10"/>
    </row>
    <row r="225" spans="1:3" ht="15.75" customHeight="1">
      <c r="A225" s="12" t="s">
        <v>832</v>
      </c>
      <c r="B225" s="10"/>
      <c r="C225" s="10"/>
    </row>
    <row r="226" spans="1:3" ht="15.75" customHeight="1">
      <c r="A226" s="12" t="s">
        <v>837</v>
      </c>
      <c r="B226" s="10"/>
      <c r="C226" s="10"/>
    </row>
    <row r="227" spans="1:3" ht="15.75" customHeight="1">
      <c r="A227" s="12" t="s">
        <v>834</v>
      </c>
      <c r="B227" s="10"/>
      <c r="C227" s="10"/>
    </row>
    <row r="228" spans="1:3" ht="15.75" customHeight="1">
      <c r="A228" s="12" t="s">
        <v>826</v>
      </c>
      <c r="B228" s="10"/>
      <c r="C228" s="10"/>
    </row>
    <row r="229" spans="1:3" ht="15.75" customHeight="1">
      <c r="A229" s="12" t="s">
        <v>853</v>
      </c>
      <c r="B229" s="10"/>
      <c r="C229" s="10"/>
    </row>
    <row r="230" spans="1:3" ht="15.75" customHeight="1">
      <c r="A230" s="12" t="s">
        <v>829</v>
      </c>
      <c r="B230" s="10"/>
      <c r="C230" s="10"/>
    </row>
    <row r="231" spans="1:3" ht="15.75" customHeight="1">
      <c r="A231" s="12" t="s">
        <v>844</v>
      </c>
      <c r="B231" s="10"/>
      <c r="C231" s="10"/>
    </row>
    <row r="232" spans="1:3" ht="15.75" customHeight="1">
      <c r="A232" s="12" t="s">
        <v>824</v>
      </c>
      <c r="B232" s="10"/>
      <c r="C232" s="10"/>
    </row>
    <row r="233" spans="1:3" ht="15.75" customHeight="1">
      <c r="A233" s="12" t="s">
        <v>833</v>
      </c>
      <c r="B233" s="10"/>
      <c r="C233" s="10"/>
    </row>
    <row r="234" spans="1:3" ht="15.75" customHeight="1">
      <c r="A234" s="12" t="s">
        <v>842</v>
      </c>
      <c r="B234" s="10"/>
      <c r="C234" s="10"/>
    </row>
    <row r="235" spans="1:3" ht="15.75" customHeight="1">
      <c r="A235" s="12" t="s">
        <v>847</v>
      </c>
      <c r="B235" s="10"/>
      <c r="C235" s="10"/>
    </row>
    <row r="236" spans="1:3" ht="15.75" customHeight="1">
      <c r="A236" s="12" t="s">
        <v>848</v>
      </c>
      <c r="B236" s="10"/>
      <c r="C236" s="10"/>
    </row>
    <row r="237" spans="1:3" ht="15.75" customHeight="1">
      <c r="A237" s="12" t="s">
        <v>831</v>
      </c>
      <c r="B237" s="10"/>
      <c r="C237" s="10"/>
    </row>
    <row r="238" spans="1:3" ht="15.75" customHeight="1">
      <c r="A238" s="12" t="s">
        <v>839</v>
      </c>
      <c r="B238" s="10"/>
      <c r="C238" s="10"/>
    </row>
    <row r="239" spans="1:3" ht="15.75" customHeight="1">
      <c r="A239" s="12" t="s">
        <v>850</v>
      </c>
      <c r="B239" s="10"/>
      <c r="C239" s="10"/>
    </row>
    <row r="240" spans="1:3" ht="15.75" customHeight="1">
      <c r="A240" s="12" t="s">
        <v>829</v>
      </c>
      <c r="B240" s="10"/>
      <c r="C240" s="10"/>
    </row>
    <row r="241" spans="1:3" ht="15.75" customHeight="1">
      <c r="A241" s="12" t="s">
        <v>837</v>
      </c>
      <c r="B241" s="10"/>
      <c r="C241" s="10"/>
    </row>
    <row r="242" spans="1:3" ht="15.75" customHeight="1">
      <c r="A242" s="12" t="s">
        <v>839</v>
      </c>
      <c r="B242" s="10"/>
      <c r="C242" s="10"/>
    </row>
    <row r="243" spans="1:3" ht="15.75" customHeight="1">
      <c r="A243" s="12" t="s">
        <v>839</v>
      </c>
      <c r="B243" s="10"/>
      <c r="C243" s="10"/>
    </row>
    <row r="244" spans="1:3" ht="15.75" customHeight="1">
      <c r="A244" s="12" t="s">
        <v>837</v>
      </c>
      <c r="B244" s="10"/>
      <c r="C244" s="10"/>
    </row>
    <row r="245" spans="1:3" ht="15.75" customHeight="1">
      <c r="A245" s="12" t="s">
        <v>834</v>
      </c>
      <c r="B245" s="10"/>
      <c r="C245" s="10"/>
    </row>
    <row r="246" spans="1:3" ht="15.75" customHeight="1">
      <c r="A246" s="12" t="s">
        <v>838</v>
      </c>
      <c r="B246" s="10"/>
      <c r="C246" s="10"/>
    </row>
    <row r="247" spans="1:3" ht="15.75" customHeight="1">
      <c r="A247" s="12" t="s">
        <v>853</v>
      </c>
      <c r="B247" s="10"/>
      <c r="C247" s="10"/>
    </row>
    <row r="248" spans="1:3" ht="15.75" customHeight="1">
      <c r="A248" s="12" t="s">
        <v>820</v>
      </c>
      <c r="B248" s="10"/>
      <c r="C248" s="10"/>
    </row>
    <row r="249" spans="1:3" ht="15.75" customHeight="1">
      <c r="A249" s="12" t="s">
        <v>822</v>
      </c>
      <c r="B249" s="10"/>
      <c r="C249" s="10"/>
    </row>
    <row r="250" spans="1:3" ht="15.75" customHeight="1">
      <c r="A250" s="12" t="s">
        <v>837</v>
      </c>
      <c r="B250" s="10"/>
      <c r="C250" s="10"/>
    </row>
    <row r="251" spans="1:3" ht="15.75" customHeight="1">
      <c r="A251" s="12" t="s">
        <v>831</v>
      </c>
      <c r="B251" s="10"/>
      <c r="C251" s="10"/>
    </row>
    <row r="252" spans="1:3" ht="15.75" customHeight="1">
      <c r="A252" s="12" t="s">
        <v>853</v>
      </c>
      <c r="B252" s="10"/>
      <c r="C252" s="10"/>
    </row>
    <row r="253" spans="1:3" ht="15.75" customHeight="1">
      <c r="A253" s="12" t="s">
        <v>828</v>
      </c>
      <c r="B253" s="10"/>
      <c r="C253" s="10"/>
    </row>
    <row r="254" spans="1:3" ht="15.75" customHeight="1">
      <c r="A254" s="12" t="s">
        <v>842</v>
      </c>
      <c r="B254" s="10"/>
      <c r="C254" s="10"/>
    </row>
    <row r="255" spans="1:3" ht="15.75" customHeight="1">
      <c r="A255" s="12" t="s">
        <v>822</v>
      </c>
      <c r="B255" s="10"/>
      <c r="C255" s="10"/>
    </row>
    <row r="256" spans="1:3" ht="15.75" customHeight="1">
      <c r="A256" s="12" t="s">
        <v>832</v>
      </c>
      <c r="B256" s="10"/>
      <c r="C256" s="10"/>
    </row>
    <row r="257" spans="1:3" ht="15.75" customHeight="1">
      <c r="A257" s="12" t="s">
        <v>848</v>
      </c>
      <c r="B257" s="10"/>
      <c r="C257" s="10"/>
    </row>
    <row r="258" spans="1:3" ht="15.75" customHeight="1">
      <c r="A258" s="12" t="s">
        <v>821</v>
      </c>
      <c r="B258" s="10"/>
      <c r="C258" s="10"/>
    </row>
    <row r="259" spans="1:3" ht="15.75" customHeight="1">
      <c r="A259" s="12" t="s">
        <v>832</v>
      </c>
      <c r="B259" s="10"/>
      <c r="C259" s="10"/>
    </row>
    <row r="260" spans="1:3" ht="15.75" customHeight="1">
      <c r="A260" s="12" t="s">
        <v>845</v>
      </c>
      <c r="B260" s="10"/>
      <c r="C260" s="10"/>
    </row>
    <row r="261" spans="1:3" ht="15.75" customHeight="1">
      <c r="A261" s="12" t="s">
        <v>820</v>
      </c>
      <c r="B261" s="10"/>
      <c r="C261" s="10"/>
    </row>
    <row r="262" spans="1:3" ht="15.75" customHeight="1">
      <c r="A262" s="12" t="s">
        <v>832</v>
      </c>
      <c r="B262" s="10"/>
      <c r="C262" s="10"/>
    </row>
    <row r="263" spans="1:3" ht="15.75" customHeight="1">
      <c r="A263" s="12" t="s">
        <v>850</v>
      </c>
      <c r="B263" s="10"/>
      <c r="C263" s="10"/>
    </row>
    <row r="264" spans="1:3" ht="15.75" customHeight="1">
      <c r="A264" s="12" t="s">
        <v>837</v>
      </c>
      <c r="B264" s="10"/>
      <c r="C264" s="10"/>
    </row>
    <row r="265" spans="1:3" ht="15.75" customHeight="1">
      <c r="A265" s="12" t="s">
        <v>824</v>
      </c>
      <c r="B265" s="10"/>
      <c r="C265" s="10"/>
    </row>
    <row r="266" spans="1:3" ht="15.75" customHeight="1">
      <c r="A266" s="12" t="s">
        <v>837</v>
      </c>
      <c r="B266" s="10"/>
      <c r="C266" s="10"/>
    </row>
    <row r="267" spans="1:3" ht="15.75" customHeight="1">
      <c r="A267" s="12" t="s">
        <v>833</v>
      </c>
      <c r="B267" s="10"/>
      <c r="C267" s="10"/>
    </row>
    <row r="268" spans="1:3" ht="15.75" customHeight="1">
      <c r="A268" s="12" t="s">
        <v>824</v>
      </c>
      <c r="B268" s="10"/>
      <c r="C268" s="10"/>
    </row>
    <row r="269" spans="1:3" ht="15.75" customHeight="1">
      <c r="A269" s="12" t="s">
        <v>824</v>
      </c>
      <c r="B269" s="10"/>
      <c r="C269" s="10"/>
    </row>
    <row r="270" spans="1:3" ht="15.75" customHeight="1">
      <c r="A270" s="12" t="s">
        <v>829</v>
      </c>
      <c r="B270" s="10"/>
      <c r="C270" s="10"/>
    </row>
    <row r="271" spans="1:3" ht="15.75" customHeight="1">
      <c r="A271" s="12" t="s">
        <v>845</v>
      </c>
      <c r="B271" s="10"/>
      <c r="C271" s="10"/>
    </row>
    <row r="272" spans="1:3" ht="15.75" customHeight="1">
      <c r="A272" s="12" t="s">
        <v>833</v>
      </c>
      <c r="B272" s="10"/>
      <c r="C272" s="10"/>
    </row>
    <row r="273" spans="1:3" ht="15.75" customHeight="1">
      <c r="A273" s="12" t="s">
        <v>838</v>
      </c>
      <c r="B273" s="10"/>
      <c r="C273" s="10"/>
    </row>
    <row r="274" spans="1:3" ht="15.75" customHeight="1">
      <c r="A274" s="12" t="s">
        <v>853</v>
      </c>
      <c r="B274" s="10"/>
      <c r="C274" s="10"/>
    </row>
    <row r="275" spans="1:3" ht="15.75" customHeight="1">
      <c r="A275" s="12" t="s">
        <v>823</v>
      </c>
      <c r="B275" s="10"/>
      <c r="C275" s="10"/>
    </row>
    <row r="276" spans="1:3" ht="15.75" customHeight="1">
      <c r="A276" s="12" t="s">
        <v>851</v>
      </c>
      <c r="B276" s="10"/>
      <c r="C276" s="10"/>
    </row>
    <row r="277" spans="1:3" ht="15.75" customHeight="1">
      <c r="A277" s="12" t="s">
        <v>848</v>
      </c>
      <c r="B277" s="10"/>
      <c r="C277" s="10"/>
    </row>
    <row r="278" spans="1:3" ht="15.75" customHeight="1">
      <c r="A278" s="12" t="s">
        <v>830</v>
      </c>
      <c r="B278" s="10"/>
      <c r="C278" s="10"/>
    </row>
    <row r="279" spans="1:3" ht="15.75" customHeight="1">
      <c r="A279" s="12" t="s">
        <v>836</v>
      </c>
      <c r="B279" s="10"/>
      <c r="C279" s="10"/>
    </row>
    <row r="280" spans="1:3" ht="15.75" customHeight="1">
      <c r="A280" s="12" t="s">
        <v>845</v>
      </c>
      <c r="B280" s="10"/>
      <c r="C280" s="10"/>
    </row>
    <row r="281" spans="1:3" ht="15.75" customHeight="1">
      <c r="A281" s="12" t="s">
        <v>853</v>
      </c>
      <c r="B281" s="10"/>
      <c r="C281" s="10"/>
    </row>
    <row r="282" spans="1:3" ht="15.75" customHeight="1">
      <c r="A282" s="12" t="s">
        <v>849</v>
      </c>
      <c r="B282" s="10"/>
      <c r="C282" s="10"/>
    </row>
    <row r="283" spans="1:3" ht="15.75" customHeight="1">
      <c r="A283" s="12" t="s">
        <v>828</v>
      </c>
      <c r="B283" s="10"/>
      <c r="C283" s="10"/>
    </row>
    <row r="284" spans="1:3" ht="15.75" customHeight="1">
      <c r="A284" s="12" t="s">
        <v>849</v>
      </c>
      <c r="B284" s="10"/>
      <c r="C284" s="10"/>
    </row>
    <row r="285" spans="1:3" ht="15.75" customHeight="1">
      <c r="A285" s="12" t="s">
        <v>830</v>
      </c>
      <c r="B285" s="10"/>
      <c r="C285" s="10"/>
    </row>
    <row r="286" spans="1:3" ht="15.75" customHeight="1">
      <c r="A286" s="12" t="s">
        <v>849</v>
      </c>
      <c r="B286" s="10"/>
      <c r="C286" s="10"/>
    </row>
    <row r="287" spans="1:3" ht="15.75" customHeight="1">
      <c r="A287" s="12" t="s">
        <v>846</v>
      </c>
      <c r="B287" s="10"/>
      <c r="C287" s="10"/>
    </row>
    <row r="288" spans="1:3" ht="15.75" customHeight="1">
      <c r="A288" s="12" t="s">
        <v>843</v>
      </c>
      <c r="B288" s="10"/>
      <c r="C288" s="10"/>
    </row>
    <row r="289" spans="1:3" ht="15.75" customHeight="1">
      <c r="A289" s="12" t="s">
        <v>828</v>
      </c>
      <c r="B289" s="10"/>
      <c r="C289" s="10"/>
    </row>
    <row r="290" spans="1:3" ht="15.75" customHeight="1">
      <c r="A290" s="12" t="s">
        <v>832</v>
      </c>
      <c r="B290" s="10"/>
      <c r="C290" s="10"/>
    </row>
    <row r="291" spans="1:3" ht="15.75" customHeight="1">
      <c r="A291" s="12" t="s">
        <v>834</v>
      </c>
      <c r="B291" s="10"/>
      <c r="C291" s="10"/>
    </row>
    <row r="292" spans="1:3" ht="15.75" customHeight="1">
      <c r="A292" s="12" t="s">
        <v>835</v>
      </c>
      <c r="B292" s="10"/>
      <c r="C292" s="10"/>
    </row>
    <row r="293" spans="1:3" ht="15.75" customHeight="1">
      <c r="A293" s="12" t="s">
        <v>828</v>
      </c>
      <c r="B293" s="10"/>
      <c r="C293" s="10"/>
    </row>
    <row r="294" spans="1:3" ht="15.75" customHeight="1">
      <c r="A294" s="12" t="s">
        <v>820</v>
      </c>
      <c r="B294" s="10"/>
      <c r="C294" s="10"/>
    </row>
    <row r="295" spans="1:3" ht="15.75" customHeight="1">
      <c r="A295" s="12" t="s">
        <v>852</v>
      </c>
      <c r="B295" s="10"/>
      <c r="C295" s="10"/>
    </row>
    <row r="296" spans="1:3" ht="15.75" customHeight="1">
      <c r="A296" s="12" t="s">
        <v>830</v>
      </c>
      <c r="B296" s="10"/>
      <c r="C296" s="10"/>
    </row>
    <row r="297" spans="1:3" ht="15.75" customHeight="1">
      <c r="A297" s="12" t="s">
        <v>846</v>
      </c>
      <c r="B297" s="10"/>
      <c r="C297" s="10"/>
    </row>
    <row r="298" spans="1:3" ht="15.75" customHeight="1">
      <c r="A298" s="12" t="s">
        <v>844</v>
      </c>
      <c r="B298" s="10"/>
      <c r="C298" s="10"/>
    </row>
    <row r="299" spans="1:3" ht="15.75" customHeight="1">
      <c r="A299" s="12" t="s">
        <v>821</v>
      </c>
      <c r="B299" s="10"/>
      <c r="C299" s="10"/>
    </row>
    <row r="300" spans="1:3" ht="15.75" customHeight="1">
      <c r="A300" s="12" t="s">
        <v>847</v>
      </c>
      <c r="B300" s="10"/>
      <c r="C300" s="10"/>
    </row>
    <row r="301" spans="1:3" ht="15.75" customHeight="1">
      <c r="A301" s="12" t="s">
        <v>833</v>
      </c>
      <c r="B301" s="10"/>
      <c r="C301" s="10"/>
    </row>
    <row r="302" spans="1:3" ht="15.75" customHeight="1">
      <c r="A302" s="12" t="s">
        <v>826</v>
      </c>
      <c r="B302" s="10"/>
      <c r="C302" s="10"/>
    </row>
    <row r="303" spans="1:3" ht="15.75" customHeight="1">
      <c r="A303" s="12" t="s">
        <v>826</v>
      </c>
      <c r="B303" s="10"/>
      <c r="C303" s="10"/>
    </row>
    <row r="304" spans="1:3" ht="15.75" customHeight="1">
      <c r="A304" s="12" t="s">
        <v>837</v>
      </c>
      <c r="B304" s="10"/>
      <c r="C304" s="10"/>
    </row>
    <row r="305" spans="1:3" ht="15.75" customHeight="1">
      <c r="A305" s="12" t="s">
        <v>845</v>
      </c>
      <c r="B305" s="10"/>
      <c r="C305" s="10"/>
    </row>
    <row r="306" spans="1:3" ht="15.75" customHeight="1">
      <c r="A306" s="12" t="s">
        <v>820</v>
      </c>
      <c r="B306" s="10"/>
      <c r="C306" s="10"/>
    </row>
    <row r="307" spans="1:3" ht="15.75" customHeight="1">
      <c r="A307" s="12" t="s">
        <v>831</v>
      </c>
      <c r="B307" s="10"/>
      <c r="C307" s="10"/>
    </row>
    <row r="308" spans="1:3" ht="15.75" customHeight="1">
      <c r="A308" s="12" t="s">
        <v>837</v>
      </c>
      <c r="B308" s="10"/>
      <c r="C308" s="10"/>
    </row>
    <row r="309" spans="1:3" ht="15.75" customHeight="1">
      <c r="A309" s="12" t="s">
        <v>830</v>
      </c>
      <c r="B309" s="10"/>
      <c r="C309" s="10"/>
    </row>
    <row r="310" spans="1:3" ht="15.75" customHeight="1">
      <c r="A310" s="12" t="s">
        <v>832</v>
      </c>
      <c r="B310" s="10"/>
      <c r="C310" s="10"/>
    </row>
    <row r="311" spans="1:3" ht="15.75" customHeight="1">
      <c r="A311" s="12" t="s">
        <v>832</v>
      </c>
      <c r="B311" s="10"/>
      <c r="C311" s="10"/>
    </row>
    <row r="312" spans="1:3" ht="15.75" customHeight="1">
      <c r="A312" s="12" t="s">
        <v>827</v>
      </c>
      <c r="B312" s="10"/>
      <c r="C312" s="10"/>
    </row>
    <row r="313" spans="1:3" ht="15.75" customHeight="1">
      <c r="A313" s="12" t="s">
        <v>835</v>
      </c>
      <c r="B313" s="10"/>
      <c r="C313" s="10"/>
    </row>
    <row r="314" spans="1:3" ht="15.75" customHeight="1">
      <c r="A314" s="12" t="s">
        <v>827</v>
      </c>
      <c r="B314" s="10"/>
      <c r="C314" s="10"/>
    </row>
    <row r="315" spans="1:3" ht="15.75" customHeight="1">
      <c r="A315" s="12" t="s">
        <v>829</v>
      </c>
      <c r="B315" s="10"/>
      <c r="C315" s="10"/>
    </row>
    <row r="316" spans="1:3" ht="15.75" customHeight="1">
      <c r="A316" s="12" t="s">
        <v>844</v>
      </c>
      <c r="B316" s="10"/>
      <c r="C316" s="10"/>
    </row>
    <row r="317" spans="1:3" ht="15.75" customHeight="1">
      <c r="A317" s="12" t="s">
        <v>822</v>
      </c>
      <c r="B317" s="10"/>
      <c r="C317" s="10"/>
    </row>
    <row r="318" spans="1:3" ht="15.75" customHeight="1">
      <c r="A318" s="12" t="s">
        <v>830</v>
      </c>
      <c r="B318" s="10"/>
      <c r="C318" s="10"/>
    </row>
    <row r="319" spans="1:3" ht="15.75" customHeight="1">
      <c r="A319" s="12" t="s">
        <v>849</v>
      </c>
      <c r="B319" s="10"/>
      <c r="C319" s="10"/>
    </row>
    <row r="320" spans="1:3" ht="15.75" customHeight="1">
      <c r="A320" s="12" t="s">
        <v>826</v>
      </c>
      <c r="B320" s="10"/>
      <c r="C320" s="10"/>
    </row>
    <row r="321" spans="1:3" ht="15.75" customHeight="1">
      <c r="A321" s="12" t="s">
        <v>829</v>
      </c>
      <c r="B321" s="10"/>
      <c r="C321" s="10"/>
    </row>
    <row r="322" spans="1:3" ht="15.75" customHeight="1">
      <c r="A322" s="12" t="s">
        <v>839</v>
      </c>
      <c r="B322" s="10"/>
      <c r="C322" s="10"/>
    </row>
    <row r="323" spans="1:3" ht="15.75" customHeight="1">
      <c r="A323" s="12" t="s">
        <v>850</v>
      </c>
      <c r="B323" s="10"/>
      <c r="C323" s="10"/>
    </row>
    <row r="324" spans="1:3" ht="15.75" customHeight="1">
      <c r="A324" s="12" t="s">
        <v>826</v>
      </c>
      <c r="B324" s="10"/>
      <c r="C324" s="10"/>
    </row>
    <row r="325" spans="1:3" ht="15.75" customHeight="1">
      <c r="A325" s="12" t="s">
        <v>845</v>
      </c>
      <c r="B325" s="10"/>
      <c r="C325" s="10"/>
    </row>
    <row r="326" spans="1:3" ht="15.75" customHeight="1">
      <c r="A326" s="12" t="s">
        <v>824</v>
      </c>
      <c r="B326" s="10"/>
      <c r="C326" s="10"/>
    </row>
    <row r="327" spans="1:3" ht="15.75" customHeight="1">
      <c r="A327" s="12" t="s">
        <v>821</v>
      </c>
      <c r="B327" s="10"/>
      <c r="C327" s="10"/>
    </row>
    <row r="328" spans="1:3" ht="15.75" customHeight="1">
      <c r="A328" s="12" t="s">
        <v>826</v>
      </c>
      <c r="B328" s="10"/>
      <c r="C328" s="10"/>
    </row>
    <row r="329" spans="1:3" ht="15.75" customHeight="1">
      <c r="A329" s="12" t="s">
        <v>839</v>
      </c>
      <c r="B329" s="10"/>
      <c r="C329" s="10"/>
    </row>
    <row r="330" spans="1:3" ht="15.75" customHeight="1">
      <c r="A330" s="12" t="s">
        <v>821</v>
      </c>
      <c r="B330" s="10"/>
      <c r="C330" s="10"/>
    </row>
    <row r="331" spans="1:3" ht="15.75" customHeight="1">
      <c r="A331" s="12" t="s">
        <v>843</v>
      </c>
      <c r="B331" s="10"/>
      <c r="C331" s="10"/>
    </row>
    <row r="332" spans="1:3" ht="15.75" customHeight="1">
      <c r="A332" s="12" t="s">
        <v>831</v>
      </c>
      <c r="B332" s="10"/>
      <c r="C332" s="10"/>
    </row>
    <row r="333" spans="1:3" ht="15.75" customHeight="1">
      <c r="A333" s="12" t="s">
        <v>830</v>
      </c>
      <c r="B333" s="10"/>
      <c r="C333" s="10"/>
    </row>
    <row r="334" spans="1:3" ht="15.75" customHeight="1">
      <c r="A334" s="12" t="s">
        <v>841</v>
      </c>
      <c r="B334" s="10"/>
      <c r="C334" s="10"/>
    </row>
    <row r="335" spans="1:3" ht="15.75" customHeight="1">
      <c r="A335" s="12" t="s">
        <v>837</v>
      </c>
      <c r="B335" s="10"/>
      <c r="C335" s="10"/>
    </row>
    <row r="336" spans="1:3" ht="15.75" customHeight="1">
      <c r="A336" s="12" t="s">
        <v>832</v>
      </c>
      <c r="B336" s="10"/>
      <c r="C336" s="10"/>
    </row>
    <row r="337" spans="1:3" ht="15.75" customHeight="1">
      <c r="A337" s="12" t="s">
        <v>851</v>
      </c>
      <c r="B337" s="10"/>
      <c r="C337" s="10"/>
    </row>
    <row r="338" spans="1:3" ht="15.75" customHeight="1">
      <c r="A338" s="12" t="s">
        <v>831</v>
      </c>
      <c r="B338" s="10"/>
      <c r="C338" s="10"/>
    </row>
    <row r="339" spans="1:3" ht="15.75" customHeight="1">
      <c r="A339" s="12" t="s">
        <v>834</v>
      </c>
      <c r="B339" s="10"/>
      <c r="C339" s="10"/>
    </row>
    <row r="340" spans="1:3" ht="15.75" customHeight="1">
      <c r="A340" s="12" t="s">
        <v>830</v>
      </c>
      <c r="B340" s="10"/>
      <c r="C340" s="10"/>
    </row>
    <row r="341" spans="1:3" ht="15.75" customHeight="1">
      <c r="A341" s="12" t="s">
        <v>845</v>
      </c>
      <c r="B341" s="10"/>
      <c r="C341" s="10"/>
    </row>
    <row r="342" spans="1:3" ht="15.75" customHeight="1">
      <c r="A342" s="12" t="s">
        <v>844</v>
      </c>
      <c r="B342" s="10"/>
      <c r="C342" s="10"/>
    </row>
    <row r="343" spans="1:3" ht="15.75" customHeight="1">
      <c r="A343" s="12" t="s">
        <v>846</v>
      </c>
      <c r="B343" s="10"/>
      <c r="C343" s="10"/>
    </row>
    <row r="344" spans="1:3" ht="15.75" customHeight="1">
      <c r="A344" s="12" t="s">
        <v>847</v>
      </c>
      <c r="B344" s="10"/>
      <c r="C344" s="10"/>
    </row>
    <row r="345" spans="1:3" ht="15.75" customHeight="1">
      <c r="A345" s="12" t="s">
        <v>837</v>
      </c>
      <c r="B345" s="10"/>
      <c r="C345" s="10"/>
    </row>
    <row r="346" spans="1:3" ht="15.75" customHeight="1">
      <c r="A346" s="12" t="s">
        <v>822</v>
      </c>
      <c r="B346" s="10"/>
      <c r="C346" s="10"/>
    </row>
    <row r="347" spans="1:3" ht="15.75" customHeight="1">
      <c r="A347" s="12" t="s">
        <v>843</v>
      </c>
      <c r="B347" s="10"/>
      <c r="C347" s="10"/>
    </row>
    <row r="348" spans="1:3" ht="15.75" customHeight="1">
      <c r="A348" s="12" t="s">
        <v>830</v>
      </c>
      <c r="B348" s="10"/>
      <c r="C348" s="10"/>
    </row>
    <row r="349" spans="1:3" ht="15.75" customHeight="1">
      <c r="A349" s="12" t="s">
        <v>852</v>
      </c>
      <c r="B349" s="10"/>
      <c r="C349" s="10"/>
    </row>
    <row r="350" spans="1:3" ht="15.75" customHeight="1">
      <c r="A350" s="12" t="s">
        <v>838</v>
      </c>
      <c r="B350" s="10"/>
      <c r="C350" s="10"/>
    </row>
    <row r="351" spans="1:3" ht="15.75" customHeight="1">
      <c r="A351" s="12" t="s">
        <v>828</v>
      </c>
      <c r="B351" s="10"/>
      <c r="C351" s="10"/>
    </row>
    <row r="352" spans="1:3" ht="15.75" customHeight="1">
      <c r="A352" s="12" t="s">
        <v>826</v>
      </c>
      <c r="B352" s="10"/>
      <c r="C352" s="10"/>
    </row>
    <row r="353" spans="1:3" ht="15.75" customHeight="1">
      <c r="A353" s="12" t="s">
        <v>837</v>
      </c>
      <c r="B353" s="10"/>
      <c r="C353" s="10"/>
    </row>
    <row r="354" spans="1:3" ht="15.75" customHeight="1">
      <c r="A354" s="12" t="s">
        <v>834</v>
      </c>
      <c r="B354" s="10"/>
      <c r="C354" s="10"/>
    </row>
    <row r="355" spans="1:3" ht="15.75" customHeight="1">
      <c r="A355" s="12" t="s">
        <v>818</v>
      </c>
      <c r="B355" s="10"/>
      <c r="C355" s="10"/>
    </row>
    <row r="356" spans="1:3" ht="15.75" customHeight="1">
      <c r="A356" s="12" t="s">
        <v>835</v>
      </c>
      <c r="B356" s="10"/>
      <c r="C356" s="10"/>
    </row>
    <row r="357" spans="1:3" ht="15.75" customHeight="1">
      <c r="A357" s="12" t="s">
        <v>833</v>
      </c>
      <c r="B357" s="10"/>
      <c r="C357" s="10"/>
    </row>
    <row r="358" spans="1:3" ht="15.75" customHeight="1">
      <c r="A358" s="12" t="s">
        <v>850</v>
      </c>
      <c r="B358" s="10"/>
      <c r="C358" s="10"/>
    </row>
    <row r="359" spans="1:3" ht="15.75" customHeight="1">
      <c r="A359" s="12" t="s">
        <v>837</v>
      </c>
      <c r="B359" s="10"/>
      <c r="C359" s="10"/>
    </row>
    <row r="360" spans="1:3" ht="15.75" customHeight="1">
      <c r="A360" s="12" t="s">
        <v>838</v>
      </c>
      <c r="B360" s="10"/>
      <c r="C360" s="10"/>
    </row>
    <row r="361" spans="1:3" ht="15.75" customHeight="1">
      <c r="A361" s="12" t="s">
        <v>852</v>
      </c>
      <c r="B361" s="10"/>
      <c r="C361" s="10"/>
    </row>
    <row r="362" spans="1:3" ht="15.75" customHeight="1">
      <c r="A362" s="12" t="s">
        <v>850</v>
      </c>
      <c r="B362" s="10"/>
      <c r="C362" s="10"/>
    </row>
    <row r="363" spans="1:3" ht="15.75" customHeight="1">
      <c r="A363" s="12" t="s">
        <v>850</v>
      </c>
      <c r="B363" s="10"/>
      <c r="C363" s="10"/>
    </row>
    <row r="364" spans="1:3" ht="15.75" customHeight="1">
      <c r="A364" s="12" t="s">
        <v>821</v>
      </c>
      <c r="B364" s="10"/>
      <c r="C364" s="10"/>
    </row>
    <row r="365" spans="1:3" ht="15.75" customHeight="1">
      <c r="A365" s="12" t="s">
        <v>820</v>
      </c>
      <c r="B365" s="10"/>
      <c r="C365" s="10"/>
    </row>
    <row r="366" spans="1:3" ht="15.75" customHeight="1">
      <c r="A366" s="12" t="s">
        <v>830</v>
      </c>
      <c r="B366" s="10"/>
      <c r="C366" s="10"/>
    </row>
    <row r="367" spans="1:3" ht="15.75" customHeight="1">
      <c r="A367" s="12" t="s">
        <v>837</v>
      </c>
      <c r="B367" s="10"/>
      <c r="C367" s="10"/>
    </row>
    <row r="368" spans="1:3" ht="15.75" customHeight="1">
      <c r="A368" s="12" t="s">
        <v>845</v>
      </c>
      <c r="B368" s="10"/>
      <c r="C368" s="10"/>
    </row>
    <row r="369" spans="1:3" ht="15.75" customHeight="1">
      <c r="A369" s="12" t="s">
        <v>842</v>
      </c>
      <c r="B369" s="10"/>
      <c r="C369" s="10"/>
    </row>
    <row r="370" spans="1:3" ht="15.75" customHeight="1">
      <c r="A370" s="12" t="s">
        <v>840</v>
      </c>
      <c r="B370" s="10"/>
      <c r="C370" s="10"/>
    </row>
    <row r="371" spans="1:3" ht="15.75" customHeight="1">
      <c r="A371" s="12" t="s">
        <v>830</v>
      </c>
      <c r="B371" s="10"/>
      <c r="C371" s="10"/>
    </row>
    <row r="372" spans="1:3" ht="15.75" customHeight="1">
      <c r="A372" s="12" t="s">
        <v>826</v>
      </c>
      <c r="B372" s="10"/>
      <c r="C372" s="10"/>
    </row>
    <row r="373" spans="1:3" ht="15.75" customHeight="1">
      <c r="A373" s="12" t="s">
        <v>835</v>
      </c>
      <c r="B373" s="10"/>
      <c r="C373" s="10"/>
    </row>
    <row r="374" spans="1:3" ht="15.75" customHeight="1">
      <c r="A374" s="12" t="s">
        <v>849</v>
      </c>
      <c r="B374" s="10"/>
      <c r="C374" s="10"/>
    </row>
    <row r="375" spans="1:3" ht="15.75" customHeight="1">
      <c r="A375" s="12" t="s">
        <v>826</v>
      </c>
      <c r="B375" s="10"/>
      <c r="C375" s="10"/>
    </row>
    <row r="376" spans="1:3" ht="15.75" customHeight="1">
      <c r="A376" s="12" t="s">
        <v>820</v>
      </c>
      <c r="B376" s="10"/>
      <c r="C376" s="10"/>
    </row>
    <row r="377" spans="1:3" ht="15.75" customHeight="1">
      <c r="A377" s="12" t="s">
        <v>837</v>
      </c>
      <c r="B377" s="10"/>
      <c r="C377" s="10"/>
    </row>
    <row r="378" spans="1:3" ht="15.75" customHeight="1">
      <c r="A378" s="12" t="s">
        <v>827</v>
      </c>
      <c r="B378" s="10"/>
      <c r="C378" s="10"/>
    </row>
    <row r="379" spans="1:3" ht="15.75" customHeight="1">
      <c r="A379" s="12" t="s">
        <v>818</v>
      </c>
      <c r="B379" s="10"/>
      <c r="C379" s="10"/>
    </row>
    <row r="380" spans="1:3" ht="15.75" customHeight="1">
      <c r="A380" s="12" t="s">
        <v>844</v>
      </c>
      <c r="B380" s="10"/>
      <c r="C380" s="10"/>
    </row>
    <row r="381" spans="1:3" ht="15.75" customHeight="1">
      <c r="A381" s="12" t="s">
        <v>833</v>
      </c>
      <c r="B381" s="10"/>
      <c r="C381" s="10"/>
    </row>
    <row r="382" spans="1:3" ht="15.75" customHeight="1">
      <c r="A382" s="12" t="s">
        <v>830</v>
      </c>
      <c r="B382" s="10"/>
      <c r="C382" s="10"/>
    </row>
    <row r="383" spans="1:3" ht="15.75" customHeight="1">
      <c r="A383" s="12" t="s">
        <v>835</v>
      </c>
      <c r="B383" s="10"/>
      <c r="C383" s="10"/>
    </row>
    <row r="384" spans="1:3" ht="15.75" customHeight="1">
      <c r="A384" s="12" t="s">
        <v>826</v>
      </c>
      <c r="B384" s="10"/>
      <c r="C384" s="10"/>
    </row>
    <row r="385" spans="1:3" ht="15.75" customHeight="1">
      <c r="A385" s="12" t="s">
        <v>834</v>
      </c>
      <c r="B385" s="10"/>
      <c r="C385" s="10"/>
    </row>
    <row r="386" spans="1:3" ht="15.75" customHeight="1">
      <c r="A386" s="12" t="s">
        <v>845</v>
      </c>
      <c r="B386" s="10"/>
      <c r="C386" s="10"/>
    </row>
    <row r="387" spans="1:3" ht="15.75" customHeight="1">
      <c r="A387" s="12" t="s">
        <v>824</v>
      </c>
      <c r="B387" s="10"/>
      <c r="C387" s="10"/>
    </row>
    <row r="388" spans="1:3" ht="15.75" customHeight="1">
      <c r="A388" s="12" t="s">
        <v>839</v>
      </c>
      <c r="B388" s="10"/>
      <c r="C388" s="10"/>
    </row>
    <row r="389" spans="1:3" ht="15.75" customHeight="1">
      <c r="A389" s="12" t="s">
        <v>836</v>
      </c>
      <c r="B389" s="10"/>
      <c r="C389" s="10"/>
    </row>
    <row r="390" spans="1:3" ht="15.75" customHeight="1">
      <c r="A390" s="12" t="s">
        <v>844</v>
      </c>
      <c r="B390" s="10"/>
      <c r="C390" s="10"/>
    </row>
    <row r="391" spans="1:3" ht="15.75" customHeight="1">
      <c r="A391" s="12" t="s">
        <v>823</v>
      </c>
      <c r="B391" s="10"/>
      <c r="C391" s="10"/>
    </row>
    <row r="392" spans="1:3" ht="15.75" customHeight="1">
      <c r="A392" s="12" t="s">
        <v>827</v>
      </c>
      <c r="B392" s="10"/>
      <c r="C392" s="10"/>
    </row>
    <row r="393" spans="1:3" ht="15.75" customHeight="1">
      <c r="A393" s="12" t="s">
        <v>830</v>
      </c>
      <c r="B393" s="10"/>
      <c r="C393" s="10"/>
    </row>
    <row r="394" spans="1:3" ht="15.75" customHeight="1">
      <c r="A394" s="12" t="s">
        <v>828</v>
      </c>
      <c r="B394" s="10"/>
      <c r="C394" s="10"/>
    </row>
    <row r="395" spans="1:3" ht="15.75" customHeight="1">
      <c r="A395" s="12" t="s">
        <v>845</v>
      </c>
      <c r="B395" s="10"/>
      <c r="C395" s="10"/>
    </row>
    <row r="396" spans="1:3" ht="15.75" customHeight="1">
      <c r="A396" s="12" t="s">
        <v>843</v>
      </c>
      <c r="B396" s="10"/>
      <c r="C396" s="10"/>
    </row>
    <row r="397" spans="1:3" ht="15.75" customHeight="1">
      <c r="A397" s="12" t="s">
        <v>831</v>
      </c>
      <c r="B397" s="10"/>
      <c r="C397" s="10"/>
    </row>
    <row r="398" spans="1:3" ht="15.75" customHeight="1">
      <c r="A398" s="12" t="s">
        <v>853</v>
      </c>
      <c r="B398" s="10"/>
      <c r="C398" s="10"/>
    </row>
    <row r="399" spans="1:3" ht="15.75" customHeight="1">
      <c r="A399" s="12" t="s">
        <v>841</v>
      </c>
      <c r="B399" s="10"/>
      <c r="C399" s="10"/>
    </row>
    <row r="400" spans="1:3" ht="15.75" customHeight="1">
      <c r="A400" s="12" t="s">
        <v>824</v>
      </c>
      <c r="B400" s="10"/>
      <c r="C400" s="10"/>
    </row>
    <row r="401" spans="1:3" ht="15.75" customHeight="1">
      <c r="A401" s="12" t="s">
        <v>844</v>
      </c>
      <c r="B401" s="10"/>
      <c r="C401" s="10"/>
    </row>
    <row r="402" spans="1:3" ht="15.75" customHeight="1">
      <c r="A402" s="12" t="s">
        <v>835</v>
      </c>
      <c r="B402" s="10"/>
      <c r="C402" s="10"/>
    </row>
    <row r="403" spans="1:3" ht="15.75" customHeight="1">
      <c r="A403" s="12" t="s">
        <v>841</v>
      </c>
      <c r="B403" s="10"/>
      <c r="C403" s="10"/>
    </row>
    <row r="404" spans="1:3" ht="15.75" customHeight="1">
      <c r="A404" s="12" t="s">
        <v>843</v>
      </c>
      <c r="B404" s="10"/>
      <c r="C404" s="10"/>
    </row>
    <row r="405" spans="1:3" ht="15.75" customHeight="1">
      <c r="A405" s="12" t="s">
        <v>826</v>
      </c>
      <c r="B405" s="10"/>
      <c r="C405" s="10"/>
    </row>
    <row r="406" spans="1:3" ht="15.75" customHeight="1">
      <c r="A406" s="12" t="s">
        <v>820</v>
      </c>
      <c r="B406" s="10"/>
      <c r="C406" s="10"/>
    </row>
    <row r="407" spans="1:3" ht="15.75" customHeight="1">
      <c r="A407" s="12" t="s">
        <v>848</v>
      </c>
      <c r="B407" s="10"/>
      <c r="C407" s="10"/>
    </row>
    <row r="408" spans="1:3" ht="15.75" customHeight="1">
      <c r="A408" s="12" t="s">
        <v>847</v>
      </c>
      <c r="B408" s="10"/>
      <c r="C408" s="10"/>
    </row>
    <row r="409" spans="1:3" ht="15.75" customHeight="1">
      <c r="A409" s="12" t="s">
        <v>828</v>
      </c>
      <c r="B409" s="10"/>
      <c r="C409" s="10"/>
    </row>
    <row r="410" spans="1:3" ht="15.75" customHeight="1">
      <c r="A410" s="12" t="s">
        <v>829</v>
      </c>
      <c r="B410" s="10"/>
      <c r="C410" s="10"/>
    </row>
    <row r="411" spans="1:3" ht="15.75" customHeight="1">
      <c r="A411" s="12" t="s">
        <v>833</v>
      </c>
      <c r="B411" s="10"/>
      <c r="C411" s="10"/>
    </row>
    <row r="412" spans="1:3" ht="15.75" customHeight="1">
      <c r="A412" s="12" t="s">
        <v>823</v>
      </c>
      <c r="B412" s="10"/>
      <c r="C412" s="10"/>
    </row>
    <row r="413" spans="1:3" ht="15.75" customHeight="1">
      <c r="A413" s="12" t="s">
        <v>824</v>
      </c>
      <c r="B413" s="10"/>
      <c r="C413" s="10"/>
    </row>
    <row r="414" spans="1:3" ht="15.75" customHeight="1">
      <c r="A414" s="12" t="s">
        <v>843</v>
      </c>
      <c r="B414" s="10"/>
      <c r="C414" s="10"/>
    </row>
    <row r="415" spans="1:3" ht="15.75" customHeight="1">
      <c r="A415" s="12" t="s">
        <v>822</v>
      </c>
      <c r="B415" s="10"/>
      <c r="C415" s="10"/>
    </row>
    <row r="416" spans="1:3" ht="15.75" customHeight="1">
      <c r="A416" s="12" t="s">
        <v>844</v>
      </c>
      <c r="B416" s="10"/>
      <c r="C416" s="10"/>
    </row>
    <row r="417" spans="1:3" ht="15.75" customHeight="1">
      <c r="A417" s="12" t="s">
        <v>837</v>
      </c>
      <c r="B417" s="10"/>
      <c r="C417" s="10"/>
    </row>
    <row r="418" spans="1:3" ht="15.75" customHeight="1">
      <c r="A418" s="12" t="s">
        <v>827</v>
      </c>
      <c r="B418" s="10"/>
      <c r="C418" s="10"/>
    </row>
    <row r="419" spans="1:3" ht="15.75" customHeight="1">
      <c r="A419" s="12" t="s">
        <v>844</v>
      </c>
      <c r="B419" s="10"/>
      <c r="C419" s="10"/>
    </row>
    <row r="420" spans="1:3" ht="15.75" customHeight="1">
      <c r="A420" s="12" t="s">
        <v>818</v>
      </c>
      <c r="B420" s="10"/>
      <c r="C420" s="10"/>
    </row>
    <row r="421" spans="1:3" ht="15.75" customHeight="1">
      <c r="A421" s="12" t="s">
        <v>848</v>
      </c>
      <c r="B421" s="10"/>
      <c r="C421" s="10"/>
    </row>
    <row r="422" spans="1:3" ht="15.75" customHeight="1">
      <c r="A422" s="12" t="s">
        <v>849</v>
      </c>
      <c r="B422" s="10"/>
      <c r="C422" s="10"/>
    </row>
    <row r="423" spans="1:3" ht="15.75" customHeight="1">
      <c r="A423" s="12" t="s">
        <v>844</v>
      </c>
      <c r="B423" s="10"/>
      <c r="C423" s="10"/>
    </row>
    <row r="424" spans="1:3" ht="15.75" customHeight="1">
      <c r="A424" s="12" t="s">
        <v>848</v>
      </c>
      <c r="B424" s="10"/>
      <c r="C424" s="10"/>
    </row>
    <row r="425" spans="1:3" ht="15.75" customHeight="1">
      <c r="A425" s="12" t="s">
        <v>834</v>
      </c>
      <c r="B425" s="10"/>
      <c r="C425" s="10"/>
    </row>
    <row r="426" spans="1:3" ht="15.75" customHeight="1">
      <c r="A426" s="12" t="s">
        <v>850</v>
      </c>
      <c r="B426" s="10"/>
      <c r="C426" s="10"/>
    </row>
    <row r="427" spans="1:3" ht="15.75" customHeight="1">
      <c r="A427" s="12" t="s">
        <v>837</v>
      </c>
      <c r="B427" s="10"/>
      <c r="C427" s="10"/>
    </row>
    <row r="428" spans="1:3" ht="15.75" customHeight="1">
      <c r="A428" s="12" t="s">
        <v>839</v>
      </c>
      <c r="B428" s="10"/>
      <c r="C428" s="10"/>
    </row>
    <row r="429" spans="1:3" ht="15.75" customHeight="1">
      <c r="A429" s="12" t="s">
        <v>853</v>
      </c>
      <c r="B429" s="10"/>
      <c r="C429" s="10"/>
    </row>
    <row r="430" spans="1:3" ht="15.75" customHeight="1">
      <c r="A430" s="12" t="s">
        <v>827</v>
      </c>
      <c r="B430" s="10"/>
      <c r="C430" s="10"/>
    </row>
    <row r="431" spans="1:3" ht="15.75" customHeight="1">
      <c r="A431" s="12" t="s">
        <v>852</v>
      </c>
      <c r="B431" s="10"/>
      <c r="C431" s="10"/>
    </row>
    <row r="432" spans="1:3" ht="15.75" customHeight="1">
      <c r="A432" s="12" t="s">
        <v>837</v>
      </c>
      <c r="B432" s="10"/>
      <c r="C432" s="10"/>
    </row>
    <row r="433" spans="1:3" ht="15.75" customHeight="1">
      <c r="A433" s="12" t="s">
        <v>847</v>
      </c>
      <c r="B433" s="10"/>
      <c r="C433" s="10"/>
    </row>
    <row r="434" spans="1:3" ht="15.75" customHeight="1">
      <c r="A434" s="12" t="s">
        <v>832</v>
      </c>
      <c r="B434" s="10"/>
      <c r="C434" s="10"/>
    </row>
    <row r="435" spans="1:3" ht="15.75" customHeight="1">
      <c r="A435" s="12" t="s">
        <v>827</v>
      </c>
      <c r="B435" s="10"/>
      <c r="C435" s="10"/>
    </row>
    <row r="436" spans="1:3" ht="15.75" customHeight="1">
      <c r="A436" s="12" t="s">
        <v>841</v>
      </c>
      <c r="B436" s="10"/>
      <c r="C436" s="10"/>
    </row>
    <row r="437" spans="1:3" ht="15.75" customHeight="1">
      <c r="A437" s="12" t="s">
        <v>832</v>
      </c>
      <c r="B437" s="10"/>
      <c r="C437" s="10"/>
    </row>
    <row r="438" spans="1:3" ht="15.75" customHeight="1">
      <c r="A438" s="12" t="s">
        <v>853</v>
      </c>
      <c r="B438" s="10"/>
      <c r="C438" s="10"/>
    </row>
    <row r="439" spans="1:3" ht="15.75" customHeight="1">
      <c r="A439" s="12" t="s">
        <v>840</v>
      </c>
      <c r="B439" s="10"/>
      <c r="C439" s="10"/>
    </row>
    <row r="440" spans="1:3" ht="15.75" customHeight="1">
      <c r="A440" s="12" t="s">
        <v>849</v>
      </c>
      <c r="B440" s="10"/>
      <c r="C440" s="10"/>
    </row>
    <row r="441" spans="1:3" ht="15.75" customHeight="1">
      <c r="A441" s="12" t="s">
        <v>833</v>
      </c>
      <c r="B441" s="10"/>
      <c r="C441" s="10"/>
    </row>
    <row r="442" spans="1:3" ht="15.75" customHeight="1">
      <c r="A442" s="12" t="s">
        <v>830</v>
      </c>
      <c r="B442" s="10"/>
      <c r="C442" s="10"/>
    </row>
    <row r="443" spans="1:3" ht="15.75" customHeight="1">
      <c r="A443" s="12" t="s">
        <v>826</v>
      </c>
      <c r="B443" s="10"/>
      <c r="C443" s="10"/>
    </row>
    <row r="444" spans="1:3" ht="15.75" customHeight="1">
      <c r="A444" s="12" t="s">
        <v>846</v>
      </c>
      <c r="B444" s="10"/>
      <c r="C444" s="10"/>
    </row>
    <row r="445" spans="1:3" ht="15.75" customHeight="1">
      <c r="A445" s="12" t="s">
        <v>837</v>
      </c>
      <c r="B445" s="10"/>
      <c r="C445" s="10"/>
    </row>
    <row r="446" spans="1:3" ht="15.75" customHeight="1">
      <c r="A446" s="12" t="s">
        <v>837</v>
      </c>
      <c r="B446" s="10"/>
      <c r="C446" s="10"/>
    </row>
    <row r="447" spans="1:3" ht="15.75" customHeight="1">
      <c r="A447" s="12" t="s">
        <v>826</v>
      </c>
      <c r="B447" s="10"/>
      <c r="C447" s="10"/>
    </row>
    <row r="448" spans="1:3" ht="15.75" customHeight="1">
      <c r="A448" s="12" t="s">
        <v>828</v>
      </c>
      <c r="B448" s="10"/>
      <c r="C448" s="10"/>
    </row>
    <row r="449" spans="1:3" ht="15.75" customHeight="1">
      <c r="A449" s="12" t="s">
        <v>824</v>
      </c>
      <c r="B449" s="10"/>
      <c r="C449" s="10"/>
    </row>
    <row r="450" spans="1:3" ht="15.75" customHeight="1">
      <c r="A450" s="12" t="s">
        <v>824</v>
      </c>
      <c r="B450" s="10"/>
      <c r="C450" s="10"/>
    </row>
    <row r="451" spans="1:3" ht="15.75" customHeight="1">
      <c r="A451" s="12" t="s">
        <v>826</v>
      </c>
      <c r="B451" s="10"/>
      <c r="C451" s="10"/>
    </row>
    <row r="452" spans="1:3" ht="15.75" customHeight="1">
      <c r="A452" s="12" t="s">
        <v>838</v>
      </c>
      <c r="B452" s="10"/>
      <c r="C452" s="10"/>
    </row>
    <row r="453" spans="1:3" ht="15.75" customHeight="1">
      <c r="A453" s="12" t="s">
        <v>834</v>
      </c>
      <c r="B453" s="10"/>
      <c r="C453" s="10"/>
    </row>
    <row r="454" spans="1:3" ht="15.75" customHeight="1">
      <c r="A454" s="12" t="s">
        <v>826</v>
      </c>
      <c r="B454" s="10"/>
      <c r="C454" s="10"/>
    </row>
    <row r="455" spans="1:3" ht="15.75" customHeight="1">
      <c r="A455" s="12" t="s">
        <v>837</v>
      </c>
      <c r="B455" s="10"/>
      <c r="C455" s="10"/>
    </row>
    <row r="456" spans="1:3" ht="15.75" customHeight="1">
      <c r="A456" s="12" t="s">
        <v>820</v>
      </c>
      <c r="B456" s="10"/>
      <c r="C456" s="10"/>
    </row>
    <row r="457" spans="1:3" ht="15.75" customHeight="1">
      <c r="A457" s="12" t="s">
        <v>837</v>
      </c>
      <c r="B457" s="10"/>
      <c r="C457" s="10"/>
    </row>
    <row r="458" spans="1:3" ht="15.75" customHeight="1">
      <c r="A458" s="12" t="s">
        <v>852</v>
      </c>
      <c r="B458" s="10"/>
      <c r="C458" s="10"/>
    </row>
    <row r="459" spans="1:3" ht="15.75" customHeight="1">
      <c r="A459" s="12" t="s">
        <v>853</v>
      </c>
      <c r="B459" s="10"/>
      <c r="C459" s="10"/>
    </row>
    <row r="460" spans="1:3" ht="15.75" customHeight="1">
      <c r="A460" s="12" t="s">
        <v>835</v>
      </c>
      <c r="B460" s="10"/>
      <c r="C460" s="10"/>
    </row>
    <row r="461" spans="1:3" ht="15.75" customHeight="1">
      <c r="A461" s="12" t="s">
        <v>832</v>
      </c>
      <c r="B461" s="10"/>
      <c r="C461" s="10"/>
    </row>
    <row r="462" spans="1:3" ht="15.75" customHeight="1">
      <c r="A462" s="12" t="s">
        <v>824</v>
      </c>
      <c r="B462" s="10"/>
      <c r="C462" s="10"/>
    </row>
    <row r="463" spans="1:3" ht="15.75" customHeight="1">
      <c r="A463" s="12" t="s">
        <v>849</v>
      </c>
      <c r="B463" s="10"/>
      <c r="C463" s="10"/>
    </row>
    <row r="464" spans="1:3" ht="15.75" customHeight="1">
      <c r="A464" s="12" t="s">
        <v>828</v>
      </c>
      <c r="B464" s="10"/>
      <c r="C464" s="10"/>
    </row>
    <row r="465" spans="1:3" ht="15.75" customHeight="1">
      <c r="A465" s="12" t="s">
        <v>839</v>
      </c>
      <c r="B465" s="10"/>
      <c r="C465" s="10"/>
    </row>
    <row r="466" spans="1:3" ht="15.75" customHeight="1">
      <c r="A466" s="12" t="s">
        <v>818</v>
      </c>
      <c r="B466" s="10"/>
      <c r="C466" s="10"/>
    </row>
    <row r="467" spans="1:3" ht="15.75" customHeight="1">
      <c r="A467" s="12" t="s">
        <v>846</v>
      </c>
      <c r="B467" s="10"/>
      <c r="C467" s="10"/>
    </row>
    <row r="468" spans="1:3" ht="15.75" customHeight="1">
      <c r="A468" s="12" t="s">
        <v>829</v>
      </c>
      <c r="B468" s="10"/>
      <c r="C468" s="10"/>
    </row>
    <row r="469" spans="1:3" ht="15.75" customHeight="1">
      <c r="A469" s="12" t="s">
        <v>844</v>
      </c>
      <c r="B469" s="10"/>
      <c r="C469" s="10"/>
    </row>
    <row r="470" spans="1:3" ht="15.75" customHeight="1">
      <c r="A470" s="12" t="s">
        <v>825</v>
      </c>
      <c r="B470" s="10"/>
      <c r="C470" s="10"/>
    </row>
    <row r="471" spans="1:3" ht="15.75" customHeight="1">
      <c r="A471" s="12" t="s">
        <v>831</v>
      </c>
      <c r="B471" s="10"/>
      <c r="C471" s="10"/>
    </row>
    <row r="472" spans="1:3" ht="15.75" customHeight="1">
      <c r="A472" s="12" t="s">
        <v>837</v>
      </c>
      <c r="B472" s="10"/>
      <c r="C472" s="10"/>
    </row>
    <row r="473" spans="1:3" ht="15.75" customHeight="1">
      <c r="A473" s="12" t="s">
        <v>830</v>
      </c>
      <c r="B473" s="10"/>
      <c r="C473" s="10"/>
    </row>
    <row r="474" spans="1:3" ht="15.75" customHeight="1">
      <c r="A474" s="12" t="s">
        <v>840</v>
      </c>
      <c r="B474" s="10"/>
      <c r="C474" s="10"/>
    </row>
    <row r="475" spans="1:3" ht="15.75" customHeight="1">
      <c r="A475" s="12" t="s">
        <v>853</v>
      </c>
      <c r="B475" s="10"/>
      <c r="C475" s="10"/>
    </row>
    <row r="476" spans="1:3" ht="15.75" customHeight="1">
      <c r="A476" s="12" t="s">
        <v>851</v>
      </c>
      <c r="B476" s="10"/>
      <c r="C476" s="10"/>
    </row>
    <row r="477" spans="1:3" ht="15.75" customHeight="1">
      <c r="A477" s="12" t="s">
        <v>851</v>
      </c>
      <c r="B477" s="10"/>
      <c r="C477" s="10"/>
    </row>
    <row r="478" spans="1:3" ht="15.75" customHeight="1">
      <c r="A478" s="12" t="s">
        <v>827</v>
      </c>
      <c r="B478" s="10"/>
      <c r="C478" s="10"/>
    </row>
    <row r="479" spans="1:3" ht="15.75" customHeight="1">
      <c r="A479" s="12" t="s">
        <v>827</v>
      </c>
      <c r="B479" s="10"/>
      <c r="C479" s="10"/>
    </row>
    <row r="480" spans="1:3" ht="15.75" customHeight="1">
      <c r="A480" s="12" t="s">
        <v>837</v>
      </c>
      <c r="B480" s="10"/>
      <c r="C480" s="10"/>
    </row>
    <row r="481" spans="1:3" ht="15.75" customHeight="1">
      <c r="A481" s="12" t="s">
        <v>827</v>
      </c>
      <c r="B481" s="10"/>
      <c r="C481" s="10"/>
    </row>
    <row r="482" spans="1:3" ht="15.75" customHeight="1">
      <c r="A482" s="12" t="s">
        <v>820</v>
      </c>
      <c r="B482" s="10"/>
      <c r="C482" s="10"/>
    </row>
    <row r="483" spans="1:3" ht="15.75" customHeight="1">
      <c r="A483" s="12" t="s">
        <v>837</v>
      </c>
      <c r="B483" s="10"/>
      <c r="C483" s="10"/>
    </row>
    <row r="484" spans="1:3" ht="15.75" customHeight="1">
      <c r="A484" s="12" t="s">
        <v>850</v>
      </c>
      <c r="B484" s="10"/>
      <c r="C484" s="10"/>
    </row>
    <row r="485" spans="1:3" ht="15.75" customHeight="1">
      <c r="A485" s="12" t="s">
        <v>837</v>
      </c>
      <c r="B485" s="10"/>
      <c r="C485" s="10"/>
    </row>
    <row r="486" spans="1:3" ht="15.75" customHeight="1">
      <c r="A486" s="12" t="s">
        <v>838</v>
      </c>
      <c r="B486" s="10"/>
      <c r="C486" s="10"/>
    </row>
    <row r="487" spans="1:3" ht="15.75" customHeight="1">
      <c r="A487" s="12" t="s">
        <v>851</v>
      </c>
      <c r="B487" s="10"/>
      <c r="C487" s="10"/>
    </row>
    <row r="488" spans="1:3" ht="15.75" customHeight="1">
      <c r="A488" s="12" t="s">
        <v>845</v>
      </c>
      <c r="B488" s="10"/>
      <c r="C488" s="10"/>
    </row>
    <row r="489" spans="1:3" ht="15.75" customHeight="1">
      <c r="A489" s="12" t="s">
        <v>834</v>
      </c>
      <c r="B489" s="10"/>
      <c r="C489" s="10"/>
    </row>
    <row r="490" spans="1:3" ht="15.75" customHeight="1">
      <c r="A490" s="12" t="s">
        <v>853</v>
      </c>
      <c r="B490" s="10"/>
      <c r="C490" s="10"/>
    </row>
    <row r="491" spans="1:3" ht="15.75" customHeight="1">
      <c r="A491" s="12" t="s">
        <v>837</v>
      </c>
      <c r="B491" s="10"/>
      <c r="C491" s="10"/>
    </row>
    <row r="492" spans="1:3" ht="15.75" customHeight="1">
      <c r="A492" s="12" t="s">
        <v>836</v>
      </c>
      <c r="B492" s="10"/>
      <c r="C492" s="10"/>
    </row>
    <row r="493" spans="1:3" ht="15.75" customHeight="1">
      <c r="A493" s="12" t="s">
        <v>826</v>
      </c>
      <c r="B493" s="10"/>
      <c r="C493" s="10"/>
    </row>
    <row r="494" spans="1:3" ht="15.75" customHeight="1">
      <c r="A494" s="12" t="s">
        <v>849</v>
      </c>
      <c r="B494" s="10"/>
      <c r="C494" s="10"/>
    </row>
    <row r="495" spans="1:3" ht="15.75" customHeight="1">
      <c r="A495" s="12" t="s">
        <v>838</v>
      </c>
      <c r="B495" s="10"/>
      <c r="C495" s="10"/>
    </row>
    <row r="496" spans="1:3" ht="15.75" customHeight="1">
      <c r="A496" s="12" t="s">
        <v>836</v>
      </c>
      <c r="B496" s="10"/>
      <c r="C496" s="10"/>
    </row>
    <row r="497" spans="1:3" ht="15.75" customHeight="1">
      <c r="A497" s="12" t="s">
        <v>820</v>
      </c>
      <c r="B497" s="10"/>
      <c r="C497" s="10"/>
    </row>
    <row r="498" spans="1:3" ht="15.75" customHeight="1">
      <c r="A498" s="12" t="s">
        <v>837</v>
      </c>
      <c r="B498" s="10"/>
      <c r="C498" s="10"/>
    </row>
    <row r="499" spans="1:3" ht="15.75" customHeight="1">
      <c r="A499" s="12" t="s">
        <v>824</v>
      </c>
      <c r="B499" s="10"/>
      <c r="C499" s="10"/>
    </row>
    <row r="500" spans="1:3" ht="15.75" customHeight="1">
      <c r="A500" s="12" t="s">
        <v>826</v>
      </c>
      <c r="B500" s="10"/>
      <c r="C500" s="10"/>
    </row>
    <row r="501" spans="1:3" ht="15.75" customHeight="1">
      <c r="A501" s="12" t="s">
        <v>839</v>
      </c>
      <c r="B501" s="10"/>
      <c r="C501" s="10"/>
    </row>
    <row r="502" spans="1:3" ht="15.75" customHeight="1">
      <c r="A502" s="12" t="s">
        <v>851</v>
      </c>
      <c r="B502" s="10"/>
      <c r="C502" s="10"/>
    </row>
    <row r="503" spans="1:3" ht="15.75" customHeight="1">
      <c r="A503" s="12" t="s">
        <v>847</v>
      </c>
      <c r="B503" s="10"/>
      <c r="C503" s="10"/>
    </row>
    <row r="504" spans="1:3" ht="15.75" customHeight="1">
      <c r="A504" s="12" t="s">
        <v>837</v>
      </c>
      <c r="B504" s="10"/>
      <c r="C504" s="10"/>
    </row>
    <row r="505" spans="1:3" ht="15.75" customHeight="1">
      <c r="A505" s="12" t="s">
        <v>837</v>
      </c>
      <c r="B505" s="10"/>
      <c r="C505" s="10"/>
    </row>
    <row r="506" spans="1:3" ht="15.75" customHeight="1">
      <c r="A506" s="12" t="s">
        <v>837</v>
      </c>
      <c r="B506" s="10"/>
      <c r="C506" s="10"/>
    </row>
    <row r="507" spans="1:3" ht="15.75" customHeight="1">
      <c r="A507" s="12" t="s">
        <v>829</v>
      </c>
      <c r="B507" s="10"/>
      <c r="C507" s="10"/>
    </row>
    <row r="508" spans="1:3" ht="15.75" customHeight="1">
      <c r="A508" s="12" t="s">
        <v>853</v>
      </c>
      <c r="B508" s="10"/>
      <c r="C508" s="10"/>
    </row>
    <row r="509" spans="1:3" ht="15.75" customHeight="1">
      <c r="A509" s="12" t="s">
        <v>825</v>
      </c>
      <c r="B509" s="10"/>
      <c r="C509" s="10"/>
    </row>
    <row r="510" spans="1:3" ht="15.75" customHeight="1">
      <c r="A510" s="12" t="s">
        <v>827</v>
      </c>
      <c r="B510" s="10"/>
      <c r="C510" s="10"/>
    </row>
    <row r="511" spans="1:3" ht="15.75" customHeight="1">
      <c r="A511" s="12" t="s">
        <v>847</v>
      </c>
      <c r="B511" s="10"/>
      <c r="C511" s="10"/>
    </row>
    <row r="512" spans="1:3" ht="15.75" customHeight="1">
      <c r="A512" s="12" t="s">
        <v>831</v>
      </c>
      <c r="B512" s="10"/>
      <c r="C512" s="10"/>
    </row>
    <row r="513" spans="1:3" ht="15.75" customHeight="1">
      <c r="A513" s="12" t="s">
        <v>824</v>
      </c>
      <c r="B513" s="10"/>
      <c r="C513" s="10"/>
    </row>
    <row r="514" spans="1:3" ht="15.75" customHeight="1">
      <c r="A514" s="12" t="s">
        <v>837</v>
      </c>
      <c r="B514" s="10"/>
      <c r="C514" s="10"/>
    </row>
    <row r="515" spans="1:3" ht="15.75" customHeight="1">
      <c r="A515" s="12" t="s">
        <v>846</v>
      </c>
      <c r="B515" s="10"/>
      <c r="C515" s="10"/>
    </row>
    <row r="516" spans="1:3" ht="15.75" customHeight="1">
      <c r="A516" s="12" t="s">
        <v>834</v>
      </c>
      <c r="B516" s="10"/>
      <c r="C516" s="10"/>
    </row>
    <row r="517" spans="1:3" ht="15.75" customHeight="1">
      <c r="A517" s="12" t="s">
        <v>842</v>
      </c>
      <c r="B517" s="10"/>
      <c r="C517" s="10"/>
    </row>
    <row r="518" spans="1:3" ht="15.75" customHeight="1">
      <c r="A518" s="12" t="s">
        <v>824</v>
      </c>
      <c r="B518" s="10"/>
      <c r="C518" s="10"/>
    </row>
    <row r="519" spans="1:3" ht="15.75" customHeight="1">
      <c r="A519" s="12" t="s">
        <v>852</v>
      </c>
      <c r="B519" s="10"/>
      <c r="C519" s="10"/>
    </row>
    <row r="520" spans="1:3" ht="15.75" customHeight="1">
      <c r="A520" s="12" t="s">
        <v>829</v>
      </c>
      <c r="B520" s="10"/>
      <c r="C520" s="10"/>
    </row>
    <row r="521" spans="1:3" ht="15.75" customHeight="1">
      <c r="A521" s="12" t="s">
        <v>837</v>
      </c>
      <c r="B521" s="10"/>
      <c r="C521" s="10"/>
    </row>
    <row r="522" spans="1:3" ht="15.75" customHeight="1">
      <c r="A522" s="12" t="s">
        <v>836</v>
      </c>
      <c r="B522" s="10"/>
      <c r="C522" s="10"/>
    </row>
    <row r="523" spans="1:3" ht="15.75" customHeight="1">
      <c r="A523" s="12" t="s">
        <v>845</v>
      </c>
      <c r="B523" s="10"/>
      <c r="C523" s="10"/>
    </row>
    <row r="524" spans="1:3" ht="15.75" customHeight="1">
      <c r="A524" s="12" t="s">
        <v>847</v>
      </c>
      <c r="B524" s="10"/>
      <c r="C524" s="10"/>
    </row>
    <row r="525" spans="1:3" ht="15.75" customHeight="1">
      <c r="A525" s="12" t="s">
        <v>834</v>
      </c>
      <c r="B525" s="10"/>
      <c r="C525" s="10"/>
    </row>
    <row r="526" spans="1:3" ht="15.75" customHeight="1">
      <c r="A526" s="12" t="s">
        <v>832</v>
      </c>
      <c r="B526" s="10"/>
      <c r="C526" s="10"/>
    </row>
    <row r="527" spans="1:3" ht="15.75" customHeight="1">
      <c r="A527" s="12" t="s">
        <v>826</v>
      </c>
      <c r="B527" s="10"/>
      <c r="C527" s="10"/>
    </row>
    <row r="528" spans="1:3" ht="15.75" customHeight="1">
      <c r="A528" s="12" t="s">
        <v>820</v>
      </c>
      <c r="B528" s="10"/>
      <c r="C528" s="10"/>
    </row>
    <row r="529" spans="1:3" ht="15.75" customHeight="1">
      <c r="A529" s="12" t="s">
        <v>844</v>
      </c>
      <c r="B529" s="10"/>
      <c r="C529" s="10"/>
    </row>
    <row r="530" spans="1:3" ht="15.75" customHeight="1">
      <c r="A530" s="12" t="s">
        <v>837</v>
      </c>
      <c r="B530" s="10"/>
      <c r="C530" s="10"/>
    </row>
    <row r="531" spans="1:3" ht="15.75" customHeight="1">
      <c r="A531" s="12" t="s">
        <v>852</v>
      </c>
      <c r="B531" s="10"/>
      <c r="C531" s="10"/>
    </row>
    <row r="532" spans="1:3" ht="15.75" customHeight="1">
      <c r="A532" s="12" t="s">
        <v>847</v>
      </c>
      <c r="B532" s="10"/>
      <c r="C532" s="10"/>
    </row>
    <row r="533" spans="1:3" ht="15.75" customHeight="1">
      <c r="A533" s="12" t="s">
        <v>830</v>
      </c>
      <c r="B533" s="10"/>
      <c r="C533" s="10"/>
    </row>
    <row r="534" spans="1:3" ht="15.75" customHeight="1">
      <c r="A534" s="12" t="s">
        <v>851</v>
      </c>
      <c r="B534" s="10"/>
      <c r="C534" s="10"/>
    </row>
    <row r="535" spans="1:3" ht="15.75" customHeight="1">
      <c r="A535" s="12" t="s">
        <v>849</v>
      </c>
      <c r="B535" s="10"/>
      <c r="C535" s="10"/>
    </row>
    <row r="536" spans="1:3" ht="15.75" customHeight="1">
      <c r="A536" s="12" t="s">
        <v>839</v>
      </c>
      <c r="B536" s="10"/>
      <c r="C536" s="10"/>
    </row>
    <row r="537" spans="1:3" ht="15.75" customHeight="1">
      <c r="A537" s="12" t="s">
        <v>835</v>
      </c>
      <c r="B537" s="10"/>
      <c r="C537" s="10"/>
    </row>
    <row r="538" spans="1:3" ht="15.75" customHeight="1">
      <c r="A538" s="12" t="s">
        <v>834</v>
      </c>
      <c r="B538" s="10"/>
      <c r="C538" s="10"/>
    </row>
    <row r="539" spans="1:3" ht="15.75" customHeight="1">
      <c r="A539" s="12" t="s">
        <v>840</v>
      </c>
      <c r="B539" s="10"/>
      <c r="C539" s="10"/>
    </row>
    <row r="540" spans="1:3" ht="15.75" customHeight="1">
      <c r="A540" s="12" t="s">
        <v>824</v>
      </c>
      <c r="B540" s="10"/>
      <c r="C540" s="10"/>
    </row>
    <row r="541" spans="1:3" ht="15.75" customHeight="1">
      <c r="A541" s="12" t="s">
        <v>837</v>
      </c>
      <c r="B541" s="10"/>
      <c r="C541" s="10"/>
    </row>
    <row r="542" spans="1:3" ht="15.75" customHeight="1">
      <c r="A542" s="12" t="s">
        <v>832</v>
      </c>
      <c r="B542" s="10"/>
      <c r="C542" s="10"/>
    </row>
    <row r="543" spans="1:3" ht="15.75" customHeight="1">
      <c r="A543" s="12" t="s">
        <v>848</v>
      </c>
      <c r="B543" s="10"/>
      <c r="C543" s="10"/>
    </row>
    <row r="544" spans="1:3" ht="15.75" customHeight="1">
      <c r="A544" s="12" t="s">
        <v>825</v>
      </c>
      <c r="B544" s="10"/>
      <c r="C544" s="10"/>
    </row>
    <row r="545" spans="1:3" ht="15.75" customHeight="1">
      <c r="A545" s="12" t="s">
        <v>826</v>
      </c>
      <c r="B545" s="10"/>
      <c r="C545" s="10"/>
    </row>
    <row r="546" spans="1:3" ht="15.75" customHeight="1">
      <c r="A546" s="12" t="s">
        <v>837</v>
      </c>
      <c r="B546" s="10"/>
      <c r="C546" s="10"/>
    </row>
    <row r="547" spans="1:3" ht="15.75" customHeight="1">
      <c r="A547" s="12" t="s">
        <v>850</v>
      </c>
      <c r="B547" s="10"/>
      <c r="C547" s="10"/>
    </row>
    <row r="548" spans="1:3" ht="15.75" customHeight="1">
      <c r="A548" s="12" t="s">
        <v>833</v>
      </c>
      <c r="B548" s="10"/>
      <c r="C548" s="10"/>
    </row>
    <row r="549" spans="1:3" ht="15.75" customHeight="1">
      <c r="A549" s="12" t="s">
        <v>837</v>
      </c>
      <c r="B549" s="10"/>
      <c r="C549" s="10"/>
    </row>
    <row r="550" spans="1:3" ht="15.75" customHeight="1">
      <c r="A550" s="12" t="s">
        <v>821</v>
      </c>
      <c r="B550" s="10"/>
      <c r="C550" s="10"/>
    </row>
    <row r="551" spans="1:3" ht="15.75" customHeight="1">
      <c r="A551" s="12" t="s">
        <v>846</v>
      </c>
      <c r="B551" s="10"/>
      <c r="C551" s="10"/>
    </row>
    <row r="552" spans="1:3" ht="15.75" customHeight="1">
      <c r="A552" s="12" t="s">
        <v>849</v>
      </c>
      <c r="B552" s="10"/>
      <c r="C552" s="10"/>
    </row>
    <row r="553" spans="1:3" ht="15.75" customHeight="1">
      <c r="A553" s="12" t="s">
        <v>837</v>
      </c>
      <c r="B553" s="10"/>
      <c r="C553" s="10"/>
    </row>
    <row r="554" spans="1:3" ht="15.75" customHeight="1">
      <c r="A554" s="12" t="s">
        <v>843</v>
      </c>
      <c r="B554" s="10"/>
      <c r="C554" s="10"/>
    </row>
    <row r="555" spans="1:3" ht="15.75" customHeight="1">
      <c r="A555" s="12" t="s">
        <v>822</v>
      </c>
      <c r="B555" s="10"/>
      <c r="C555" s="10"/>
    </row>
    <row r="556" spans="1:3" ht="15.75" customHeight="1">
      <c r="A556" s="12" t="s">
        <v>837</v>
      </c>
      <c r="B556" s="10"/>
      <c r="C556" s="10"/>
    </row>
    <row r="557" spans="1:3" ht="15.75" customHeight="1">
      <c r="A557" s="12" t="s">
        <v>836</v>
      </c>
      <c r="B557" s="10"/>
      <c r="C557" s="10"/>
    </row>
    <row r="558" spans="1:3" ht="15.75" customHeight="1">
      <c r="A558" s="12" t="s">
        <v>844</v>
      </c>
      <c r="B558" s="10"/>
      <c r="C558" s="10"/>
    </row>
    <row r="559" spans="1:3" ht="15.75" customHeight="1">
      <c r="A559" s="12" t="s">
        <v>837</v>
      </c>
      <c r="B559" s="10"/>
      <c r="C559" s="10"/>
    </row>
    <row r="560" spans="1:3" ht="15.75" customHeight="1">
      <c r="A560" s="12" t="s">
        <v>838</v>
      </c>
      <c r="B560" s="10"/>
      <c r="C560" s="10"/>
    </row>
    <row r="561" spans="1:3" ht="15.75" customHeight="1">
      <c r="A561" s="12" t="s">
        <v>825</v>
      </c>
      <c r="B561" s="10"/>
      <c r="C561" s="10"/>
    </row>
    <row r="562" spans="1:3" ht="15.75" customHeight="1">
      <c r="A562" s="12" t="s">
        <v>841</v>
      </c>
      <c r="B562" s="10"/>
      <c r="C562" s="10"/>
    </row>
    <row r="563" spans="1:3" ht="15.75" customHeight="1">
      <c r="A563" s="12" t="s">
        <v>852</v>
      </c>
      <c r="B563" s="10"/>
      <c r="C563" s="10"/>
    </row>
    <row r="564" spans="1:3" ht="15.75" customHeight="1">
      <c r="A564" s="12" t="s">
        <v>850</v>
      </c>
      <c r="B564" s="10"/>
      <c r="C564" s="10"/>
    </row>
    <row r="565" spans="1:3" ht="15.75" customHeight="1">
      <c r="A565" s="12" t="s">
        <v>826</v>
      </c>
      <c r="B565" s="10"/>
      <c r="C565" s="10"/>
    </row>
    <row r="566" spans="1:3" ht="15.75" customHeight="1">
      <c r="A566" s="12" t="s">
        <v>846</v>
      </c>
      <c r="B566" s="10"/>
      <c r="C566" s="10"/>
    </row>
    <row r="567" spans="1:3" ht="15.75" customHeight="1">
      <c r="A567" s="12" t="s">
        <v>826</v>
      </c>
      <c r="B567" s="10"/>
      <c r="C567" s="10"/>
    </row>
    <row r="568" spans="1:3" ht="15.75" customHeight="1">
      <c r="A568" s="12" t="s">
        <v>837</v>
      </c>
      <c r="B568" s="10"/>
      <c r="C568" s="10"/>
    </row>
    <row r="569" spans="1:3" ht="15.75" customHeight="1">
      <c r="A569" s="12" t="s">
        <v>840</v>
      </c>
      <c r="B569" s="10"/>
      <c r="C569" s="10"/>
    </row>
    <row r="570" spans="1:3" ht="15.75" customHeight="1">
      <c r="A570" s="12" t="s">
        <v>818</v>
      </c>
      <c r="B570" s="10"/>
      <c r="C570" s="10"/>
    </row>
    <row r="571" spans="1:3" ht="15.75" customHeight="1">
      <c r="A571" s="12" t="s">
        <v>851</v>
      </c>
      <c r="B571" s="10"/>
      <c r="C571" s="10"/>
    </row>
    <row r="572" spans="1:3" ht="15.75" customHeight="1">
      <c r="A572" s="12" t="s">
        <v>847</v>
      </c>
      <c r="B572" s="10"/>
      <c r="C572" s="10"/>
    </row>
    <row r="573" spans="1:3" ht="15.75" customHeight="1">
      <c r="A573" s="12" t="s">
        <v>837</v>
      </c>
      <c r="B573" s="10"/>
      <c r="C573" s="10"/>
    </row>
    <row r="574" spans="1:3" ht="15.75" customHeight="1">
      <c r="A574" s="12" t="s">
        <v>830</v>
      </c>
      <c r="B574" s="10"/>
      <c r="C574" s="10"/>
    </row>
    <row r="575" spans="1:3" ht="15.75" customHeight="1">
      <c r="A575" s="12" t="s">
        <v>828</v>
      </c>
      <c r="B575" s="10"/>
      <c r="C575" s="10"/>
    </row>
    <row r="576" spans="1:3" ht="15.75" customHeight="1">
      <c r="A576" s="12" t="s">
        <v>841</v>
      </c>
      <c r="B576" s="10"/>
      <c r="C576" s="10"/>
    </row>
    <row r="577" spans="1:3" ht="15.75" customHeight="1">
      <c r="A577" s="12" t="s">
        <v>824</v>
      </c>
      <c r="B577" s="10"/>
      <c r="C577" s="10"/>
    </row>
    <row r="578" spans="1:3" ht="15.75" customHeight="1">
      <c r="A578" s="12" t="s">
        <v>834</v>
      </c>
      <c r="B578" s="10"/>
      <c r="C578" s="10"/>
    </row>
    <row r="579" spans="1:3" ht="15.75" customHeight="1">
      <c r="A579" s="12" t="s">
        <v>838</v>
      </c>
      <c r="B579" s="10"/>
      <c r="C579" s="10"/>
    </row>
    <row r="580" spans="1:3" ht="15.75" customHeight="1">
      <c r="A580" s="12" t="s">
        <v>837</v>
      </c>
      <c r="B580" s="10"/>
      <c r="C580" s="10"/>
    </row>
    <row r="581" spans="1:3" ht="15.75" customHeight="1">
      <c r="A581" s="12" t="s">
        <v>846</v>
      </c>
      <c r="B581" s="10"/>
      <c r="C581" s="10"/>
    </row>
    <row r="582" spans="1:3" ht="15.75" customHeight="1">
      <c r="A582" s="12" t="s">
        <v>827</v>
      </c>
      <c r="B582" s="10"/>
      <c r="C582" s="10"/>
    </row>
    <row r="583" spans="1:3" ht="15.75" customHeight="1">
      <c r="A583" s="12" t="s">
        <v>836</v>
      </c>
      <c r="B583" s="10"/>
      <c r="C583" s="10"/>
    </row>
    <row r="584" spans="1:3" ht="15.75" customHeight="1">
      <c r="A584" s="12" t="s">
        <v>829</v>
      </c>
      <c r="B584" s="10"/>
      <c r="C584" s="10"/>
    </row>
    <row r="585" spans="1:3" ht="15.75" customHeight="1">
      <c r="A585" s="12" t="s">
        <v>837</v>
      </c>
      <c r="B585" s="10"/>
      <c r="C585" s="10"/>
    </row>
    <row r="586" spans="1:3" ht="15.75" customHeight="1">
      <c r="A586" s="12" t="s">
        <v>844</v>
      </c>
      <c r="B586" s="10"/>
      <c r="C586" s="10"/>
    </row>
    <row r="587" spans="1:3" ht="15.75" customHeight="1">
      <c r="A587" s="12" t="s">
        <v>826</v>
      </c>
      <c r="B587" s="10"/>
      <c r="C587" s="10"/>
    </row>
    <row r="588" spans="1:3" ht="15.75" customHeight="1">
      <c r="A588" s="12" t="s">
        <v>840</v>
      </c>
      <c r="B588" s="10"/>
      <c r="C588" s="10"/>
    </row>
    <row r="589" spans="1:3" ht="15.75" customHeight="1">
      <c r="A589" s="12" t="s">
        <v>825</v>
      </c>
      <c r="B589" s="10"/>
      <c r="C589" s="10"/>
    </row>
    <row r="590" spans="1:3" ht="15.75" customHeight="1">
      <c r="A590" s="12" t="s">
        <v>842</v>
      </c>
      <c r="B590" s="10"/>
      <c r="C590" s="10"/>
    </row>
    <row r="591" spans="1:3" ht="15.75" customHeight="1">
      <c r="A591" s="12" t="s">
        <v>826</v>
      </c>
      <c r="B591" s="10"/>
      <c r="C591" s="10"/>
    </row>
    <row r="592" spans="1:3" ht="15.75" customHeight="1">
      <c r="A592" s="12" t="s">
        <v>845</v>
      </c>
      <c r="B592" s="10"/>
      <c r="C592" s="10"/>
    </row>
    <row r="593" spans="1:3" ht="15.75" customHeight="1">
      <c r="A593" s="12" t="s">
        <v>837</v>
      </c>
      <c r="B593" s="10"/>
      <c r="C593" s="10"/>
    </row>
    <row r="594" spans="1:3" ht="15.75" customHeight="1">
      <c r="A594" s="12" t="s">
        <v>837</v>
      </c>
      <c r="B594" s="10"/>
      <c r="C594" s="10"/>
    </row>
    <row r="595" spans="1:3" ht="15.75" customHeight="1">
      <c r="A595" s="12" t="s">
        <v>843</v>
      </c>
      <c r="B595" s="10"/>
      <c r="C595" s="10"/>
    </row>
    <row r="596" spans="1:3" ht="15.75" customHeight="1">
      <c r="A596" s="12" t="s">
        <v>818</v>
      </c>
      <c r="B596" s="10"/>
      <c r="C596" s="10"/>
    </row>
    <row r="597" spans="1:3" ht="15.75" customHeight="1">
      <c r="A597" s="12" t="s">
        <v>832</v>
      </c>
      <c r="B597" s="10"/>
      <c r="C597" s="10"/>
    </row>
    <row r="598" spans="1:3" ht="15.75" customHeight="1">
      <c r="A598" s="12" t="s">
        <v>832</v>
      </c>
      <c r="B598" s="10"/>
      <c r="C598" s="10"/>
    </row>
    <row r="599" spans="1:3" ht="15.75" customHeight="1">
      <c r="A599" s="12" t="s">
        <v>838</v>
      </c>
      <c r="B599" s="10"/>
      <c r="C599" s="10"/>
    </row>
    <row r="600" spans="1:3" ht="15.75" customHeight="1">
      <c r="A600" s="12" t="s">
        <v>847</v>
      </c>
      <c r="B600" s="10"/>
      <c r="C600" s="10"/>
    </row>
    <row r="601" spans="1:3" ht="15.75" customHeight="1">
      <c r="A601" s="12" t="s">
        <v>824</v>
      </c>
      <c r="B601" s="10"/>
      <c r="C601" s="10"/>
    </row>
    <row r="602" spans="1:3" ht="15.75" customHeight="1">
      <c r="A602" s="12" t="s">
        <v>849</v>
      </c>
      <c r="B602" s="10"/>
      <c r="C602" s="10"/>
    </row>
    <row r="603" spans="1:3" ht="15.75" customHeight="1">
      <c r="A603" s="12" t="s">
        <v>853</v>
      </c>
      <c r="B603" s="10"/>
      <c r="C603" s="10"/>
    </row>
    <row r="604" spans="1:3" ht="15.75" customHeight="1">
      <c r="A604" s="12" t="s">
        <v>843</v>
      </c>
      <c r="B604" s="10"/>
      <c r="C604" s="10"/>
    </row>
    <row r="605" spans="1:3" ht="15.75" customHeight="1">
      <c r="A605" s="12" t="s">
        <v>833</v>
      </c>
      <c r="B605" s="10"/>
      <c r="C605" s="10"/>
    </row>
    <row r="606" spans="1:3" ht="15.75" customHeight="1">
      <c r="A606" s="12" t="s">
        <v>829</v>
      </c>
      <c r="B606" s="10"/>
      <c r="C606" s="10"/>
    </row>
    <row r="607" spans="1:3" ht="15.75" customHeight="1">
      <c r="A607" s="12" t="s">
        <v>824</v>
      </c>
      <c r="B607" s="10"/>
      <c r="C607" s="10"/>
    </row>
    <row r="608" spans="1:3" ht="15.75" customHeight="1">
      <c r="A608" s="12" t="s">
        <v>852</v>
      </c>
      <c r="B608" s="10"/>
      <c r="C608" s="10"/>
    </row>
    <row r="609" spans="1:3" ht="15.75" customHeight="1">
      <c r="A609" s="12" t="s">
        <v>834</v>
      </c>
      <c r="B609" s="10"/>
      <c r="C609" s="10"/>
    </row>
    <row r="610" spans="1:3" ht="15.75" customHeight="1">
      <c r="A610" s="12" t="s">
        <v>837</v>
      </c>
      <c r="B610" s="10"/>
      <c r="C610" s="10"/>
    </row>
    <row r="611" spans="1:3" ht="15.75" customHeight="1">
      <c r="A611" s="12" t="s">
        <v>834</v>
      </c>
      <c r="B611" s="10"/>
      <c r="C611" s="10"/>
    </row>
    <row r="612" spans="1:3" ht="15.75" customHeight="1">
      <c r="A612" s="12" t="s">
        <v>827</v>
      </c>
      <c r="B612" s="10"/>
      <c r="C612" s="10"/>
    </row>
    <row r="613" spans="1:3" ht="15.75" customHeight="1">
      <c r="A613" s="12" t="s">
        <v>828</v>
      </c>
      <c r="B613" s="10"/>
      <c r="C613" s="10"/>
    </row>
    <row r="614" spans="1:3" ht="15.75" customHeight="1">
      <c r="A614" s="12" t="s">
        <v>827</v>
      </c>
      <c r="B614" s="10"/>
      <c r="C614" s="10"/>
    </row>
    <row r="615" spans="1:3" ht="15.75" customHeight="1">
      <c r="A615" s="12" t="s">
        <v>825</v>
      </c>
      <c r="B615" s="10"/>
      <c r="C615" s="10"/>
    </row>
    <row r="616" spans="1:3" ht="15.75" customHeight="1">
      <c r="A616" s="12" t="s">
        <v>831</v>
      </c>
      <c r="B616" s="10"/>
      <c r="C616" s="10"/>
    </row>
    <row r="617" spans="1:3" ht="15.75" customHeight="1">
      <c r="A617" s="12" t="s">
        <v>837</v>
      </c>
      <c r="B617" s="10"/>
      <c r="C617" s="10"/>
    </row>
    <row r="618" spans="1:3" ht="15.75" customHeight="1">
      <c r="A618" s="12" t="s">
        <v>838</v>
      </c>
      <c r="B618" s="10"/>
      <c r="C618" s="10"/>
    </row>
    <row r="619" spans="1:3" ht="15.75" customHeight="1">
      <c r="A619" s="12" t="s">
        <v>837</v>
      </c>
      <c r="B619" s="10"/>
      <c r="C619" s="10"/>
    </row>
    <row r="620" spans="1:3" ht="15.75" customHeight="1">
      <c r="A620" s="12" t="s">
        <v>849</v>
      </c>
      <c r="B620" s="10"/>
      <c r="C620" s="10"/>
    </row>
    <row r="621" spans="1:3" ht="15.75" customHeight="1">
      <c r="A621" s="12" t="s">
        <v>838</v>
      </c>
      <c r="B621" s="10"/>
      <c r="C621" s="10"/>
    </row>
    <row r="622" spans="1:3" ht="15.75" customHeight="1">
      <c r="A622" s="12" t="s">
        <v>838</v>
      </c>
      <c r="B622" s="10"/>
      <c r="C622" s="10"/>
    </row>
    <row r="623" spans="1:3" ht="15.75" customHeight="1">
      <c r="A623" s="12" t="s">
        <v>818</v>
      </c>
      <c r="B623" s="10"/>
      <c r="C623" s="10"/>
    </row>
    <row r="624" spans="1:3" ht="15.75" customHeight="1">
      <c r="A624" s="12" t="s">
        <v>837</v>
      </c>
      <c r="B624" s="10"/>
      <c r="C624" s="10"/>
    </row>
    <row r="625" spans="1:3" ht="15.75" customHeight="1">
      <c r="A625" s="12" t="s">
        <v>837</v>
      </c>
      <c r="B625" s="10"/>
      <c r="C625" s="10"/>
    </row>
    <row r="626" spans="1:3" ht="15.75" customHeight="1">
      <c r="A626" s="12" t="s">
        <v>837</v>
      </c>
      <c r="B626" s="10"/>
      <c r="C626" s="10"/>
    </row>
    <row r="627" spans="1:3" ht="15.75" customHeight="1">
      <c r="A627" s="12" t="s">
        <v>847</v>
      </c>
      <c r="B627" s="10"/>
      <c r="C627" s="10"/>
    </row>
    <row r="628" spans="1:3" ht="15.75" customHeight="1">
      <c r="A628" s="12" t="s">
        <v>846</v>
      </c>
      <c r="B628" s="10"/>
      <c r="C628" s="10"/>
    </row>
    <row r="629" spans="1:3" ht="15.75" customHeight="1">
      <c r="A629" s="12" t="s">
        <v>843</v>
      </c>
      <c r="B629" s="10"/>
      <c r="C629" s="10"/>
    </row>
    <row r="630" spans="1:3" ht="15.75" customHeight="1">
      <c r="A630" s="12" t="s">
        <v>840</v>
      </c>
      <c r="B630" s="10"/>
      <c r="C630" s="10"/>
    </row>
    <row r="631" spans="1:3" ht="15.75" customHeight="1">
      <c r="A631" s="12" t="s">
        <v>839</v>
      </c>
      <c r="B631" s="10"/>
      <c r="C631" s="10"/>
    </row>
    <row r="632" spans="1:3" ht="15.75" customHeight="1">
      <c r="A632" s="12" t="s">
        <v>836</v>
      </c>
      <c r="B632" s="10"/>
      <c r="C632" s="10"/>
    </row>
    <row r="633" spans="1:3" ht="15.75" customHeight="1">
      <c r="A633" s="12" t="s">
        <v>837</v>
      </c>
      <c r="B633" s="10"/>
      <c r="C633" s="10"/>
    </row>
    <row r="634" spans="1:3" ht="15.75" customHeight="1">
      <c r="A634" s="12" t="s">
        <v>831</v>
      </c>
      <c r="B634" s="10"/>
      <c r="C634" s="10"/>
    </row>
    <row r="635" spans="1:3" ht="15.75" customHeight="1">
      <c r="A635" s="12" t="s">
        <v>831</v>
      </c>
      <c r="B635" s="10"/>
      <c r="C635" s="10"/>
    </row>
    <row r="636" spans="1:3" ht="15.75" customHeight="1">
      <c r="A636" s="12" t="s">
        <v>837</v>
      </c>
      <c r="B636" s="10"/>
      <c r="C636" s="10"/>
    </row>
    <row r="637" spans="1:3" ht="15.75" customHeight="1">
      <c r="A637" s="12" t="s">
        <v>848</v>
      </c>
      <c r="B637" s="10"/>
      <c r="C637" s="10"/>
    </row>
    <row r="638" spans="1:3" ht="15.75" customHeight="1">
      <c r="A638" s="12" t="s">
        <v>841</v>
      </c>
      <c r="B638" s="10"/>
      <c r="C638" s="10"/>
    </row>
    <row r="639" spans="1:3" ht="15.75" customHeight="1">
      <c r="A639" s="12" t="s">
        <v>842</v>
      </c>
      <c r="B639" s="10"/>
      <c r="C639" s="10"/>
    </row>
    <row r="640" spans="1:3" ht="15.75" customHeight="1">
      <c r="A640" s="12" t="s">
        <v>825</v>
      </c>
      <c r="B640" s="10"/>
      <c r="C640" s="10"/>
    </row>
    <row r="641" spans="1:3" ht="15.75" customHeight="1">
      <c r="A641" s="12" t="s">
        <v>838</v>
      </c>
      <c r="B641" s="10"/>
      <c r="C641" s="10"/>
    </row>
    <row r="642" spans="1:3" ht="15.75" customHeight="1">
      <c r="A642" s="12" t="s">
        <v>850</v>
      </c>
      <c r="B642" s="10"/>
      <c r="C642" s="10"/>
    </row>
    <row r="643" spans="1:3" ht="15.75" customHeight="1">
      <c r="A643" s="12" t="s">
        <v>851</v>
      </c>
      <c r="B643" s="10"/>
      <c r="C643" s="10"/>
    </row>
    <row r="644" spans="1:3" ht="15.75" customHeight="1">
      <c r="A644" s="12" t="s">
        <v>826</v>
      </c>
      <c r="B644" s="10"/>
      <c r="C644" s="10"/>
    </row>
    <row r="645" spans="1:3" ht="15.75" customHeight="1">
      <c r="A645" s="12" t="s">
        <v>822</v>
      </c>
      <c r="B645" s="10"/>
      <c r="C645" s="10"/>
    </row>
    <row r="646" spans="1:3" ht="15.75" customHeight="1">
      <c r="A646" s="12" t="s">
        <v>838</v>
      </c>
      <c r="B646" s="10"/>
      <c r="C646" s="10"/>
    </row>
    <row r="647" spans="1:3" ht="15.75" customHeight="1">
      <c r="A647" s="12" t="s">
        <v>837</v>
      </c>
      <c r="B647" s="10"/>
      <c r="C647" s="10"/>
    </row>
    <row r="648" spans="1:3" ht="15.75" customHeight="1">
      <c r="A648" s="12" t="s">
        <v>832</v>
      </c>
      <c r="B648" s="10"/>
      <c r="C648" s="10"/>
    </row>
    <row r="649" spans="1:3" ht="15.75" customHeight="1">
      <c r="A649" s="12" t="s">
        <v>840</v>
      </c>
      <c r="B649" s="10"/>
      <c r="C649" s="10"/>
    </row>
    <row r="650" spans="1:3" ht="15.75" customHeight="1">
      <c r="A650" s="12" t="s">
        <v>837</v>
      </c>
      <c r="B650" s="10"/>
      <c r="C650" s="10"/>
    </row>
    <row r="651" spans="1:3" ht="15.75" customHeight="1">
      <c r="A651" s="12" t="s">
        <v>845</v>
      </c>
      <c r="B651" s="10"/>
      <c r="C651" s="10"/>
    </row>
    <row r="652" spans="1:3" ht="15.75" customHeight="1">
      <c r="A652" s="12" t="s">
        <v>830</v>
      </c>
      <c r="B652" s="10"/>
      <c r="C652" s="10"/>
    </row>
    <row r="653" spans="1:3" ht="15.75" customHeight="1">
      <c r="A653" s="12" t="s">
        <v>828</v>
      </c>
      <c r="B653" s="10"/>
      <c r="C653" s="10"/>
    </row>
    <row r="654" spans="1:3" ht="15.75" customHeight="1">
      <c r="A654" s="12" t="s">
        <v>823</v>
      </c>
      <c r="B654" s="10"/>
      <c r="C654" s="10"/>
    </row>
    <row r="655" spans="1:3" ht="15.75" customHeight="1">
      <c r="A655" s="12" t="s">
        <v>831</v>
      </c>
      <c r="B655" s="10"/>
      <c r="C655" s="10"/>
    </row>
    <row r="656" spans="1:3" ht="15.75" customHeight="1">
      <c r="A656" s="12" t="s">
        <v>837</v>
      </c>
      <c r="B656" s="10"/>
      <c r="C656" s="10"/>
    </row>
    <row r="657" spans="1:3" ht="15.75" customHeight="1">
      <c r="A657" s="12" t="s">
        <v>839</v>
      </c>
      <c r="B657" s="10"/>
      <c r="C657" s="10"/>
    </row>
    <row r="658" spans="1:3" ht="15.75" customHeight="1">
      <c r="A658" s="12" t="s">
        <v>826</v>
      </c>
      <c r="B658" s="10"/>
      <c r="C658" s="10"/>
    </row>
    <row r="659" spans="1:3" ht="15.75" customHeight="1">
      <c r="A659" s="12" t="s">
        <v>822</v>
      </c>
      <c r="B659" s="10"/>
      <c r="C659" s="10"/>
    </row>
    <row r="660" spans="1:3" ht="15.75" customHeight="1">
      <c r="A660" s="12" t="s">
        <v>853</v>
      </c>
      <c r="B660" s="10"/>
      <c r="C660" s="10"/>
    </row>
    <row r="661" spans="1:3" ht="15.75" customHeight="1">
      <c r="A661" s="12" t="s">
        <v>834</v>
      </c>
      <c r="B661" s="10"/>
      <c r="C661" s="10"/>
    </row>
    <row r="662" spans="1:3" ht="15.75" customHeight="1">
      <c r="A662" s="12" t="s">
        <v>837</v>
      </c>
      <c r="B662" s="10"/>
      <c r="C662" s="10"/>
    </row>
    <row r="663" spans="1:3" ht="15.75" customHeight="1">
      <c r="A663" s="12" t="s">
        <v>823</v>
      </c>
      <c r="B663" s="10"/>
      <c r="C663" s="10"/>
    </row>
    <row r="664" spans="1:3" ht="15.75" customHeight="1">
      <c r="A664" s="12" t="s">
        <v>826</v>
      </c>
      <c r="B664" s="10"/>
      <c r="C664" s="10"/>
    </row>
    <row r="665" spans="1:3" ht="15.75" customHeight="1">
      <c r="A665" s="12" t="s">
        <v>846</v>
      </c>
      <c r="B665" s="10"/>
      <c r="C665" s="10"/>
    </row>
    <row r="666" spans="1:3" ht="15.75" customHeight="1">
      <c r="A666" s="12" t="s">
        <v>834</v>
      </c>
      <c r="B666" s="10"/>
      <c r="C666" s="10"/>
    </row>
    <row r="667" spans="1:3" ht="15.75" customHeight="1">
      <c r="A667" s="12" t="s">
        <v>827</v>
      </c>
      <c r="B667" s="10"/>
      <c r="C667" s="10"/>
    </row>
    <row r="668" spans="1:3" ht="15.75" customHeight="1">
      <c r="A668" s="12" t="s">
        <v>820</v>
      </c>
      <c r="B668" s="10"/>
      <c r="C668" s="10"/>
    </row>
    <row r="669" spans="1:3" ht="15.75" customHeight="1">
      <c r="A669" s="12" t="s">
        <v>852</v>
      </c>
      <c r="B669" s="10"/>
      <c r="C669" s="10"/>
    </row>
    <row r="670" spans="1:3" ht="15.75" customHeight="1">
      <c r="A670" s="12" t="s">
        <v>829</v>
      </c>
      <c r="B670" s="10"/>
      <c r="C670" s="10"/>
    </row>
    <row r="671" spans="1:3" ht="15.75" customHeight="1">
      <c r="A671" s="12" t="s">
        <v>839</v>
      </c>
      <c r="B671" s="10"/>
      <c r="C671" s="10"/>
    </row>
    <row r="672" spans="1:3" ht="15.75" customHeight="1">
      <c r="A672" s="12" t="s">
        <v>853</v>
      </c>
      <c r="B672" s="10"/>
      <c r="C672" s="10"/>
    </row>
    <row r="673" spans="1:3" ht="15.75" customHeight="1">
      <c r="A673" s="12" t="s">
        <v>823</v>
      </c>
      <c r="B673" s="10"/>
      <c r="C673" s="10"/>
    </row>
    <row r="674" spans="1:3" ht="15.75" customHeight="1">
      <c r="A674" s="12" t="s">
        <v>820</v>
      </c>
      <c r="B674" s="10"/>
      <c r="C674" s="10"/>
    </row>
    <row r="675" spans="1:3" ht="15.75" customHeight="1">
      <c r="A675" s="12" t="s">
        <v>825</v>
      </c>
      <c r="B675" s="10"/>
      <c r="C675" s="10"/>
    </row>
    <row r="676" spans="1:3" ht="15.75" customHeight="1">
      <c r="A676" s="12" t="s">
        <v>851</v>
      </c>
      <c r="B676" s="10"/>
      <c r="C676" s="10"/>
    </row>
    <row r="677" spans="1:3" ht="15.75" customHeight="1">
      <c r="A677" s="12" t="s">
        <v>851</v>
      </c>
      <c r="B677" s="10"/>
      <c r="C677" s="10"/>
    </row>
    <row r="678" spans="1:3" ht="15.75" customHeight="1">
      <c r="A678" s="12" t="s">
        <v>844</v>
      </c>
      <c r="B678" s="10"/>
      <c r="C678" s="10"/>
    </row>
    <row r="679" spans="1:3" ht="15.75" customHeight="1">
      <c r="A679" s="12" t="s">
        <v>847</v>
      </c>
      <c r="B679" s="10"/>
      <c r="C679" s="10"/>
    </row>
    <row r="680" spans="1:3" ht="15.75" customHeight="1">
      <c r="A680" s="12" t="s">
        <v>837</v>
      </c>
      <c r="B680" s="10"/>
      <c r="C680" s="10"/>
    </row>
    <row r="681" spans="1:3" ht="15.75" customHeight="1">
      <c r="A681" s="12" t="s">
        <v>834</v>
      </c>
      <c r="B681" s="10"/>
      <c r="C681" s="10"/>
    </row>
    <row r="682" spans="1:3" ht="15.75" customHeight="1">
      <c r="A682" s="12" t="s">
        <v>837</v>
      </c>
      <c r="B682" s="10"/>
      <c r="C682" s="10"/>
    </row>
    <row r="683" spans="1:3" ht="15.75" customHeight="1">
      <c r="A683" s="12" t="s">
        <v>818</v>
      </c>
      <c r="B683" s="10"/>
      <c r="C683" s="10"/>
    </row>
    <row r="684" spans="1:3" ht="15.75" customHeight="1">
      <c r="A684" s="12" t="s">
        <v>852</v>
      </c>
      <c r="B684" s="10"/>
      <c r="C684" s="10"/>
    </row>
    <row r="685" spans="1:3" ht="15.75" customHeight="1">
      <c r="A685" s="12" t="s">
        <v>837</v>
      </c>
      <c r="B685" s="10"/>
      <c r="C685" s="10"/>
    </row>
    <row r="686" spans="1:3" ht="15.75" customHeight="1">
      <c r="A686" s="12" t="s">
        <v>834</v>
      </c>
      <c r="B686" s="10"/>
      <c r="C686" s="10"/>
    </row>
    <row r="687" spans="1:3" ht="15.75" customHeight="1">
      <c r="A687" s="12" t="s">
        <v>838</v>
      </c>
      <c r="B687" s="10"/>
      <c r="C687" s="10"/>
    </row>
    <row r="688" spans="1:3" ht="15.75" customHeight="1">
      <c r="A688" s="12" t="s">
        <v>832</v>
      </c>
      <c r="B688" s="10"/>
      <c r="C688" s="10"/>
    </row>
    <row r="689" spans="1:3" ht="15.75" customHeight="1">
      <c r="A689" s="12" t="s">
        <v>851</v>
      </c>
      <c r="B689" s="10"/>
      <c r="C689" s="10"/>
    </row>
    <row r="690" spans="1:3" ht="15.75" customHeight="1">
      <c r="A690" s="12" t="s">
        <v>852</v>
      </c>
      <c r="B690" s="10"/>
      <c r="C690" s="10"/>
    </row>
    <row r="691" spans="1:3" ht="15.75" customHeight="1">
      <c r="A691" s="12" t="s">
        <v>824</v>
      </c>
      <c r="B691" s="10"/>
      <c r="C691" s="10"/>
    </row>
    <row r="692" spans="1:3" ht="15.75" customHeight="1">
      <c r="A692" s="12" t="s">
        <v>824</v>
      </c>
      <c r="B692" s="10"/>
      <c r="C692" s="10"/>
    </row>
    <row r="693" spans="1:3" ht="15.75" customHeight="1">
      <c r="A693" s="12" t="s">
        <v>836</v>
      </c>
      <c r="B693" s="10"/>
      <c r="C693" s="10"/>
    </row>
    <row r="694" spans="1:3" ht="15.75" customHeight="1">
      <c r="A694" s="12" t="s">
        <v>844</v>
      </c>
      <c r="B694" s="10"/>
      <c r="C694" s="10"/>
    </row>
    <row r="695" spans="1:3" ht="15.75" customHeight="1">
      <c r="A695" s="12" t="s">
        <v>828</v>
      </c>
      <c r="B695" s="10"/>
      <c r="C695" s="10"/>
    </row>
    <row r="696" spans="1:3" ht="15.75" customHeight="1">
      <c r="A696" s="12" t="s">
        <v>848</v>
      </c>
      <c r="B696" s="10"/>
      <c r="C696" s="10"/>
    </row>
    <row r="697" spans="1:3" ht="15.75" customHeight="1">
      <c r="A697" s="12" t="s">
        <v>837</v>
      </c>
      <c r="B697" s="10"/>
      <c r="C697" s="10"/>
    </row>
    <row r="698" spans="1:3" ht="15.75" customHeight="1">
      <c r="A698" s="12" t="s">
        <v>825</v>
      </c>
      <c r="B698" s="10"/>
      <c r="C698" s="10"/>
    </row>
    <row r="699" spans="1:3" ht="15.75" customHeight="1">
      <c r="A699" s="12" t="s">
        <v>824</v>
      </c>
      <c r="B699" s="10"/>
      <c r="C699" s="10"/>
    </row>
    <row r="700" spans="1:3" ht="15.75" customHeight="1">
      <c r="A700" s="12" t="s">
        <v>849</v>
      </c>
      <c r="B700" s="10"/>
      <c r="C700" s="10"/>
    </row>
    <row r="701" spans="1:3" ht="15.75" customHeight="1">
      <c r="A701" s="12" t="s">
        <v>829</v>
      </c>
      <c r="B701" s="10"/>
      <c r="C701" s="10"/>
    </row>
    <row r="702" spans="1:3" ht="15.75" customHeight="1">
      <c r="A702" s="12" t="s">
        <v>821</v>
      </c>
      <c r="B702" s="10"/>
      <c r="C702" s="10"/>
    </row>
    <row r="703" spans="1:3" ht="15.75" customHeight="1">
      <c r="A703" s="12" t="s">
        <v>852</v>
      </c>
      <c r="B703" s="10"/>
      <c r="C703" s="10"/>
    </row>
    <row r="704" spans="1:3" ht="15.75" customHeight="1">
      <c r="A704" s="12" t="s">
        <v>837</v>
      </c>
      <c r="B704" s="10"/>
      <c r="C704" s="10"/>
    </row>
    <row r="705" spans="1:3" ht="15.75" customHeight="1">
      <c r="A705" s="12" t="s">
        <v>837</v>
      </c>
      <c r="B705" s="10"/>
      <c r="C705" s="10"/>
    </row>
    <row r="706" spans="1:3" ht="15.75" customHeight="1">
      <c r="A706" s="12" t="s">
        <v>824</v>
      </c>
      <c r="B706" s="10"/>
      <c r="C706" s="10"/>
    </row>
    <row r="707" spans="1:3" ht="15.75" customHeight="1">
      <c r="A707" s="12" t="s">
        <v>848</v>
      </c>
      <c r="B707" s="10"/>
      <c r="C707" s="10"/>
    </row>
    <row r="708" spans="1:3" ht="15.75" customHeight="1">
      <c r="A708" s="12" t="s">
        <v>824</v>
      </c>
      <c r="B708" s="10"/>
      <c r="C708" s="10"/>
    </row>
    <row r="709" spans="1:3" ht="15.75" customHeight="1">
      <c r="A709" s="12" t="s">
        <v>820</v>
      </c>
      <c r="B709" s="10"/>
      <c r="C709" s="10"/>
    </row>
    <row r="710" spans="1:3" ht="15.75" customHeight="1">
      <c r="A710" s="12" t="s">
        <v>851</v>
      </c>
      <c r="B710" s="10"/>
      <c r="C710" s="10"/>
    </row>
    <row r="711" spans="1:3" ht="15.75" customHeight="1">
      <c r="A711" s="12" t="s">
        <v>846</v>
      </c>
      <c r="B711" s="10"/>
      <c r="C711" s="10"/>
    </row>
    <row r="712" spans="1:3" ht="15.75" customHeight="1">
      <c r="A712" s="12" t="s">
        <v>820</v>
      </c>
      <c r="B712" s="10"/>
      <c r="C712" s="10"/>
    </row>
    <row r="713" spans="1:3" ht="15.75" customHeight="1">
      <c r="A713" s="12" t="s">
        <v>837</v>
      </c>
      <c r="B713" s="10"/>
      <c r="C713" s="10"/>
    </row>
    <row r="714" spans="1:3" ht="15.75" customHeight="1">
      <c r="A714" s="12" t="s">
        <v>818</v>
      </c>
      <c r="B714" s="10"/>
      <c r="C714" s="10"/>
    </row>
    <row r="715" spans="1:3" ht="15.75" customHeight="1">
      <c r="A715" s="12" t="s">
        <v>830</v>
      </c>
      <c r="B715" s="10"/>
      <c r="C715" s="10"/>
    </row>
    <row r="716" spans="1:3" ht="15.75" customHeight="1">
      <c r="A716" s="12" t="s">
        <v>847</v>
      </c>
      <c r="B716" s="10"/>
      <c r="C716" s="10"/>
    </row>
    <row r="717" spans="1:3" ht="15.75" customHeight="1">
      <c r="A717" s="12" t="s">
        <v>831</v>
      </c>
      <c r="B717" s="10"/>
      <c r="C717" s="10"/>
    </row>
    <row r="718" spans="1:3" ht="15.75" customHeight="1">
      <c r="A718" s="12" t="s">
        <v>829</v>
      </c>
      <c r="B718" s="10"/>
      <c r="C718" s="10"/>
    </row>
    <row r="719" spans="1:3" ht="15.75" customHeight="1">
      <c r="A719" s="12" t="s">
        <v>818</v>
      </c>
      <c r="B719" s="10"/>
      <c r="C719" s="10"/>
    </row>
    <row r="720" spans="1:3" ht="15.75" customHeight="1">
      <c r="A720" s="12" t="s">
        <v>826</v>
      </c>
      <c r="B720" s="10"/>
      <c r="C720" s="10"/>
    </row>
    <row r="721" spans="1:3" ht="15.75" customHeight="1">
      <c r="A721" s="12" t="s">
        <v>820</v>
      </c>
      <c r="B721" s="10"/>
      <c r="C721" s="10"/>
    </row>
    <row r="722" spans="1:3" ht="15.75" customHeight="1">
      <c r="A722" s="12" t="s">
        <v>852</v>
      </c>
      <c r="B722" s="10"/>
      <c r="C722" s="10"/>
    </row>
    <row r="723" spans="1:3" ht="15.75" customHeight="1">
      <c r="A723" s="12" t="s">
        <v>827</v>
      </c>
      <c r="B723" s="10"/>
      <c r="C723" s="10"/>
    </row>
    <row r="724" spans="1:3" ht="15.75" customHeight="1">
      <c r="A724" s="12" t="s">
        <v>848</v>
      </c>
      <c r="B724" s="10"/>
      <c r="C724" s="10"/>
    </row>
    <row r="725" spans="1:3" ht="15.75" customHeight="1">
      <c r="A725" s="12" t="s">
        <v>846</v>
      </c>
      <c r="B725" s="10"/>
      <c r="C725" s="10"/>
    </row>
    <row r="726" spans="1:3" ht="15.75" customHeight="1">
      <c r="A726" s="12" t="s">
        <v>840</v>
      </c>
      <c r="B726" s="10"/>
      <c r="C726" s="10"/>
    </row>
    <row r="727" spans="1:3" ht="15.75" customHeight="1">
      <c r="A727" s="12" t="s">
        <v>826</v>
      </c>
      <c r="B727" s="10"/>
      <c r="C727" s="10"/>
    </row>
    <row r="728" spans="1:3" ht="15.75" customHeight="1">
      <c r="A728" s="12" t="s">
        <v>826</v>
      </c>
      <c r="B728" s="10"/>
      <c r="C728" s="10"/>
    </row>
    <row r="729" spans="1:3" ht="15.75" customHeight="1">
      <c r="A729" s="12" t="s">
        <v>834</v>
      </c>
      <c r="B729" s="10"/>
      <c r="C729" s="10"/>
    </row>
    <row r="730" spans="1:3" ht="15.75" customHeight="1">
      <c r="A730" s="12" t="s">
        <v>841</v>
      </c>
      <c r="B730" s="10"/>
      <c r="C730" s="10"/>
    </row>
    <row r="731" spans="1:3" ht="15.75" customHeight="1">
      <c r="A731" s="12" t="s">
        <v>840</v>
      </c>
      <c r="B731" s="10"/>
      <c r="C731" s="10"/>
    </row>
    <row r="732" spans="1:3" ht="15.75" customHeight="1">
      <c r="A732" s="12" t="s">
        <v>822</v>
      </c>
      <c r="B732" s="10"/>
      <c r="C732" s="10"/>
    </row>
    <row r="733" spans="1:3" ht="15.75" customHeight="1">
      <c r="A733" s="12" t="s">
        <v>832</v>
      </c>
      <c r="B733" s="10"/>
      <c r="C733" s="10"/>
    </row>
    <row r="734" spans="1:3" ht="15.75" customHeight="1">
      <c r="A734" s="12" t="s">
        <v>837</v>
      </c>
      <c r="B734" s="10"/>
      <c r="C734" s="10"/>
    </row>
    <row r="735" spans="1:3" ht="15.75" customHeight="1">
      <c r="A735" s="12" t="s">
        <v>827</v>
      </c>
      <c r="B735" s="10"/>
      <c r="C735" s="10"/>
    </row>
    <row r="736" spans="1:3" ht="15.75" customHeight="1">
      <c r="A736" s="12" t="s">
        <v>832</v>
      </c>
      <c r="B736" s="10"/>
      <c r="C736" s="10"/>
    </row>
    <row r="737" spans="1:3" ht="15.75" customHeight="1">
      <c r="A737" s="12" t="s">
        <v>837</v>
      </c>
      <c r="B737" s="10"/>
      <c r="C737" s="10"/>
    </row>
    <row r="738" spans="1:3" ht="15.75" customHeight="1">
      <c r="A738" s="12" t="s">
        <v>835</v>
      </c>
      <c r="B738" s="10"/>
      <c r="C738" s="10"/>
    </row>
    <row r="739" spans="1:3" ht="15.75" customHeight="1">
      <c r="A739" s="12" t="s">
        <v>829</v>
      </c>
      <c r="B739" s="10"/>
      <c r="C739" s="10"/>
    </row>
    <row r="740" spans="1:3" ht="15.75" customHeight="1">
      <c r="A740" s="12" t="s">
        <v>837</v>
      </c>
      <c r="B740" s="10"/>
      <c r="C740" s="10"/>
    </row>
    <row r="741" spans="1:3" ht="15.75" customHeight="1">
      <c r="A741" s="12" t="s">
        <v>822</v>
      </c>
      <c r="B741" s="10"/>
      <c r="C741" s="10"/>
    </row>
    <row r="742" spans="1:3" ht="15.75" customHeight="1">
      <c r="A742" s="12" t="s">
        <v>837</v>
      </c>
      <c r="B742" s="10"/>
      <c r="C742" s="10"/>
    </row>
    <row r="743" spans="1:3" ht="15.75" customHeight="1">
      <c r="A743" s="12" t="s">
        <v>831</v>
      </c>
      <c r="B743" s="10"/>
      <c r="C743" s="10"/>
    </row>
    <row r="744" spans="1:3" ht="15.75" customHeight="1">
      <c r="A744" s="12" t="s">
        <v>830</v>
      </c>
      <c r="B744" s="10"/>
      <c r="C744" s="10"/>
    </row>
    <row r="745" spans="1:3" ht="15.75" customHeight="1">
      <c r="A745" s="12" t="s">
        <v>832</v>
      </c>
      <c r="B745" s="10"/>
      <c r="C745" s="10"/>
    </row>
    <row r="746" spans="1:3" ht="15.75" customHeight="1">
      <c r="A746" s="12" t="s">
        <v>831</v>
      </c>
      <c r="B746" s="10"/>
      <c r="C746" s="10"/>
    </row>
    <row r="747" spans="1:3" ht="15.75" customHeight="1">
      <c r="A747" s="12" t="s">
        <v>840</v>
      </c>
      <c r="B747" s="10"/>
      <c r="C747" s="10"/>
    </row>
    <row r="748" spans="1:3" ht="15.75" customHeight="1">
      <c r="A748" s="12" t="s">
        <v>828</v>
      </c>
      <c r="B748" s="10"/>
      <c r="C748" s="10"/>
    </row>
    <row r="749" spans="1:3" ht="15.75" customHeight="1">
      <c r="A749" s="12" t="s">
        <v>828</v>
      </c>
      <c r="B749" s="10"/>
      <c r="C749" s="10"/>
    </row>
    <row r="750" spans="1:3" ht="15.75" customHeight="1">
      <c r="A750" s="12" t="s">
        <v>826</v>
      </c>
      <c r="B750" s="10"/>
      <c r="C750" s="10"/>
    </row>
    <row r="751" spans="1:3" ht="15.75" customHeight="1">
      <c r="A751" s="12" t="s">
        <v>826</v>
      </c>
      <c r="B751" s="10"/>
      <c r="C751" s="10"/>
    </row>
    <row r="752" spans="1:3" ht="15.75" customHeight="1">
      <c r="A752" s="12" t="s">
        <v>824</v>
      </c>
      <c r="B752" s="10"/>
      <c r="C752" s="10"/>
    </row>
    <row r="753" spans="1:3" ht="15.75" customHeight="1">
      <c r="A753" s="12" t="s">
        <v>823</v>
      </c>
      <c r="B753" s="10"/>
      <c r="C753" s="10"/>
    </row>
    <row r="754" spans="1:3" ht="15.75" customHeight="1">
      <c r="A754" s="12" t="s">
        <v>839</v>
      </c>
      <c r="B754" s="10"/>
      <c r="C754" s="10"/>
    </row>
    <row r="755" spans="1:3" ht="15.75" customHeight="1">
      <c r="A755" s="12" t="s">
        <v>824</v>
      </c>
      <c r="B755" s="10"/>
      <c r="C755" s="10"/>
    </row>
    <row r="756" spans="1:3" ht="15.75" customHeight="1">
      <c r="A756" s="12" t="s">
        <v>851</v>
      </c>
      <c r="B756" s="10"/>
      <c r="C756" s="10"/>
    </row>
    <row r="757" spans="1:3" ht="15.75" customHeight="1">
      <c r="A757" s="12" t="s">
        <v>833</v>
      </c>
      <c r="B757" s="10"/>
      <c r="C757" s="10"/>
    </row>
    <row r="758" spans="1:3" ht="15.75" customHeight="1">
      <c r="A758" s="12" t="s">
        <v>830</v>
      </c>
      <c r="B758" s="10"/>
      <c r="C758" s="10"/>
    </row>
    <row r="759" spans="1:3" ht="15.75" customHeight="1">
      <c r="A759" s="12" t="s">
        <v>826</v>
      </c>
      <c r="B759" s="10"/>
      <c r="C759" s="10"/>
    </row>
    <row r="760" spans="1:3" ht="15.75" customHeight="1">
      <c r="A760" s="12" t="s">
        <v>845</v>
      </c>
      <c r="B760" s="10"/>
      <c r="C760" s="10"/>
    </row>
    <row r="761" spans="1:3" ht="15.75" customHeight="1">
      <c r="A761" s="12" t="s">
        <v>832</v>
      </c>
      <c r="B761" s="10"/>
      <c r="C761" s="10"/>
    </row>
    <row r="762" spans="1:3" ht="15.75" customHeight="1">
      <c r="A762" s="12" t="s">
        <v>842</v>
      </c>
      <c r="B762" s="10"/>
      <c r="C762" s="10"/>
    </row>
    <row r="763" spans="1:3" ht="15.75" customHeight="1">
      <c r="A763" s="12" t="s">
        <v>824</v>
      </c>
      <c r="B763" s="10"/>
      <c r="C763" s="10"/>
    </row>
    <row r="764" spans="1:3" ht="15.75" customHeight="1">
      <c r="A764" s="12" t="s">
        <v>829</v>
      </c>
      <c r="B764" s="10"/>
      <c r="C764" s="10"/>
    </row>
    <row r="765" spans="1:3" ht="15.75" customHeight="1">
      <c r="A765" s="12" t="s">
        <v>837</v>
      </c>
      <c r="B765" s="10"/>
      <c r="C765" s="10"/>
    </row>
    <row r="766" spans="1:3" ht="15.75" customHeight="1">
      <c r="A766" s="12" t="s">
        <v>828</v>
      </c>
      <c r="B766" s="10"/>
      <c r="C766" s="10"/>
    </row>
    <row r="767" spans="1:3" ht="15.75" customHeight="1">
      <c r="A767" s="12" t="s">
        <v>839</v>
      </c>
      <c r="B767" s="10"/>
      <c r="C767" s="10"/>
    </row>
    <row r="768" spans="1:3" ht="15.75" customHeight="1">
      <c r="A768" s="12" t="s">
        <v>843</v>
      </c>
      <c r="B768" s="10"/>
      <c r="C768" s="10"/>
    </row>
    <row r="769" spans="1:3" ht="15.75" customHeight="1">
      <c r="A769" s="12" t="s">
        <v>826</v>
      </c>
      <c r="B769" s="10"/>
      <c r="C769" s="10"/>
    </row>
    <row r="770" spans="1:3" ht="15.75" customHeight="1">
      <c r="A770" s="12" t="s">
        <v>827</v>
      </c>
      <c r="B770" s="10"/>
      <c r="C770" s="10"/>
    </row>
    <row r="771" spans="1:3" ht="15.75" customHeight="1">
      <c r="A771" s="12" t="s">
        <v>848</v>
      </c>
      <c r="B771" s="10"/>
      <c r="C771" s="10"/>
    </row>
    <row r="772" spans="1:3" ht="15.75" customHeight="1">
      <c r="A772" s="12" t="s">
        <v>834</v>
      </c>
      <c r="B772" s="10"/>
      <c r="C772" s="10"/>
    </row>
    <row r="773" spans="1:3" ht="15.75" customHeight="1">
      <c r="A773" s="12" t="s">
        <v>827</v>
      </c>
      <c r="B773" s="10"/>
      <c r="C773" s="10"/>
    </row>
    <row r="774" spans="1:3" ht="15.75" customHeight="1">
      <c r="A774" s="12" t="s">
        <v>837</v>
      </c>
      <c r="B774" s="10"/>
      <c r="C774" s="10"/>
    </row>
    <row r="775" spans="1:3" ht="15.75" customHeight="1">
      <c r="A775" s="12" t="s">
        <v>832</v>
      </c>
      <c r="B775" s="10"/>
      <c r="C775" s="10"/>
    </row>
    <row r="776" spans="1:3" ht="15.75" customHeight="1">
      <c r="A776" s="12" t="s">
        <v>835</v>
      </c>
      <c r="B776" s="10"/>
      <c r="C776" s="10"/>
    </row>
    <row r="777" spans="1:3" ht="15.75" customHeight="1">
      <c r="A777" s="12" t="s">
        <v>844</v>
      </c>
      <c r="B777" s="10"/>
      <c r="C777" s="10"/>
    </row>
    <row r="778" spans="1:3" ht="15.75" customHeight="1">
      <c r="A778" s="12" t="s">
        <v>837</v>
      </c>
      <c r="B778" s="10"/>
      <c r="C778" s="10"/>
    </row>
    <row r="779" spans="1:3" ht="15.75" customHeight="1">
      <c r="A779" s="12" t="s">
        <v>835</v>
      </c>
      <c r="B779" s="10"/>
      <c r="C779" s="10"/>
    </row>
    <row r="780" spans="1:3" ht="15.75" customHeight="1">
      <c r="A780" s="12" t="s">
        <v>843</v>
      </c>
      <c r="B780" s="10"/>
      <c r="C780" s="10"/>
    </row>
    <row r="781" spans="1:3" ht="15.75" customHeight="1">
      <c r="A781" s="12" t="s">
        <v>834</v>
      </c>
      <c r="B781" s="10"/>
      <c r="C781" s="10"/>
    </row>
    <row r="782" spans="1:3" ht="15.75" customHeight="1">
      <c r="A782" s="12" t="s">
        <v>844</v>
      </c>
      <c r="B782" s="10"/>
      <c r="C782" s="10"/>
    </row>
    <row r="783" spans="1:3" ht="15.75" customHeight="1">
      <c r="A783" s="12" t="s">
        <v>852</v>
      </c>
      <c r="B783" s="10"/>
      <c r="C783" s="10"/>
    </row>
    <row r="784" spans="1:3" ht="15.75" customHeight="1">
      <c r="A784" s="12" t="s">
        <v>836</v>
      </c>
      <c r="B784" s="10"/>
      <c r="C784" s="10"/>
    </row>
    <row r="785" spans="1:3" ht="15.75" customHeight="1">
      <c r="A785" s="12" t="s">
        <v>824</v>
      </c>
      <c r="B785" s="10"/>
      <c r="C785" s="10"/>
    </row>
    <row r="786" spans="1:3" ht="15.75" customHeight="1">
      <c r="A786" s="12" t="s">
        <v>837</v>
      </c>
      <c r="B786" s="10"/>
      <c r="C786" s="10"/>
    </row>
    <row r="787" spans="1:3" ht="15.75" customHeight="1">
      <c r="A787" s="12" t="s">
        <v>824</v>
      </c>
      <c r="B787" s="10"/>
      <c r="C787" s="10"/>
    </row>
    <row r="788" spans="1:3" ht="15.75" customHeight="1">
      <c r="A788" s="12" t="s">
        <v>824</v>
      </c>
      <c r="B788" s="10"/>
      <c r="C788" s="10"/>
    </row>
    <row r="789" spans="1:3" ht="15.75" customHeight="1">
      <c r="A789" s="12" t="s">
        <v>824</v>
      </c>
      <c r="B789" s="10"/>
      <c r="C789" s="10"/>
    </row>
    <row r="790" spans="1:3" ht="15.75" customHeight="1">
      <c r="A790" s="12" t="s">
        <v>837</v>
      </c>
      <c r="B790" s="10"/>
      <c r="C790" s="10"/>
    </row>
    <row r="791" spans="1:3" ht="15.75" customHeight="1">
      <c r="A791" s="12" t="s">
        <v>838</v>
      </c>
      <c r="B791" s="10"/>
      <c r="C791" s="10"/>
    </row>
    <row r="792" spans="1:3" ht="15.75" customHeight="1">
      <c r="A792" s="12" t="s">
        <v>837</v>
      </c>
      <c r="B792" s="10"/>
      <c r="C792" s="10"/>
    </row>
    <row r="793" spans="1:3" ht="15.75" customHeight="1">
      <c r="A793" s="12" t="s">
        <v>841</v>
      </c>
      <c r="B793" s="10"/>
      <c r="C793" s="10"/>
    </row>
    <row r="794" spans="1:3" ht="15.75" customHeight="1">
      <c r="A794" s="12" t="s">
        <v>830</v>
      </c>
      <c r="B794" s="10"/>
      <c r="C794" s="10"/>
    </row>
    <row r="795" spans="1:3" ht="15.75" customHeight="1">
      <c r="A795" s="12" t="s">
        <v>838</v>
      </c>
      <c r="B795" s="10"/>
      <c r="C795" s="10"/>
    </row>
    <row r="796" spans="1:3" ht="15.75" customHeight="1">
      <c r="A796" s="12" t="s">
        <v>818</v>
      </c>
      <c r="B796" s="10"/>
      <c r="C796" s="10"/>
    </row>
    <row r="797" spans="1:3" ht="15.75" customHeight="1">
      <c r="A797" s="12" t="s">
        <v>840</v>
      </c>
      <c r="B797" s="10"/>
      <c r="C797" s="10"/>
    </row>
    <row r="798" spans="1:3" ht="15.75" customHeight="1">
      <c r="A798" s="12" t="s">
        <v>820</v>
      </c>
      <c r="B798" s="10"/>
      <c r="C798" s="10"/>
    </row>
    <row r="799" spans="1:3" ht="15.75" customHeight="1">
      <c r="A799" s="12" t="s">
        <v>839</v>
      </c>
      <c r="B799" s="10"/>
      <c r="C799" s="10"/>
    </row>
    <row r="800" spans="1:3" ht="15.75" customHeight="1">
      <c r="A800" s="12" t="s">
        <v>824</v>
      </c>
      <c r="B800" s="10"/>
      <c r="C800" s="10"/>
    </row>
    <row r="801" spans="1:3" ht="15.75" customHeight="1">
      <c r="A801" s="12" t="s">
        <v>837</v>
      </c>
      <c r="B801" s="10"/>
      <c r="C801" s="10"/>
    </row>
    <row r="802" spans="1:3" ht="15.75" customHeight="1">
      <c r="A802" s="12" t="s">
        <v>846</v>
      </c>
      <c r="B802" s="10"/>
      <c r="C802" s="10"/>
    </row>
    <row r="803" spans="1:3" ht="15.75" customHeight="1">
      <c r="A803" s="12" t="s">
        <v>827</v>
      </c>
      <c r="B803" s="10"/>
      <c r="C803" s="10"/>
    </row>
    <row r="804" spans="1:3" ht="15.75" customHeight="1">
      <c r="A804" s="12" t="s">
        <v>837</v>
      </c>
      <c r="B804" s="10"/>
      <c r="C804" s="10"/>
    </row>
    <row r="805" spans="1:3" ht="15.75" customHeight="1">
      <c r="A805" s="12" t="s">
        <v>832</v>
      </c>
      <c r="B805" s="10"/>
      <c r="C805" s="10"/>
    </row>
    <row r="806" spans="1:3" ht="15.75" customHeight="1">
      <c r="A806" s="12" t="s">
        <v>821</v>
      </c>
      <c r="B806" s="10"/>
      <c r="C806" s="10"/>
    </row>
    <row r="807" spans="1:3" ht="15.75" customHeight="1">
      <c r="A807" s="12" t="s">
        <v>839</v>
      </c>
      <c r="B807" s="10"/>
      <c r="C807" s="10"/>
    </row>
    <row r="808" spans="1:3" ht="15.75" customHeight="1">
      <c r="A808" s="12" t="s">
        <v>839</v>
      </c>
      <c r="B808" s="10"/>
      <c r="C808" s="10"/>
    </row>
    <row r="809" spans="1:3" ht="15.75" customHeight="1">
      <c r="A809" s="12" t="s">
        <v>825</v>
      </c>
      <c r="B809" s="10"/>
      <c r="C809" s="10"/>
    </row>
    <row r="810" spans="1:3" ht="15.75" customHeight="1">
      <c r="A810" s="12" t="s">
        <v>837</v>
      </c>
      <c r="B810" s="10"/>
      <c r="C810" s="10"/>
    </row>
    <row r="811" spans="1:3" ht="15.75" customHeight="1">
      <c r="A811" s="12" t="s">
        <v>823</v>
      </c>
      <c r="B811" s="10"/>
      <c r="C811" s="10"/>
    </row>
    <row r="812" spans="1:3" ht="15.75" customHeight="1">
      <c r="A812" s="12" t="s">
        <v>825</v>
      </c>
      <c r="B812" s="10"/>
      <c r="C812" s="10"/>
    </row>
    <row r="813" spans="1:3" ht="15.75" customHeight="1">
      <c r="A813" s="12" t="s">
        <v>840</v>
      </c>
      <c r="B813" s="10"/>
      <c r="C813" s="10"/>
    </row>
    <row r="814" spans="1:3" ht="15.75" customHeight="1">
      <c r="A814" s="12" t="s">
        <v>837</v>
      </c>
      <c r="B814" s="10"/>
      <c r="C814" s="10"/>
    </row>
    <row r="815" spans="1:3" ht="15.75" customHeight="1">
      <c r="A815" s="12" t="s">
        <v>835</v>
      </c>
      <c r="B815" s="10"/>
      <c r="C815" s="10"/>
    </row>
    <row r="816" spans="1:3" ht="15.75" customHeight="1">
      <c r="A816" s="12" t="s">
        <v>824</v>
      </c>
      <c r="B816" s="10"/>
      <c r="C816" s="10"/>
    </row>
    <row r="817" spans="1:3" ht="15.75" customHeight="1">
      <c r="A817" s="12" t="s">
        <v>846</v>
      </c>
      <c r="B817" s="10"/>
      <c r="C817" s="10"/>
    </row>
    <row r="818" spans="1:3" ht="15.75" customHeight="1">
      <c r="A818" s="12" t="s">
        <v>824</v>
      </c>
      <c r="B818" s="10"/>
      <c r="C818" s="10"/>
    </row>
    <row r="819" spans="1:3" ht="15.75" customHeight="1">
      <c r="A819" s="12" t="s">
        <v>852</v>
      </c>
      <c r="B819" s="10"/>
      <c r="C819" s="10"/>
    </row>
    <row r="820" spans="1:3" ht="15.75" customHeight="1">
      <c r="A820" s="12" t="s">
        <v>839</v>
      </c>
      <c r="B820" s="10"/>
      <c r="C820" s="10"/>
    </row>
    <row r="821" spans="1:3" ht="15.75" customHeight="1">
      <c r="A821" s="12" t="s">
        <v>852</v>
      </c>
      <c r="B821" s="10"/>
      <c r="C821" s="10"/>
    </row>
    <row r="822" spans="1:3" ht="15.75" customHeight="1">
      <c r="A822" s="12" t="s">
        <v>826</v>
      </c>
      <c r="B822" s="10"/>
      <c r="C822" s="10"/>
    </row>
    <row r="823" spans="1:3" ht="15.75" customHeight="1">
      <c r="A823" s="12" t="s">
        <v>842</v>
      </c>
      <c r="B823" s="10"/>
      <c r="C823" s="10"/>
    </row>
    <row r="824" spans="1:3" ht="15.75" customHeight="1">
      <c r="A824" s="12" t="s">
        <v>824</v>
      </c>
      <c r="B824" s="10"/>
      <c r="C824" s="10"/>
    </row>
    <row r="825" spans="1:3" ht="15.75" customHeight="1">
      <c r="A825" s="12" t="s">
        <v>846</v>
      </c>
      <c r="B825" s="10"/>
      <c r="C825" s="10"/>
    </row>
    <row r="826" spans="1:3" ht="15.75" customHeight="1">
      <c r="A826" s="12" t="s">
        <v>832</v>
      </c>
      <c r="B826" s="10"/>
      <c r="C826" s="10"/>
    </row>
    <row r="827" spans="1:3" ht="15.75" customHeight="1">
      <c r="A827" s="12" t="s">
        <v>840</v>
      </c>
      <c r="B827" s="10"/>
      <c r="C827" s="10"/>
    </row>
    <row r="828" spans="1:3" ht="15.75" customHeight="1">
      <c r="A828" s="12" t="s">
        <v>822</v>
      </c>
      <c r="B828" s="10"/>
      <c r="C828" s="10"/>
    </row>
    <row r="829" spans="1:3" ht="15.75" customHeight="1">
      <c r="A829" s="12" t="s">
        <v>827</v>
      </c>
      <c r="B829" s="10"/>
      <c r="C829" s="10"/>
    </row>
    <row r="830" spans="1:3" ht="15.75" customHeight="1">
      <c r="A830" s="12" t="s">
        <v>834</v>
      </c>
      <c r="B830" s="10"/>
      <c r="C830" s="10"/>
    </row>
    <row r="831" spans="1:3" ht="15.75" customHeight="1">
      <c r="A831" s="12" t="s">
        <v>824</v>
      </c>
      <c r="B831" s="10"/>
      <c r="C831" s="10"/>
    </row>
    <row r="832" spans="1:3" ht="15.75" customHeight="1">
      <c r="A832" s="12" t="s">
        <v>818</v>
      </c>
      <c r="B832" s="10"/>
      <c r="C832" s="10"/>
    </row>
    <row r="833" spans="1:3" ht="15.75" customHeight="1">
      <c r="A833" s="12" t="s">
        <v>848</v>
      </c>
      <c r="B833" s="10"/>
      <c r="C833" s="10"/>
    </row>
    <row r="834" spans="1:3" ht="15.75" customHeight="1">
      <c r="A834" s="12" t="s">
        <v>834</v>
      </c>
      <c r="B834" s="10"/>
      <c r="C834" s="10"/>
    </row>
    <row r="835" spans="1:3" ht="15.75" customHeight="1">
      <c r="A835" s="12" t="s">
        <v>848</v>
      </c>
      <c r="B835" s="10"/>
      <c r="C835" s="10"/>
    </row>
    <row r="836" spans="1:3" ht="15.75" customHeight="1">
      <c r="A836" s="12" t="s">
        <v>835</v>
      </c>
      <c r="B836" s="10"/>
      <c r="C836" s="10"/>
    </row>
    <row r="837" spans="1:3" ht="15.75" customHeight="1">
      <c r="A837" s="12" t="s">
        <v>840</v>
      </c>
      <c r="B837" s="10"/>
      <c r="C837" s="10"/>
    </row>
    <row r="838" spans="1:3" ht="15.75" customHeight="1">
      <c r="A838" s="12" t="s">
        <v>820</v>
      </c>
      <c r="B838" s="10"/>
      <c r="C838" s="10"/>
    </row>
    <row r="839" spans="1:3" ht="15.75" customHeight="1">
      <c r="A839" s="12" t="s">
        <v>841</v>
      </c>
      <c r="B839" s="10"/>
      <c r="C839" s="10"/>
    </row>
    <row r="840" spans="1:3" ht="15.75" customHeight="1">
      <c r="A840" s="12" t="s">
        <v>844</v>
      </c>
      <c r="B840" s="10"/>
      <c r="C840" s="10"/>
    </row>
    <row r="841" spans="1:3" ht="15.75" customHeight="1">
      <c r="A841" s="12" t="s">
        <v>845</v>
      </c>
      <c r="B841" s="10"/>
      <c r="C841" s="10"/>
    </row>
    <row r="842" spans="1:3" ht="15.75" customHeight="1">
      <c r="A842" s="12" t="s">
        <v>834</v>
      </c>
      <c r="B842" s="10"/>
      <c r="C842" s="10"/>
    </row>
    <row r="843" spans="1:3" ht="15.75" customHeight="1">
      <c r="A843" s="12" t="s">
        <v>837</v>
      </c>
      <c r="B843" s="10"/>
      <c r="C843" s="10"/>
    </row>
    <row r="844" spans="1:3" ht="15.75" customHeight="1">
      <c r="A844" s="12" t="s">
        <v>836</v>
      </c>
      <c r="B844" s="10"/>
      <c r="C844" s="10"/>
    </row>
    <row r="845" spans="1:3" ht="15.75" customHeight="1">
      <c r="A845" s="12" t="s">
        <v>834</v>
      </c>
      <c r="B845" s="10"/>
      <c r="C845" s="10"/>
    </row>
    <row r="846" spans="1:3" ht="15.75" customHeight="1">
      <c r="A846" s="12" t="s">
        <v>837</v>
      </c>
      <c r="B846" s="10"/>
      <c r="C846" s="10"/>
    </row>
    <row r="847" spans="1:3" ht="15.75" customHeight="1">
      <c r="A847" s="12" t="s">
        <v>834</v>
      </c>
      <c r="B847" s="10"/>
      <c r="C847" s="10"/>
    </row>
    <row r="848" spans="1:3" ht="15.75" customHeight="1">
      <c r="A848" s="12" t="s">
        <v>831</v>
      </c>
      <c r="B848" s="10"/>
      <c r="C848" s="10"/>
    </row>
    <row r="849" spans="1:3" ht="15.75" customHeight="1">
      <c r="A849" s="12" t="s">
        <v>822</v>
      </c>
      <c r="B849" s="10"/>
      <c r="C849" s="10"/>
    </row>
    <row r="850" spans="1:3" ht="15.75" customHeight="1">
      <c r="A850" s="12" t="s">
        <v>853</v>
      </c>
      <c r="B850" s="10"/>
      <c r="C850" s="10"/>
    </row>
    <row r="851" spans="1:3" ht="15.75" customHeight="1">
      <c r="A851" s="12" t="s">
        <v>834</v>
      </c>
      <c r="B851" s="10"/>
      <c r="C851" s="10"/>
    </row>
    <row r="852" spans="1:3" ht="15.75" customHeight="1">
      <c r="A852" s="12" t="s">
        <v>824</v>
      </c>
      <c r="B852" s="10"/>
      <c r="C852" s="10"/>
    </row>
    <row r="853" spans="1:3" ht="15.75" customHeight="1">
      <c r="A853" s="12" t="s">
        <v>839</v>
      </c>
      <c r="B853" s="10"/>
      <c r="C853" s="10"/>
    </row>
    <row r="854" spans="1:3" ht="15.75" customHeight="1">
      <c r="A854" s="12" t="s">
        <v>848</v>
      </c>
      <c r="B854" s="10"/>
      <c r="C854" s="10"/>
    </row>
    <row r="855" spans="1:3" ht="15.75" customHeight="1">
      <c r="A855" s="12" t="s">
        <v>831</v>
      </c>
      <c r="B855" s="10"/>
      <c r="C855" s="10"/>
    </row>
    <row r="856" spans="1:3" ht="15.75" customHeight="1">
      <c r="A856" s="12" t="s">
        <v>852</v>
      </c>
      <c r="B856" s="10"/>
      <c r="C856" s="10"/>
    </row>
    <row r="857" spans="1:3" ht="15.75" customHeight="1">
      <c r="A857" s="12" t="s">
        <v>827</v>
      </c>
      <c r="B857" s="10"/>
      <c r="C857" s="10"/>
    </row>
    <row r="858" spans="1:3" ht="15.75" customHeight="1">
      <c r="A858" s="12" t="s">
        <v>842</v>
      </c>
      <c r="B858" s="10"/>
      <c r="C858" s="10"/>
    </row>
    <row r="859" spans="1:3" ht="15.75" customHeight="1">
      <c r="A859" s="12" t="s">
        <v>837</v>
      </c>
      <c r="B859" s="10"/>
      <c r="C859" s="10"/>
    </row>
    <row r="860" spans="1:3" ht="15.75" customHeight="1">
      <c r="A860" s="12" t="s">
        <v>848</v>
      </c>
      <c r="B860" s="10"/>
      <c r="C860" s="10"/>
    </row>
    <row r="861" spans="1:3" ht="15.75" customHeight="1">
      <c r="A861" s="12" t="s">
        <v>834</v>
      </c>
      <c r="B861" s="10"/>
      <c r="C861" s="10"/>
    </row>
    <row r="862" spans="1:3" ht="15.75" customHeight="1">
      <c r="A862" s="12" t="s">
        <v>824</v>
      </c>
      <c r="B862" s="10"/>
      <c r="C862" s="10"/>
    </row>
    <row r="863" spans="1:3" ht="15.75" customHeight="1">
      <c r="A863" s="12" t="s">
        <v>820</v>
      </c>
      <c r="B863" s="10"/>
      <c r="C863" s="10"/>
    </row>
    <row r="864" spans="1:3" ht="15.75" customHeight="1">
      <c r="A864" s="12" t="s">
        <v>830</v>
      </c>
      <c r="B864" s="10"/>
      <c r="C864" s="10"/>
    </row>
    <row r="865" spans="1:3" ht="15.75" customHeight="1">
      <c r="A865" s="12" t="s">
        <v>830</v>
      </c>
      <c r="B865" s="10"/>
      <c r="C865" s="10"/>
    </row>
    <row r="866" spans="1:3" ht="15.75" customHeight="1">
      <c r="A866" s="12" t="s">
        <v>827</v>
      </c>
      <c r="B866" s="10"/>
      <c r="C866" s="10"/>
    </row>
    <row r="867" spans="1:3" ht="15.75" customHeight="1">
      <c r="A867" s="12" t="s">
        <v>834</v>
      </c>
      <c r="B867" s="10"/>
      <c r="C867" s="10"/>
    </row>
    <row r="868" spans="1:3" ht="15.75" customHeight="1">
      <c r="A868" s="12" t="s">
        <v>824</v>
      </c>
      <c r="B868" s="10"/>
      <c r="C868" s="10"/>
    </row>
    <row r="869" spans="1:3" ht="15.75" customHeight="1">
      <c r="A869" s="12" t="s">
        <v>820</v>
      </c>
      <c r="B869" s="10"/>
      <c r="C869" s="10"/>
    </row>
    <row r="870" spans="1:3" ht="15.75" customHeight="1">
      <c r="A870" s="12" t="s">
        <v>837</v>
      </c>
      <c r="B870" s="10"/>
      <c r="C870" s="10"/>
    </row>
    <row r="871" spans="1:3" ht="15.75" customHeight="1">
      <c r="A871" s="12" t="s">
        <v>837</v>
      </c>
      <c r="B871" s="10"/>
      <c r="C871" s="10"/>
    </row>
    <row r="872" spans="1:3" ht="15.75" customHeight="1">
      <c r="A872" s="12" t="s">
        <v>834</v>
      </c>
      <c r="B872" s="10"/>
      <c r="C872" s="10"/>
    </row>
    <row r="873" spans="1:3" ht="15.75" customHeight="1">
      <c r="A873" s="12" t="s">
        <v>824</v>
      </c>
      <c r="B873" s="10"/>
      <c r="C873" s="10"/>
    </row>
    <row r="874" spans="1:3" ht="15.75" customHeight="1">
      <c r="A874" s="12" t="s">
        <v>837</v>
      </c>
      <c r="B874" s="10"/>
      <c r="C874" s="10"/>
    </row>
    <row r="875" spans="1:3" ht="15.75" customHeight="1">
      <c r="A875" s="12" t="s">
        <v>844</v>
      </c>
      <c r="B875" s="10"/>
      <c r="C875" s="10"/>
    </row>
    <row r="876" spans="1:3" ht="15.75" customHeight="1">
      <c r="A876" s="12" t="s">
        <v>824</v>
      </c>
      <c r="B876" s="10"/>
      <c r="C876" s="10"/>
    </row>
    <row r="877" spans="1:3" ht="15.75" customHeight="1">
      <c r="A877" s="12" t="s">
        <v>846</v>
      </c>
      <c r="B877" s="10"/>
      <c r="C877" s="10"/>
    </row>
    <row r="878" spans="1:3" ht="15.75" customHeight="1">
      <c r="A878" s="12" t="s">
        <v>824</v>
      </c>
      <c r="B878" s="10"/>
      <c r="C878" s="10"/>
    </row>
    <row r="879" spans="1:3" ht="15.75" customHeight="1">
      <c r="A879" s="12" t="s">
        <v>834</v>
      </c>
      <c r="B879" s="10"/>
      <c r="C879" s="10"/>
    </row>
    <row r="880" spans="1:3" ht="15.75" customHeight="1">
      <c r="A880" s="12" t="s">
        <v>834</v>
      </c>
      <c r="B880" s="10"/>
      <c r="C880" s="10"/>
    </row>
    <row r="881" spans="1:3" ht="15.75" customHeight="1">
      <c r="A881" s="12" t="s">
        <v>838</v>
      </c>
      <c r="B881" s="10"/>
      <c r="C881" s="10"/>
    </row>
    <row r="882" spans="1:3" ht="15.75" customHeight="1">
      <c r="A882" s="12" t="s">
        <v>833</v>
      </c>
      <c r="B882" s="10"/>
      <c r="C882" s="10"/>
    </row>
    <row r="883" spans="1:3" ht="15.75" customHeight="1">
      <c r="A883" s="12" t="s">
        <v>826</v>
      </c>
      <c r="B883" s="10"/>
      <c r="C883" s="10"/>
    </row>
    <row r="884" spans="1:3" ht="15.75" customHeight="1">
      <c r="A884" s="12" t="s">
        <v>825</v>
      </c>
      <c r="B884" s="10"/>
      <c r="C884" s="10"/>
    </row>
    <row r="885" spans="1:3" ht="15.75" customHeight="1">
      <c r="A885" s="12" t="s">
        <v>832</v>
      </c>
      <c r="B885" s="10"/>
      <c r="C885" s="10"/>
    </row>
    <row r="886" spans="1:3" ht="15.75" customHeight="1">
      <c r="A886" s="12" t="s">
        <v>846</v>
      </c>
      <c r="B886" s="10"/>
      <c r="C886" s="10"/>
    </row>
    <row r="887" spans="1:3" ht="15.75" customHeight="1">
      <c r="A887" s="12" t="s">
        <v>830</v>
      </c>
      <c r="B887" s="10"/>
      <c r="C887" s="10"/>
    </row>
    <row r="888" spans="1:3" ht="15.75" customHeight="1">
      <c r="A888" s="12" t="s">
        <v>834</v>
      </c>
      <c r="B888" s="10"/>
      <c r="C888" s="10"/>
    </row>
    <row r="889" spans="1:3" ht="15.75" customHeight="1">
      <c r="A889" s="12" t="s">
        <v>826</v>
      </c>
      <c r="B889" s="10"/>
      <c r="C889" s="10"/>
    </row>
    <row r="890" spans="1:3" ht="15.75" customHeight="1">
      <c r="A890" s="12" t="s">
        <v>850</v>
      </c>
      <c r="B890" s="10"/>
      <c r="C890" s="10"/>
    </row>
    <row r="891" spans="1:3" ht="15.75" customHeight="1">
      <c r="A891" s="12" t="s">
        <v>835</v>
      </c>
      <c r="B891" s="10"/>
      <c r="C891" s="10"/>
    </row>
    <row r="892" spans="1:3" ht="15.75" customHeight="1">
      <c r="A892" s="12" t="s">
        <v>822</v>
      </c>
      <c r="B892" s="10"/>
      <c r="C892" s="10"/>
    </row>
    <row r="893" spans="1:3" ht="15.75" customHeight="1">
      <c r="A893" s="12" t="s">
        <v>837</v>
      </c>
      <c r="B893" s="10"/>
      <c r="C893" s="10"/>
    </row>
    <row r="894" spans="1:3" ht="15.75" customHeight="1">
      <c r="A894" s="12" t="s">
        <v>823</v>
      </c>
      <c r="B894" s="10"/>
      <c r="C894" s="10"/>
    </row>
    <row r="895" spans="1:3" ht="15.75" customHeight="1">
      <c r="A895" s="12" t="s">
        <v>830</v>
      </c>
      <c r="B895" s="10"/>
      <c r="C895" s="10"/>
    </row>
    <row r="896" spans="1:3" ht="15.75" customHeight="1">
      <c r="A896" s="12" t="s">
        <v>840</v>
      </c>
      <c r="B896" s="10"/>
      <c r="C896" s="10"/>
    </row>
    <row r="897" spans="1:3" ht="15.75" customHeight="1">
      <c r="A897" s="12" t="s">
        <v>840</v>
      </c>
      <c r="B897" s="10"/>
      <c r="C897" s="10"/>
    </row>
    <row r="898" spans="1:3" ht="15.75" customHeight="1">
      <c r="A898" s="12" t="s">
        <v>847</v>
      </c>
      <c r="B898" s="10"/>
      <c r="C898" s="10"/>
    </row>
    <row r="899" spans="1:3" ht="15.75" customHeight="1">
      <c r="A899" s="12" t="s">
        <v>844</v>
      </c>
      <c r="B899" s="10"/>
      <c r="C899" s="10"/>
    </row>
    <row r="900" spans="1:3" ht="15.75" customHeight="1">
      <c r="A900" s="12" t="s">
        <v>823</v>
      </c>
      <c r="B900" s="10"/>
      <c r="C900" s="10"/>
    </row>
    <row r="901" spans="1:3" ht="15.75" customHeight="1">
      <c r="A901" s="12" t="s">
        <v>842</v>
      </c>
      <c r="B901" s="10"/>
      <c r="C901" s="10"/>
    </row>
    <row r="902" spans="1:3" ht="15.75" customHeight="1">
      <c r="A902" s="12" t="s">
        <v>849</v>
      </c>
      <c r="B902" s="10"/>
      <c r="C902" s="10"/>
    </row>
    <row r="903" spans="1:3" ht="15.75" customHeight="1">
      <c r="A903" s="12" t="s">
        <v>832</v>
      </c>
      <c r="B903" s="10"/>
      <c r="C903" s="10"/>
    </row>
    <row r="904" spans="1:3" ht="15.75" customHeight="1">
      <c r="A904" s="12" t="s">
        <v>837</v>
      </c>
      <c r="B904" s="10"/>
      <c r="C904" s="10"/>
    </row>
    <row r="905" spans="1:3" ht="15.75" customHeight="1">
      <c r="A905" s="12" t="s">
        <v>824</v>
      </c>
      <c r="B905" s="10"/>
      <c r="C905" s="10"/>
    </row>
    <row r="906" spans="1:3" ht="15.75" customHeight="1">
      <c r="A906" s="12" t="s">
        <v>822</v>
      </c>
      <c r="B906" s="10"/>
      <c r="C906" s="10"/>
    </row>
    <row r="907" spans="1:3" ht="15.75" customHeight="1">
      <c r="A907" s="12" t="s">
        <v>823</v>
      </c>
      <c r="B907" s="10"/>
      <c r="C907" s="10"/>
    </row>
    <row r="908" spans="1:3" ht="15.75" customHeight="1">
      <c r="A908" s="12" t="s">
        <v>837</v>
      </c>
      <c r="B908" s="10"/>
      <c r="C908" s="10"/>
    </row>
    <row r="909" spans="1:3" ht="15.75" customHeight="1">
      <c r="A909" s="12" t="s">
        <v>848</v>
      </c>
      <c r="B909" s="10"/>
      <c r="C909" s="10"/>
    </row>
    <row r="910" spans="1:3" ht="15.75" customHeight="1">
      <c r="A910" s="12" t="s">
        <v>837</v>
      </c>
      <c r="B910" s="10"/>
      <c r="C910" s="10"/>
    </row>
    <row r="911" spans="1:3" ht="15.75" customHeight="1">
      <c r="A911" s="12" t="s">
        <v>826</v>
      </c>
      <c r="B911" s="10"/>
      <c r="C911" s="10"/>
    </row>
    <row r="912" spans="1:3" ht="15.75" customHeight="1">
      <c r="A912" s="12" t="s">
        <v>829</v>
      </c>
      <c r="B912" s="10"/>
      <c r="C912" s="10"/>
    </row>
    <row r="913" spans="1:3" ht="15.75" customHeight="1">
      <c r="A913" s="12" t="s">
        <v>851</v>
      </c>
      <c r="B913" s="10"/>
      <c r="C913" s="10"/>
    </row>
    <row r="914" spans="1:3" ht="15.75" customHeight="1">
      <c r="A914" s="12" t="s">
        <v>837</v>
      </c>
      <c r="B914" s="10"/>
      <c r="C914" s="10"/>
    </row>
    <row r="915" spans="1:3" ht="15.75" customHeight="1">
      <c r="A915" s="12" t="s">
        <v>846</v>
      </c>
      <c r="B915" s="10"/>
      <c r="C915" s="10"/>
    </row>
    <row r="916" spans="1:3" ht="15.75" customHeight="1">
      <c r="A916" s="12" t="s">
        <v>827</v>
      </c>
      <c r="B916" s="10"/>
      <c r="C916" s="10"/>
    </row>
    <row r="917" spans="1:3" ht="15.75" customHeight="1">
      <c r="A917" s="12" t="s">
        <v>826</v>
      </c>
      <c r="B917" s="10"/>
      <c r="C917" s="10"/>
    </row>
    <row r="918" spans="1:3" ht="15.75" customHeight="1">
      <c r="A918" s="12" t="s">
        <v>840</v>
      </c>
      <c r="B918" s="10"/>
      <c r="C918" s="10"/>
    </row>
    <row r="919" spans="1:3" ht="15.75" customHeight="1">
      <c r="A919" s="12" t="s">
        <v>837</v>
      </c>
      <c r="B919" s="10"/>
      <c r="C919" s="10"/>
    </row>
    <row r="920" spans="1:3" ht="15.75" customHeight="1">
      <c r="A920" s="12" t="s">
        <v>828</v>
      </c>
      <c r="B920" s="10"/>
      <c r="C920" s="10"/>
    </row>
    <row r="921" spans="1:3" ht="15.75" customHeight="1">
      <c r="A921" s="12" t="s">
        <v>818</v>
      </c>
      <c r="B921" s="10"/>
      <c r="C921" s="10"/>
    </row>
    <row r="922" spans="1:3" ht="15.75" customHeight="1">
      <c r="A922" s="12" t="s">
        <v>822</v>
      </c>
      <c r="B922" s="10"/>
      <c r="C922" s="10"/>
    </row>
    <row r="923" spans="1:3" ht="15.75" customHeight="1">
      <c r="A923" s="12" t="s">
        <v>852</v>
      </c>
      <c r="B923" s="10"/>
      <c r="C923" s="10"/>
    </row>
    <row r="924" spans="1:3" ht="15.75" customHeight="1">
      <c r="A924" s="12" t="s">
        <v>821</v>
      </c>
      <c r="B924" s="10"/>
      <c r="C924" s="10"/>
    </row>
    <row r="925" spans="1:3" ht="15.75" customHeight="1">
      <c r="A925" s="12" t="s">
        <v>834</v>
      </c>
      <c r="B925" s="10"/>
      <c r="C925" s="10"/>
    </row>
    <row r="926" spans="1:3" ht="15.75" customHeight="1">
      <c r="A926" s="12" t="s">
        <v>827</v>
      </c>
      <c r="B926" s="10"/>
      <c r="C926" s="10"/>
    </row>
    <row r="927" spans="1:3" ht="15.75" customHeight="1">
      <c r="A927" s="12" t="s">
        <v>834</v>
      </c>
      <c r="B927" s="10"/>
      <c r="C927" s="10"/>
    </row>
    <row r="928" spans="1:3" ht="15.75" customHeight="1">
      <c r="A928" s="12" t="s">
        <v>836</v>
      </c>
      <c r="B928" s="10"/>
      <c r="C928" s="10"/>
    </row>
    <row r="929" spans="1:3" ht="15.75" customHeight="1">
      <c r="A929" s="12" t="s">
        <v>829</v>
      </c>
      <c r="B929" s="10"/>
      <c r="C929" s="10"/>
    </row>
    <row r="930" spans="1:3" ht="15.75" customHeight="1">
      <c r="A930" s="12" t="s">
        <v>847</v>
      </c>
      <c r="B930" s="10"/>
      <c r="C930" s="10"/>
    </row>
    <row r="931" spans="1:3" ht="15.75" customHeight="1">
      <c r="A931" s="12" t="s">
        <v>825</v>
      </c>
      <c r="B931" s="10"/>
      <c r="C931" s="10"/>
    </row>
    <row r="932" spans="1:3" ht="15.75" customHeight="1">
      <c r="A932" s="12" t="s">
        <v>843</v>
      </c>
      <c r="B932" s="10"/>
      <c r="C932" s="10"/>
    </row>
    <row r="933" spans="1:3" ht="15.75" customHeight="1">
      <c r="A933" s="12" t="s">
        <v>833</v>
      </c>
      <c r="B933" s="10"/>
      <c r="C933" s="10"/>
    </row>
    <row r="934" spans="1:3" ht="15.75" customHeight="1">
      <c r="A934" s="12" t="s">
        <v>849</v>
      </c>
      <c r="B934" s="10"/>
      <c r="C934" s="10"/>
    </row>
    <row r="935" spans="1:3" ht="15.75" customHeight="1">
      <c r="A935" s="12" t="s">
        <v>840</v>
      </c>
      <c r="B935" s="10"/>
      <c r="C935" s="10"/>
    </row>
    <row r="936" spans="1:3" ht="15.75" customHeight="1">
      <c r="A936" s="12" t="s">
        <v>836</v>
      </c>
      <c r="B936" s="10"/>
      <c r="C936" s="10"/>
    </row>
    <row r="937" spans="1:3" ht="15.75" customHeight="1">
      <c r="A937" s="12" t="s">
        <v>836</v>
      </c>
      <c r="B937" s="10"/>
      <c r="C937" s="10"/>
    </row>
    <row r="938" spans="1:3" ht="15.75" customHeight="1">
      <c r="A938" s="12" t="s">
        <v>826</v>
      </c>
      <c r="B938" s="10"/>
      <c r="C938" s="10"/>
    </row>
    <row r="939" spans="1:3" ht="15.75" customHeight="1">
      <c r="A939" s="12" t="s">
        <v>832</v>
      </c>
      <c r="B939" s="10"/>
      <c r="C939" s="10"/>
    </row>
    <row r="940" spans="1:3" ht="15.75" customHeight="1">
      <c r="A940" s="12" t="s">
        <v>837</v>
      </c>
      <c r="B940" s="10"/>
      <c r="C940" s="10"/>
    </row>
    <row r="941" spans="1:3" ht="15.75" customHeight="1">
      <c r="A941" s="12" t="s">
        <v>847</v>
      </c>
      <c r="B941" s="10"/>
      <c r="C941" s="10"/>
    </row>
    <row r="942" spans="1:3" ht="15.75" customHeight="1">
      <c r="A942" s="12" t="s">
        <v>851</v>
      </c>
      <c r="B942" s="10"/>
      <c r="C942" s="10"/>
    </row>
    <row r="943" spans="1:3" ht="15.75" customHeight="1">
      <c r="A943" s="12" t="s">
        <v>851</v>
      </c>
      <c r="B943" s="10"/>
      <c r="C943" s="10"/>
    </row>
    <row r="944" spans="1:3" ht="15.75" customHeight="1">
      <c r="A944" s="12" t="s">
        <v>837</v>
      </c>
      <c r="B944" s="10"/>
      <c r="C944" s="10"/>
    </row>
    <row r="945" spans="1:3" ht="15.75" customHeight="1">
      <c r="A945" s="12" t="s">
        <v>832</v>
      </c>
      <c r="B945" s="10"/>
      <c r="C945" s="10"/>
    </row>
    <row r="946" spans="1:3" ht="15.75" customHeight="1">
      <c r="A946" s="12" t="s">
        <v>836</v>
      </c>
      <c r="B946" s="10"/>
      <c r="C946" s="10"/>
    </row>
    <row r="947" spans="1:3" ht="15.75" customHeight="1">
      <c r="A947" s="12" t="s">
        <v>834</v>
      </c>
      <c r="B947" s="10"/>
      <c r="C947" s="10"/>
    </row>
    <row r="948" spans="1:3" ht="15.75" customHeight="1">
      <c r="A948" s="12" t="s">
        <v>834</v>
      </c>
      <c r="B948" s="10"/>
      <c r="C948" s="10"/>
    </row>
    <row r="949" spans="1:3" ht="15.75" customHeight="1">
      <c r="A949" s="12" t="s">
        <v>846</v>
      </c>
      <c r="B949" s="10"/>
      <c r="C949" s="10"/>
    </row>
    <row r="950" spans="1:3" ht="15.75" customHeight="1">
      <c r="A950" s="12" t="s">
        <v>845</v>
      </c>
      <c r="B950" s="10"/>
      <c r="C950" s="10"/>
    </row>
    <row r="951" spans="1:3" ht="15.75" customHeight="1">
      <c r="A951" s="12" t="s">
        <v>827</v>
      </c>
      <c r="B951" s="10"/>
      <c r="C951" s="10"/>
    </row>
    <row r="952" spans="1:3" ht="15.75" customHeight="1">
      <c r="A952" s="12" t="s">
        <v>845</v>
      </c>
      <c r="B952" s="10"/>
      <c r="C952" s="10"/>
    </row>
    <row r="953" spans="1:3" ht="15.75" customHeight="1">
      <c r="A953" s="12" t="s">
        <v>837</v>
      </c>
      <c r="B953" s="10"/>
      <c r="C953" s="10"/>
    </row>
    <row r="954" spans="1:3" ht="15.75" customHeight="1">
      <c r="A954" s="12" t="s">
        <v>824</v>
      </c>
      <c r="B954" s="10"/>
      <c r="C954" s="10"/>
    </row>
    <row r="955" spans="1:3" ht="15.75" customHeight="1">
      <c r="A955" s="12" t="s">
        <v>826</v>
      </c>
      <c r="B955" s="10"/>
      <c r="C955" s="10"/>
    </row>
    <row r="956" spans="1:3" ht="15.75" customHeight="1">
      <c r="A956" s="12" t="s">
        <v>837</v>
      </c>
      <c r="B956" s="10"/>
      <c r="C956" s="10"/>
    </row>
    <row r="957" spans="1:3" ht="15.75" customHeight="1">
      <c r="A957" s="12" t="s">
        <v>850</v>
      </c>
      <c r="B957" s="10"/>
      <c r="C957" s="10"/>
    </row>
    <row r="958" spans="1:3" ht="15.75" customHeight="1">
      <c r="A958" s="12" t="s">
        <v>826</v>
      </c>
      <c r="B958" s="10"/>
      <c r="C958" s="10"/>
    </row>
    <row r="959" spans="1:3" ht="15.75" customHeight="1">
      <c r="A959" s="12" t="s">
        <v>842</v>
      </c>
      <c r="B959" s="10"/>
      <c r="C959" s="10"/>
    </row>
    <row r="960" spans="1:3" ht="15.75" customHeight="1">
      <c r="A960" s="12" t="s">
        <v>852</v>
      </c>
      <c r="B960" s="10"/>
      <c r="C960" s="10"/>
    </row>
    <row r="961" spans="1:3" ht="15.75" customHeight="1">
      <c r="A961" s="12" t="s">
        <v>826</v>
      </c>
      <c r="B961" s="10"/>
      <c r="C961" s="10"/>
    </row>
    <row r="962" spans="1:3" ht="15.75" customHeight="1">
      <c r="A962" s="12" t="s">
        <v>847</v>
      </c>
      <c r="B962" s="10"/>
      <c r="C962" s="10"/>
    </row>
    <row r="963" spans="1:3" ht="15.75" customHeight="1">
      <c r="A963" s="12" t="s">
        <v>840</v>
      </c>
      <c r="B963" s="10"/>
      <c r="C963" s="10"/>
    </row>
    <row r="964" spans="1:3" ht="15.75" customHeight="1">
      <c r="A964" s="12" t="s">
        <v>832</v>
      </c>
      <c r="B964" s="10"/>
      <c r="C964" s="10"/>
    </row>
    <row r="965" spans="1:3" ht="15.75" customHeight="1">
      <c r="A965" s="12" t="s">
        <v>834</v>
      </c>
      <c r="B965" s="10"/>
      <c r="C965" s="10"/>
    </row>
    <row r="966" spans="1:3" ht="15.75" customHeight="1">
      <c r="A966" s="12" t="s">
        <v>827</v>
      </c>
      <c r="B966" s="10"/>
      <c r="C966" s="10"/>
    </row>
    <row r="967" spans="1:3" ht="15.75" customHeight="1">
      <c r="A967" s="12" t="s">
        <v>828</v>
      </c>
      <c r="B967" s="10"/>
      <c r="C967" s="10"/>
    </row>
    <row r="968" spans="1:3" ht="15.75" customHeight="1">
      <c r="A968" s="12" t="s">
        <v>827</v>
      </c>
      <c r="B968" s="10"/>
      <c r="C968" s="10"/>
    </row>
    <row r="969" spans="1:3" ht="15.75" customHeight="1">
      <c r="A969" s="12" t="s">
        <v>849</v>
      </c>
      <c r="B969" s="10"/>
      <c r="C969" s="10"/>
    </row>
    <row r="970" spans="1:3" ht="15.75" customHeight="1">
      <c r="A970" s="12" t="s">
        <v>820</v>
      </c>
      <c r="B970" s="10"/>
      <c r="C970" s="10"/>
    </row>
    <row r="971" spans="1:3" ht="15.75" customHeight="1">
      <c r="A971" s="12" t="s">
        <v>826</v>
      </c>
      <c r="B971" s="10"/>
      <c r="C971" s="10"/>
    </row>
    <row r="972" spans="1:3" ht="15.75" customHeight="1">
      <c r="A972" s="12" t="s">
        <v>834</v>
      </c>
      <c r="B972" s="10"/>
      <c r="C972" s="10"/>
    </row>
    <row r="973" spans="1:3" ht="15.75" customHeight="1">
      <c r="A973" s="12" t="s">
        <v>839</v>
      </c>
      <c r="B973" s="10"/>
      <c r="C973" s="10"/>
    </row>
    <row r="974" spans="1:3" ht="15.75" customHeight="1">
      <c r="A974" s="12" t="s">
        <v>848</v>
      </c>
      <c r="B974" s="10"/>
      <c r="C974" s="10"/>
    </row>
    <row r="975" spans="1:3" ht="15.75" customHeight="1">
      <c r="A975" s="12" t="s">
        <v>848</v>
      </c>
      <c r="B975" s="10"/>
      <c r="C975" s="10"/>
    </row>
    <row r="976" spans="1:3" ht="15.75" customHeight="1">
      <c r="A976" s="12" t="s">
        <v>820</v>
      </c>
      <c r="B976" s="10"/>
      <c r="C976" s="10"/>
    </row>
    <row r="977" spans="1:3" ht="15.75" customHeight="1">
      <c r="A977" s="12" t="s">
        <v>824</v>
      </c>
      <c r="B977" s="10"/>
      <c r="C977" s="10"/>
    </row>
    <row r="978" spans="1:3" ht="15.75" customHeight="1">
      <c r="A978" s="12" t="s">
        <v>835</v>
      </c>
      <c r="B978" s="10"/>
      <c r="C978" s="10"/>
    </row>
    <row r="979" spans="1:3" ht="15.75" customHeight="1">
      <c r="A979" s="12" t="s">
        <v>842</v>
      </c>
      <c r="B979" s="10"/>
      <c r="C979" s="10"/>
    </row>
    <row r="980" spans="1:3" ht="15.75" customHeight="1">
      <c r="A980" s="12" t="s">
        <v>831</v>
      </c>
      <c r="B980" s="10"/>
      <c r="C980" s="10"/>
    </row>
    <row r="981" spans="1:3" ht="15.75" customHeight="1">
      <c r="A981" s="12" t="s">
        <v>834</v>
      </c>
      <c r="B981" s="10"/>
      <c r="C981" s="10"/>
    </row>
    <row r="982" spans="1:3" ht="15.75" customHeight="1">
      <c r="A982" s="12" t="s">
        <v>848</v>
      </c>
      <c r="B982" s="10"/>
      <c r="C982" s="10"/>
    </row>
    <row r="983" spans="1:3" ht="15.75" customHeight="1">
      <c r="A983" s="12" t="s">
        <v>837</v>
      </c>
      <c r="B983" s="10"/>
      <c r="C983" s="10"/>
    </row>
    <row r="984" spans="1:3" ht="15.75" customHeight="1">
      <c r="A984" s="12" t="s">
        <v>833</v>
      </c>
      <c r="B984" s="10"/>
      <c r="C984" s="10"/>
    </row>
    <row r="985" spans="1:3" ht="15.75" customHeight="1">
      <c r="A985" s="12" t="s">
        <v>830</v>
      </c>
      <c r="B985" s="10"/>
      <c r="C985" s="10"/>
    </row>
    <row r="986" spans="1:3" ht="15.75" customHeight="1">
      <c r="A986" s="12" t="s">
        <v>840</v>
      </c>
      <c r="B986" s="10"/>
      <c r="C986" s="10"/>
    </row>
    <row r="987" spans="1:3" ht="15.75" customHeight="1">
      <c r="A987" s="12" t="s">
        <v>845</v>
      </c>
      <c r="B987" s="10"/>
      <c r="C987" s="10"/>
    </row>
    <row r="988" spans="1:3" ht="15.75" customHeight="1">
      <c r="A988" s="12" t="s">
        <v>824</v>
      </c>
      <c r="B988" s="10"/>
      <c r="C988" s="10"/>
    </row>
    <row r="989" spans="1:3" ht="15.75" customHeight="1">
      <c r="A989" s="12" t="s">
        <v>832</v>
      </c>
      <c r="B989" s="10"/>
      <c r="C989" s="10"/>
    </row>
    <row r="990" spans="1:3" ht="15.75" customHeight="1">
      <c r="A990" s="12" t="s">
        <v>852</v>
      </c>
      <c r="B990" s="10"/>
      <c r="C990" s="10"/>
    </row>
    <row r="991" spans="1:3" ht="15.75" customHeight="1">
      <c r="A991" s="12" t="s">
        <v>832</v>
      </c>
      <c r="B991" s="10"/>
      <c r="C991" s="10"/>
    </row>
    <row r="992" spans="1:3" ht="15.75" customHeight="1">
      <c r="A992" s="12" t="s">
        <v>852</v>
      </c>
      <c r="B992" s="10"/>
      <c r="C992" s="10"/>
    </row>
    <row r="993" spans="1:3" ht="15.75" customHeight="1">
      <c r="A993" s="12" t="s">
        <v>824</v>
      </c>
      <c r="B993" s="10"/>
      <c r="C993" s="10"/>
    </row>
    <row r="994" spans="1:3" ht="15.75" customHeight="1">
      <c r="A994" s="12" t="s">
        <v>824</v>
      </c>
      <c r="B994" s="10"/>
      <c r="C994" s="10"/>
    </row>
    <row r="995" spans="1:3" ht="15.75" customHeight="1">
      <c r="A995" s="12" t="s">
        <v>846</v>
      </c>
      <c r="B995" s="10"/>
      <c r="C995" s="10"/>
    </row>
    <row r="996" spans="1:3" ht="15.75" customHeight="1">
      <c r="A996" s="12" t="s">
        <v>837</v>
      </c>
      <c r="B996" s="10"/>
      <c r="C996" s="10"/>
    </row>
    <row r="997" spans="1:3" ht="15.75" customHeight="1">
      <c r="A997" s="12" t="s">
        <v>830</v>
      </c>
      <c r="B997" s="10"/>
      <c r="C997" s="10"/>
    </row>
    <row r="998" spans="1:3" ht="15.75" customHeight="1">
      <c r="A998" s="12" t="s">
        <v>822</v>
      </c>
      <c r="B998" s="10"/>
      <c r="C998" s="10"/>
    </row>
    <row r="999" spans="1:3" ht="15.75" customHeight="1">
      <c r="A999" s="12" t="s">
        <v>840</v>
      </c>
      <c r="B999" s="10"/>
      <c r="C999" s="10"/>
    </row>
    <row r="1000" spans="1:3" ht="15.75" customHeight="1">
      <c r="A1000" s="12" t="s">
        <v>829</v>
      </c>
      <c r="B1000" s="10"/>
      <c r="C1000" s="10"/>
    </row>
    <row r="1001" spans="1:3" ht="15.75" customHeight="1">
      <c r="A1001" s="12" t="s">
        <v>844</v>
      </c>
      <c r="B1001" s="10"/>
      <c r="C1001" s="10"/>
    </row>
    <row r="1002" spans="1:3" ht="15.75" customHeight="1">
      <c r="A1002" s="12" t="s">
        <v>818</v>
      </c>
      <c r="B1002" s="10"/>
      <c r="C1002" s="10"/>
    </row>
    <row r="1003" spans="1:3" ht="15.75" customHeight="1">
      <c r="A1003" s="12" t="s">
        <v>837</v>
      </c>
      <c r="B1003" s="10"/>
      <c r="C1003" s="10"/>
    </row>
    <row r="1004" spans="1:3" ht="15.75" customHeight="1">
      <c r="A1004" s="12" t="s">
        <v>820</v>
      </c>
      <c r="B1004" s="10"/>
      <c r="C1004" s="10"/>
    </row>
    <row r="1005" spans="1:3" ht="15.75" customHeight="1">
      <c r="A1005" s="12" t="s">
        <v>841</v>
      </c>
      <c r="B1005" s="10"/>
      <c r="C1005" s="10"/>
    </row>
    <row r="1006" spans="1:3" ht="15.75" customHeight="1">
      <c r="A1006" s="12" t="s">
        <v>840</v>
      </c>
      <c r="B1006" s="10"/>
      <c r="C1006" s="10"/>
    </row>
    <row r="1007" spans="1:3" ht="15.75" customHeight="1">
      <c r="A1007" s="12" t="s">
        <v>818</v>
      </c>
      <c r="B1007" s="10"/>
      <c r="C1007" s="10"/>
    </row>
    <row r="1008" spans="1:3" ht="15.75" customHeight="1">
      <c r="A1008" s="12" t="s">
        <v>837</v>
      </c>
      <c r="B1008" s="10"/>
      <c r="C1008" s="10"/>
    </row>
    <row r="1009" spans="1:3" ht="15.75" customHeight="1">
      <c r="A1009" s="12" t="s">
        <v>837</v>
      </c>
      <c r="B1009" s="10"/>
      <c r="C1009" s="10"/>
    </row>
    <row r="1010" spans="1:3" ht="15.75" customHeight="1">
      <c r="A1010" s="12" t="s">
        <v>824</v>
      </c>
      <c r="B1010" s="10"/>
      <c r="C1010" s="10"/>
    </row>
    <row r="1011" spans="1:3" ht="15.75" customHeight="1">
      <c r="A1011" s="12" t="s">
        <v>837</v>
      </c>
      <c r="B1011" s="10"/>
      <c r="C1011" s="10"/>
    </row>
    <row r="1012" spans="1:3" ht="15.75" customHeight="1">
      <c r="A1012" s="12" t="s">
        <v>837</v>
      </c>
      <c r="B1012" s="10"/>
      <c r="C1012" s="10"/>
    </row>
    <row r="1013" spans="1:3" ht="15.75" customHeight="1">
      <c r="A1013" s="12" t="s">
        <v>836</v>
      </c>
      <c r="B1013" s="10"/>
      <c r="C1013" s="10"/>
    </row>
    <row r="1014" spans="1:3" ht="15.75" customHeight="1">
      <c r="A1014" s="12" t="s">
        <v>845</v>
      </c>
      <c r="B1014" s="10"/>
      <c r="C1014" s="10"/>
    </row>
    <row r="1015" spans="1:3" ht="15.75" customHeight="1">
      <c r="A1015" s="12" t="s">
        <v>851</v>
      </c>
      <c r="B1015" s="10"/>
      <c r="C1015" s="10"/>
    </row>
    <row r="1016" spans="1:3" ht="15.75" customHeight="1">
      <c r="A1016" s="12" t="s">
        <v>847</v>
      </c>
      <c r="B1016" s="10"/>
      <c r="C1016" s="10"/>
    </row>
    <row r="1017" spans="1:3" ht="15.75" customHeight="1">
      <c r="A1017" s="12" t="s">
        <v>837</v>
      </c>
      <c r="B1017" s="10"/>
      <c r="C1017" s="10"/>
    </row>
    <row r="1018" spans="1:3" ht="15.75" customHeight="1">
      <c r="A1018" s="12" t="s">
        <v>843</v>
      </c>
      <c r="B1018" s="10"/>
      <c r="C1018" s="10"/>
    </row>
    <row r="1019" spans="1:3" ht="15.75" customHeight="1">
      <c r="A1019" s="12" t="s">
        <v>827</v>
      </c>
      <c r="B1019" s="10"/>
      <c r="C1019" s="10"/>
    </row>
    <row r="1020" spans="1:3" ht="15.75" customHeight="1">
      <c r="A1020" s="12" t="s">
        <v>825</v>
      </c>
      <c r="B1020" s="10"/>
      <c r="C1020" s="10"/>
    </row>
    <row r="1021" spans="1:3" ht="15.75" customHeight="1">
      <c r="A1021" s="12" t="s">
        <v>841</v>
      </c>
      <c r="B1021" s="10"/>
      <c r="C1021" s="10"/>
    </row>
    <row r="1022" spans="1:3" ht="15.75" customHeight="1">
      <c r="A1022" s="12" t="s">
        <v>829</v>
      </c>
      <c r="B1022" s="10"/>
      <c r="C1022" s="10"/>
    </row>
    <row r="1023" spans="1:3" ht="15.75" customHeight="1">
      <c r="A1023" s="12" t="s">
        <v>832</v>
      </c>
      <c r="B1023" s="10"/>
      <c r="C1023" s="10"/>
    </row>
    <row r="1024" spans="1:3" ht="15.75" customHeight="1">
      <c r="A1024" s="12" t="s">
        <v>853</v>
      </c>
      <c r="B1024" s="10"/>
      <c r="C1024" s="10"/>
    </row>
    <row r="1025" spans="1:3" ht="15.75" customHeight="1">
      <c r="A1025" s="12" t="s">
        <v>850</v>
      </c>
      <c r="B1025" s="10"/>
      <c r="C1025" s="10"/>
    </row>
    <row r="1026" spans="1:3" ht="15.75" customHeight="1">
      <c r="A1026" s="12" t="s">
        <v>836</v>
      </c>
      <c r="B1026" s="10"/>
      <c r="C1026" s="10"/>
    </row>
    <row r="1027" spans="1:3" ht="15.75" customHeight="1">
      <c r="A1027" s="12" t="s">
        <v>852</v>
      </c>
      <c r="B1027" s="10"/>
      <c r="C1027" s="10"/>
    </row>
    <row r="1028" spans="1:3" ht="15.75" customHeight="1">
      <c r="A1028" s="12" t="s">
        <v>826</v>
      </c>
      <c r="B1028" s="10"/>
      <c r="C1028" s="10"/>
    </row>
    <row r="1029" spans="1:3" ht="15.75" customHeight="1">
      <c r="A1029" s="12" t="s">
        <v>831</v>
      </c>
      <c r="B1029" s="10"/>
      <c r="C1029" s="10"/>
    </row>
    <row r="1030" spans="1:3" ht="15.75" customHeight="1">
      <c r="A1030" s="12" t="s">
        <v>824</v>
      </c>
      <c r="B1030" s="10"/>
      <c r="C1030" s="10"/>
    </row>
    <row r="1031" spans="1:3" ht="15.75" customHeight="1">
      <c r="A1031" s="12" t="s">
        <v>841</v>
      </c>
      <c r="B1031" s="10"/>
      <c r="C1031" s="10"/>
    </row>
    <row r="1032" spans="1:3" ht="15.75" customHeight="1">
      <c r="A1032" s="12" t="s">
        <v>843</v>
      </c>
      <c r="B1032" s="10"/>
      <c r="C1032" s="10"/>
    </row>
    <row r="1033" spans="1:3" ht="15.75" customHeight="1">
      <c r="A1033" s="12" t="s">
        <v>837</v>
      </c>
      <c r="B1033" s="10"/>
      <c r="C1033" s="10"/>
    </row>
    <row r="1034" spans="1:3" ht="15.75" customHeight="1">
      <c r="A1034" s="12" t="s">
        <v>849</v>
      </c>
      <c r="B1034" s="10"/>
      <c r="C1034" s="10"/>
    </row>
    <row r="1035" spans="1:3" ht="15.75" customHeight="1">
      <c r="A1035" s="12" t="s">
        <v>836</v>
      </c>
      <c r="B1035" s="10"/>
      <c r="C1035" s="10"/>
    </row>
    <row r="1036" spans="1:3" ht="15.75" customHeight="1">
      <c r="A1036" s="12" t="s">
        <v>834</v>
      </c>
      <c r="B1036" s="10"/>
      <c r="C1036" s="10"/>
    </row>
    <row r="1037" spans="1:3" ht="15.75" customHeight="1">
      <c r="A1037" s="12" t="s">
        <v>845</v>
      </c>
      <c r="B1037" s="10"/>
      <c r="C1037" s="10"/>
    </row>
    <row r="1038" spans="1:3" ht="15.75" customHeight="1">
      <c r="A1038" s="12" t="s">
        <v>842</v>
      </c>
      <c r="B1038" s="10"/>
      <c r="C1038" s="10"/>
    </row>
    <row r="1039" spans="1:3" ht="15.75" customHeight="1">
      <c r="A1039" s="12" t="s">
        <v>846</v>
      </c>
      <c r="B1039" s="10"/>
      <c r="C1039" s="10"/>
    </row>
    <row r="1040" spans="1:3" ht="15.75" customHeight="1">
      <c r="A1040" s="12" t="s">
        <v>840</v>
      </c>
      <c r="B1040" s="10"/>
      <c r="C1040" s="10"/>
    </row>
    <row r="1041" spans="1:3" ht="15.75" customHeight="1">
      <c r="A1041" s="12" t="s">
        <v>833</v>
      </c>
      <c r="B1041" s="10"/>
      <c r="C1041" s="10"/>
    </row>
    <row r="1042" spans="1:3" ht="15.75" customHeight="1">
      <c r="A1042" s="12" t="s">
        <v>840</v>
      </c>
      <c r="B1042" s="10"/>
      <c r="C1042" s="10"/>
    </row>
    <row r="1043" spans="1:3" ht="15.75" customHeight="1">
      <c r="A1043" s="12" t="s">
        <v>821</v>
      </c>
      <c r="B1043" s="10"/>
      <c r="C1043" s="10"/>
    </row>
    <row r="1044" spans="1:3" ht="15.75" customHeight="1">
      <c r="A1044" s="12" t="s">
        <v>847</v>
      </c>
      <c r="B1044" s="10"/>
      <c r="C1044" s="10"/>
    </row>
    <row r="1045" spans="1:3" ht="15.75" customHeight="1">
      <c r="A1045" s="12" t="s">
        <v>828</v>
      </c>
      <c r="B1045" s="10"/>
      <c r="C1045" s="10"/>
    </row>
    <row r="1046" spans="1:3" ht="15.75" customHeight="1">
      <c r="A1046" s="12" t="s">
        <v>822</v>
      </c>
      <c r="B1046" s="10"/>
      <c r="C1046" s="10"/>
    </row>
    <row r="1047" spans="1:3" ht="15.75" customHeight="1">
      <c r="A1047" s="12" t="s">
        <v>837</v>
      </c>
      <c r="B1047" s="10"/>
      <c r="C1047" s="10"/>
    </row>
    <row r="1048" spans="1:3" ht="15.75" customHeight="1">
      <c r="A1048" s="12" t="s">
        <v>844</v>
      </c>
      <c r="B1048" s="10"/>
      <c r="C1048" s="10"/>
    </row>
    <row r="1049" spans="1:3" ht="15.75" customHeight="1">
      <c r="A1049" s="12" t="s">
        <v>841</v>
      </c>
      <c r="B1049" s="10"/>
      <c r="C1049" s="10"/>
    </row>
    <row r="1050" spans="1:3" ht="15.75" customHeight="1">
      <c r="A1050" s="12" t="s">
        <v>837</v>
      </c>
      <c r="B1050" s="10"/>
      <c r="C1050" s="10"/>
    </row>
    <row r="1051" spans="1:3" ht="15.75" customHeight="1">
      <c r="A1051" s="12" t="s">
        <v>825</v>
      </c>
      <c r="B1051" s="10"/>
      <c r="C1051" s="10"/>
    </row>
    <row r="1052" spans="1:3" ht="15.75" customHeight="1">
      <c r="A1052" s="12" t="s">
        <v>845</v>
      </c>
      <c r="B1052" s="10"/>
      <c r="C1052" s="10"/>
    </row>
    <row r="1053" spans="1:3" ht="15.75" customHeight="1">
      <c r="A1053" s="12" t="s">
        <v>846</v>
      </c>
      <c r="B1053" s="10"/>
      <c r="C1053" s="10"/>
    </row>
    <row r="1054" spans="1:3" ht="15.75" customHeight="1">
      <c r="A1054" s="12" t="s">
        <v>845</v>
      </c>
      <c r="B1054" s="10"/>
      <c r="C1054" s="10"/>
    </row>
    <row r="1055" spans="1:3" ht="15.75" customHeight="1">
      <c r="A1055" s="12" t="s">
        <v>837</v>
      </c>
      <c r="B1055" s="10"/>
      <c r="C1055" s="10"/>
    </row>
    <row r="1056" spans="1:3" ht="15.75" customHeight="1">
      <c r="A1056" s="12" t="s">
        <v>840</v>
      </c>
      <c r="B1056" s="10"/>
      <c r="C1056" s="10"/>
    </row>
    <row r="1057" spans="1:3" ht="15.75" customHeight="1">
      <c r="A1057" s="12" t="s">
        <v>820</v>
      </c>
      <c r="B1057" s="10"/>
      <c r="C1057" s="10"/>
    </row>
    <row r="1058" spans="1:3" ht="15.75" customHeight="1">
      <c r="A1058" s="12" t="s">
        <v>838</v>
      </c>
      <c r="B1058" s="10"/>
      <c r="C1058" s="10"/>
    </row>
    <row r="1059" spans="1:3" ht="15.75" customHeight="1">
      <c r="A1059" s="12" t="s">
        <v>826</v>
      </c>
      <c r="B1059" s="10"/>
      <c r="C1059" s="10"/>
    </row>
    <row r="1060" spans="1:3" ht="15.75" customHeight="1">
      <c r="A1060" s="12" t="s">
        <v>853</v>
      </c>
      <c r="B1060" s="10"/>
      <c r="C1060" s="10"/>
    </row>
    <row r="1061" spans="1:3" ht="15.75" customHeight="1">
      <c r="A1061" s="12" t="s">
        <v>820</v>
      </c>
      <c r="B1061" s="10"/>
      <c r="C1061" s="10"/>
    </row>
    <row r="1062" spans="1:3" ht="15.75" customHeight="1">
      <c r="A1062" s="12" t="s">
        <v>834</v>
      </c>
      <c r="B1062" s="10"/>
      <c r="C1062" s="10"/>
    </row>
    <row r="1063" spans="1:3" ht="15.75" customHeight="1">
      <c r="A1063" s="12" t="s">
        <v>828</v>
      </c>
      <c r="B1063" s="10"/>
      <c r="C1063" s="10"/>
    </row>
    <row r="1064" spans="1:3" ht="15.75" customHeight="1">
      <c r="A1064" s="12" t="s">
        <v>820</v>
      </c>
      <c r="B1064" s="10"/>
      <c r="C1064" s="10"/>
    </row>
    <row r="1065" spans="1:3" ht="15.75" customHeight="1">
      <c r="A1065" s="12" t="s">
        <v>833</v>
      </c>
      <c r="B1065" s="10"/>
      <c r="C1065" s="10"/>
    </row>
    <row r="1066" spans="1:3" ht="15.75" customHeight="1">
      <c r="A1066" s="12" t="s">
        <v>826</v>
      </c>
      <c r="B1066" s="10"/>
      <c r="C1066" s="10"/>
    </row>
    <row r="1067" spans="1:3" ht="15.75" customHeight="1">
      <c r="A1067" s="12" t="s">
        <v>827</v>
      </c>
      <c r="B1067" s="10"/>
      <c r="C1067" s="10"/>
    </row>
    <row r="1068" spans="1:3" ht="15.75" customHeight="1">
      <c r="A1068" s="12" t="s">
        <v>839</v>
      </c>
      <c r="B1068" s="10"/>
      <c r="C1068" s="10"/>
    </row>
    <row r="1069" spans="1:3" ht="15.75" customHeight="1">
      <c r="A1069" s="12" t="s">
        <v>836</v>
      </c>
      <c r="B1069" s="10"/>
      <c r="C1069" s="10"/>
    </row>
    <row r="1070" spans="1:3" ht="15.75" customHeight="1">
      <c r="A1070" s="12" t="s">
        <v>820</v>
      </c>
      <c r="B1070" s="10"/>
      <c r="C1070" s="10"/>
    </row>
    <row r="1071" spans="1:3" ht="15.75" customHeight="1">
      <c r="A1071" s="12" t="s">
        <v>832</v>
      </c>
      <c r="B1071" s="10"/>
      <c r="C1071" s="10"/>
    </row>
    <row r="1072" spans="1:3" ht="15.75" customHeight="1">
      <c r="A1072" s="12" t="s">
        <v>835</v>
      </c>
      <c r="B1072" s="10"/>
      <c r="C1072" s="10"/>
    </row>
    <row r="1073" spans="1:3" ht="15.75" customHeight="1">
      <c r="A1073" s="12" t="s">
        <v>844</v>
      </c>
      <c r="B1073" s="10"/>
      <c r="C1073" s="10"/>
    </row>
    <row r="1074" spans="1:3" ht="15.75" customHeight="1">
      <c r="A1074" s="12" t="s">
        <v>824</v>
      </c>
      <c r="B1074" s="10"/>
      <c r="C1074" s="10"/>
    </row>
    <row r="1075" spans="1:3" ht="15.75" customHeight="1">
      <c r="A1075" s="12" t="s">
        <v>830</v>
      </c>
      <c r="B1075" s="10"/>
      <c r="C1075" s="10"/>
    </row>
    <row r="1076" spans="1:3" ht="15.75" customHeight="1">
      <c r="A1076" s="12" t="s">
        <v>847</v>
      </c>
      <c r="B1076" s="10"/>
      <c r="C1076" s="10"/>
    </row>
    <row r="1077" spans="1:3" ht="15.75" customHeight="1">
      <c r="A1077" s="12" t="s">
        <v>847</v>
      </c>
      <c r="B1077" s="10"/>
      <c r="C1077" s="10"/>
    </row>
    <row r="1078" spans="1:3" ht="15.75" customHeight="1">
      <c r="A1078" s="12" t="s">
        <v>834</v>
      </c>
      <c r="B1078" s="10"/>
      <c r="C1078" s="10"/>
    </row>
    <row r="1079" spans="1:3" ht="15.75" customHeight="1">
      <c r="A1079" s="12" t="s">
        <v>838</v>
      </c>
      <c r="B1079" s="10"/>
      <c r="C1079" s="10"/>
    </row>
    <row r="1080" spans="1:3" ht="15.75" customHeight="1">
      <c r="A1080" s="12" t="s">
        <v>834</v>
      </c>
      <c r="B1080" s="10"/>
      <c r="C1080" s="10"/>
    </row>
    <row r="1081" spans="1:3" ht="15.75" customHeight="1">
      <c r="A1081" s="12" t="s">
        <v>827</v>
      </c>
      <c r="B1081" s="10"/>
      <c r="C1081" s="10"/>
    </row>
    <row r="1082" spans="1:3" ht="15.75" customHeight="1">
      <c r="A1082" s="12" t="s">
        <v>840</v>
      </c>
      <c r="B1082" s="10"/>
      <c r="C1082" s="10"/>
    </row>
    <row r="1083" spans="1:3" ht="15.75" customHeight="1">
      <c r="A1083" s="12" t="s">
        <v>838</v>
      </c>
      <c r="B1083" s="10"/>
      <c r="C1083" s="10"/>
    </row>
    <row r="1084" spans="1:3" ht="15.75" customHeight="1">
      <c r="A1084" s="12" t="s">
        <v>831</v>
      </c>
      <c r="B1084" s="10"/>
      <c r="C1084" s="10"/>
    </row>
    <row r="1085" spans="1:3" ht="15.75" customHeight="1">
      <c r="A1085" s="12" t="s">
        <v>849</v>
      </c>
      <c r="B1085" s="10"/>
      <c r="C1085" s="10"/>
    </row>
    <row r="1086" spans="1:3" ht="15.75" customHeight="1">
      <c r="A1086" s="12" t="s">
        <v>847</v>
      </c>
      <c r="B1086" s="10"/>
      <c r="C1086" s="10"/>
    </row>
    <row r="1087" spans="1:3" ht="15.75" customHeight="1">
      <c r="A1087" s="12" t="s">
        <v>823</v>
      </c>
      <c r="B1087" s="10"/>
      <c r="C1087" s="10"/>
    </row>
    <row r="1088" spans="1:3" ht="15.75" customHeight="1">
      <c r="A1088" s="12" t="s">
        <v>824</v>
      </c>
      <c r="B1088" s="10"/>
      <c r="C1088" s="10"/>
    </row>
    <row r="1089" spans="1:3" ht="15.75" customHeight="1">
      <c r="A1089" s="12" t="s">
        <v>853</v>
      </c>
      <c r="B1089" s="10"/>
      <c r="C1089" s="10"/>
    </row>
    <row r="1090" spans="1:3" ht="15.75" customHeight="1">
      <c r="A1090" s="12" t="s">
        <v>818</v>
      </c>
      <c r="B1090" s="10"/>
      <c r="C1090" s="10"/>
    </row>
    <row r="1091" spans="1:3" ht="15.75" customHeight="1">
      <c r="A1091" s="12" t="s">
        <v>843</v>
      </c>
      <c r="B1091" s="10"/>
      <c r="C1091" s="10"/>
    </row>
    <row r="1092" spans="1:3" ht="15.75" customHeight="1">
      <c r="A1092" s="12" t="s">
        <v>822</v>
      </c>
      <c r="B1092" s="10"/>
      <c r="C1092" s="10"/>
    </row>
    <row r="1093" spans="1:3" ht="15.75" customHeight="1">
      <c r="A1093" s="12" t="s">
        <v>832</v>
      </c>
      <c r="B1093" s="10"/>
      <c r="C1093" s="10"/>
    </row>
    <row r="1094" spans="1:3" ht="15.75" customHeight="1">
      <c r="A1094" s="12" t="s">
        <v>818</v>
      </c>
      <c r="B1094" s="10"/>
      <c r="C1094" s="10"/>
    </row>
    <row r="1095" spans="1:3" ht="15.75" customHeight="1">
      <c r="A1095" s="12" t="s">
        <v>837</v>
      </c>
      <c r="B1095" s="10"/>
      <c r="C1095" s="10"/>
    </row>
    <row r="1096" spans="1:3" ht="15.75" customHeight="1">
      <c r="A1096" s="12" t="s">
        <v>837</v>
      </c>
      <c r="B1096" s="10"/>
      <c r="C1096" s="10"/>
    </row>
    <row r="1097" spans="1:3" ht="15.75" customHeight="1">
      <c r="A1097" s="12" t="s">
        <v>827</v>
      </c>
      <c r="B1097" s="10"/>
      <c r="C1097" s="10"/>
    </row>
    <row r="1098" spans="1:3" ht="15.75" customHeight="1">
      <c r="A1098" s="12" t="s">
        <v>839</v>
      </c>
      <c r="B1098" s="10"/>
      <c r="C1098" s="10"/>
    </row>
    <row r="1099" spans="1:3" ht="15.75" customHeight="1">
      <c r="A1099" s="12" t="s">
        <v>824</v>
      </c>
      <c r="B1099" s="10"/>
      <c r="C1099" s="10"/>
    </row>
    <row r="1100" spans="1:3" ht="15.75" customHeight="1">
      <c r="A1100" s="12" t="s">
        <v>834</v>
      </c>
      <c r="B1100" s="10"/>
      <c r="C1100" s="10"/>
    </row>
    <row r="1101" spans="1:3" ht="15.75" customHeight="1">
      <c r="A1101" s="12" t="s">
        <v>826</v>
      </c>
      <c r="B1101" s="10"/>
      <c r="C1101" s="10"/>
    </row>
    <row r="1102" spans="1:3" ht="15.75" customHeight="1">
      <c r="A1102" s="12" t="s">
        <v>843</v>
      </c>
      <c r="B1102" s="10"/>
      <c r="C1102" s="10"/>
    </row>
    <row r="1103" spans="1:3" ht="15.75" customHeight="1">
      <c r="A1103" s="12" t="s">
        <v>840</v>
      </c>
      <c r="B1103" s="10"/>
      <c r="C1103" s="10"/>
    </row>
    <row r="1104" spans="1:3" ht="15.75" customHeight="1">
      <c r="A1104" s="12" t="s">
        <v>846</v>
      </c>
      <c r="B1104" s="10"/>
      <c r="C1104" s="10"/>
    </row>
    <row r="1105" spans="1:3" ht="15.75" customHeight="1">
      <c r="A1105" s="12" t="s">
        <v>818</v>
      </c>
      <c r="B1105" s="10"/>
      <c r="C1105" s="10"/>
    </row>
    <row r="1106" spans="1:3" ht="15.75" customHeight="1">
      <c r="A1106" s="12" t="s">
        <v>850</v>
      </c>
      <c r="B1106" s="10"/>
      <c r="C1106" s="10"/>
    </row>
    <row r="1107" spans="1:3" ht="15.75" customHeight="1">
      <c r="A1107" s="12" t="s">
        <v>828</v>
      </c>
      <c r="B1107" s="10"/>
      <c r="C1107" s="10"/>
    </row>
    <row r="1108" spans="1:3" ht="15.75" customHeight="1">
      <c r="A1108" s="12" t="s">
        <v>826</v>
      </c>
      <c r="B1108" s="10"/>
      <c r="C1108" s="10"/>
    </row>
    <row r="1109" spans="1:3" ht="15.75" customHeight="1">
      <c r="A1109" s="12" t="s">
        <v>851</v>
      </c>
      <c r="B1109" s="10"/>
      <c r="C1109" s="10"/>
    </row>
    <row r="1110" spans="1:3" ht="15.75" customHeight="1">
      <c r="A1110" s="12" t="s">
        <v>840</v>
      </c>
      <c r="B1110" s="10"/>
      <c r="C1110" s="10"/>
    </row>
    <row r="1111" spans="1:3" ht="15.75" customHeight="1">
      <c r="A1111" s="12" t="s">
        <v>839</v>
      </c>
      <c r="B1111" s="10"/>
      <c r="C1111" s="10"/>
    </row>
    <row r="1112" spans="1:3" ht="15.75" customHeight="1">
      <c r="A1112" s="12" t="s">
        <v>846</v>
      </c>
      <c r="B1112" s="10"/>
      <c r="C1112" s="10"/>
    </row>
    <row r="1113" spans="1:3" ht="15.75" customHeight="1">
      <c r="A1113" s="12" t="s">
        <v>826</v>
      </c>
      <c r="B1113" s="10"/>
      <c r="C1113" s="10"/>
    </row>
    <row r="1114" spans="1:3" ht="15.75" customHeight="1">
      <c r="A1114" s="12" t="s">
        <v>844</v>
      </c>
      <c r="B1114" s="10"/>
      <c r="C1114" s="10"/>
    </row>
    <row r="1115" spans="1:3" ht="15.75" customHeight="1">
      <c r="A1115" s="12" t="s">
        <v>826</v>
      </c>
      <c r="B1115" s="10"/>
      <c r="C1115" s="10"/>
    </row>
    <row r="1116" spans="1:3" ht="15.75" customHeight="1">
      <c r="A1116" s="12" t="s">
        <v>818</v>
      </c>
      <c r="B1116" s="10"/>
      <c r="C1116" s="10"/>
    </row>
    <row r="1117" spans="1:3" ht="15.75" customHeight="1">
      <c r="A1117" s="12" t="s">
        <v>821</v>
      </c>
      <c r="B1117" s="10"/>
      <c r="C1117" s="10"/>
    </row>
    <row r="1118" spans="1:3" ht="15.75" customHeight="1">
      <c r="A1118" s="12" t="s">
        <v>818</v>
      </c>
      <c r="B1118" s="10"/>
      <c r="C1118" s="10"/>
    </row>
    <row r="1119" spans="1:3" ht="15.75" customHeight="1">
      <c r="A1119" s="12" t="s">
        <v>845</v>
      </c>
      <c r="B1119" s="10"/>
      <c r="C1119" s="10"/>
    </row>
    <row r="1120" spans="1:3" ht="15.75" customHeight="1">
      <c r="A1120" s="12" t="s">
        <v>846</v>
      </c>
      <c r="B1120" s="10"/>
      <c r="C1120" s="10"/>
    </row>
    <row r="1121" spans="1:3" ht="15.75" customHeight="1">
      <c r="A1121" s="12" t="s">
        <v>841</v>
      </c>
      <c r="B1121" s="10"/>
      <c r="C1121" s="10"/>
    </row>
    <row r="1122" spans="1:3" ht="15.75" customHeight="1">
      <c r="A1122" s="12" t="s">
        <v>832</v>
      </c>
      <c r="B1122" s="10"/>
      <c r="C1122" s="10"/>
    </row>
    <row r="1123" spans="1:3" ht="15.75" customHeight="1">
      <c r="A1123" s="12" t="s">
        <v>839</v>
      </c>
      <c r="B1123" s="10"/>
      <c r="C1123" s="10"/>
    </row>
    <row r="1124" spans="1:3" ht="15.75" customHeight="1">
      <c r="A1124" s="12" t="s">
        <v>825</v>
      </c>
      <c r="B1124" s="10"/>
      <c r="C1124" s="10"/>
    </row>
    <row r="1125" spans="1:3" ht="15.75" customHeight="1">
      <c r="A1125" s="12" t="s">
        <v>828</v>
      </c>
      <c r="B1125" s="10"/>
      <c r="C1125" s="10"/>
    </row>
    <row r="1126" spans="1:3" ht="15.75" customHeight="1">
      <c r="A1126" s="12" t="s">
        <v>842</v>
      </c>
      <c r="B1126" s="10"/>
      <c r="C1126" s="10"/>
    </row>
    <row r="1127" spans="1:3" ht="15.75" customHeight="1">
      <c r="A1127" s="12" t="s">
        <v>818</v>
      </c>
      <c r="B1127" s="10"/>
      <c r="C1127" s="10"/>
    </row>
    <row r="1128" spans="1:3" ht="15.75" customHeight="1">
      <c r="A1128" s="12" t="s">
        <v>844</v>
      </c>
      <c r="B1128" s="10"/>
      <c r="C1128" s="10"/>
    </row>
    <row r="1129" spans="1:3" ht="15.75" customHeight="1">
      <c r="A1129" s="12" t="s">
        <v>852</v>
      </c>
      <c r="B1129" s="10"/>
      <c r="C1129" s="10"/>
    </row>
    <row r="1130" spans="1:3" ht="15.75" customHeight="1">
      <c r="A1130" s="12" t="s">
        <v>837</v>
      </c>
      <c r="B1130" s="10"/>
      <c r="C1130" s="10"/>
    </row>
    <row r="1131" spans="1:3" ht="15.75" customHeight="1">
      <c r="A1131" s="12" t="s">
        <v>837</v>
      </c>
      <c r="B1131" s="10"/>
      <c r="C1131" s="10"/>
    </row>
    <row r="1132" spans="1:3" ht="15.75" customHeight="1">
      <c r="A1132" s="12" t="s">
        <v>832</v>
      </c>
      <c r="B1132" s="10"/>
      <c r="C1132" s="10"/>
    </row>
    <row r="1133" spans="1:3" ht="15.75" customHeight="1">
      <c r="A1133" s="12" t="s">
        <v>839</v>
      </c>
      <c r="B1133" s="10"/>
      <c r="C1133" s="10"/>
    </row>
    <row r="1134" spans="1:3" ht="15.75" customHeight="1">
      <c r="A1134" s="12" t="s">
        <v>822</v>
      </c>
      <c r="B1134" s="10"/>
      <c r="C1134" s="10"/>
    </row>
    <row r="1135" spans="1:3" ht="15.75" customHeight="1">
      <c r="A1135" s="12" t="s">
        <v>837</v>
      </c>
      <c r="B1135" s="10"/>
      <c r="C1135" s="10"/>
    </row>
    <row r="1136" spans="1:3" ht="15.75" customHeight="1">
      <c r="A1136" s="12" t="s">
        <v>838</v>
      </c>
      <c r="B1136" s="10"/>
      <c r="C1136" s="10"/>
    </row>
    <row r="1137" spans="1:3" ht="15.75" customHeight="1">
      <c r="A1137" s="12" t="s">
        <v>837</v>
      </c>
      <c r="B1137" s="10"/>
      <c r="C1137" s="10"/>
    </row>
    <row r="1138" spans="1:3" ht="15.75" customHeight="1">
      <c r="A1138" s="12" t="s">
        <v>839</v>
      </c>
      <c r="B1138" s="10"/>
      <c r="C1138" s="10"/>
    </row>
    <row r="1139" spans="1:3" ht="15.75" customHeight="1">
      <c r="A1139" s="12" t="s">
        <v>832</v>
      </c>
      <c r="B1139" s="10"/>
      <c r="C1139" s="10"/>
    </row>
    <row r="1140" spans="1:3" ht="15.75" customHeight="1">
      <c r="A1140" s="12" t="s">
        <v>837</v>
      </c>
      <c r="B1140" s="10"/>
      <c r="C1140" s="10"/>
    </row>
    <row r="1141" spans="1:3" ht="15.75" customHeight="1">
      <c r="A1141" s="12" t="s">
        <v>834</v>
      </c>
      <c r="B1141" s="10"/>
      <c r="C1141" s="10"/>
    </row>
    <row r="1142" spans="1:3" ht="15.75" customHeight="1">
      <c r="A1142" s="12" t="s">
        <v>832</v>
      </c>
      <c r="B1142" s="10"/>
      <c r="C1142" s="10"/>
    </row>
    <row r="1143" spans="1:3" ht="15.75" customHeight="1">
      <c r="A1143" s="12" t="s">
        <v>829</v>
      </c>
      <c r="B1143" s="10"/>
      <c r="C1143" s="10"/>
    </row>
    <row r="1144" spans="1:3" ht="15.75" customHeight="1">
      <c r="A1144" s="12" t="s">
        <v>838</v>
      </c>
      <c r="B1144" s="10"/>
      <c r="C1144" s="10"/>
    </row>
    <row r="1145" spans="1:3" ht="15.75" customHeight="1">
      <c r="A1145" s="12" t="s">
        <v>824</v>
      </c>
      <c r="B1145" s="10"/>
      <c r="C1145" s="10"/>
    </row>
    <row r="1146" spans="1:3" ht="15.75" customHeight="1">
      <c r="A1146" s="12" t="s">
        <v>847</v>
      </c>
      <c r="B1146" s="10"/>
      <c r="C1146" s="10"/>
    </row>
    <row r="1147" spans="1:3" ht="15.75" customHeight="1">
      <c r="A1147" s="12" t="s">
        <v>851</v>
      </c>
      <c r="B1147" s="10"/>
      <c r="C1147" s="10"/>
    </row>
    <row r="1148" spans="1:3" ht="15.75" customHeight="1">
      <c r="A1148" s="12" t="s">
        <v>848</v>
      </c>
      <c r="B1148" s="10"/>
      <c r="C1148" s="10"/>
    </row>
    <row r="1149" spans="1:3" ht="15.75" customHeight="1">
      <c r="A1149" s="12" t="s">
        <v>821</v>
      </c>
      <c r="B1149" s="10"/>
      <c r="C1149" s="10"/>
    </row>
    <row r="1150" spans="1:3" ht="15.75" customHeight="1">
      <c r="A1150" s="12" t="s">
        <v>826</v>
      </c>
      <c r="B1150" s="10"/>
      <c r="C1150" s="10"/>
    </row>
    <row r="1151" spans="1:3" ht="15.75" customHeight="1">
      <c r="A1151" s="12" t="s">
        <v>852</v>
      </c>
      <c r="B1151" s="10"/>
      <c r="C1151" s="10"/>
    </row>
    <row r="1152" spans="1:3" ht="15.75" customHeight="1">
      <c r="A1152" s="12" t="s">
        <v>843</v>
      </c>
      <c r="B1152" s="10"/>
      <c r="C1152" s="10"/>
    </row>
    <row r="1153" spans="1:3" ht="15.75" customHeight="1">
      <c r="A1153" s="12" t="s">
        <v>827</v>
      </c>
      <c r="B1153" s="10"/>
      <c r="C1153" s="10"/>
    </row>
    <row r="1154" spans="1:3" ht="15.75" customHeight="1">
      <c r="A1154" s="12" t="s">
        <v>826</v>
      </c>
      <c r="B1154" s="10"/>
      <c r="C1154" s="10"/>
    </row>
    <row r="1155" spans="1:3" ht="15.75" customHeight="1">
      <c r="A1155" s="12" t="s">
        <v>850</v>
      </c>
      <c r="B1155" s="10"/>
      <c r="C1155" s="10"/>
    </row>
    <row r="1156" spans="1:3" ht="15.75" customHeight="1">
      <c r="A1156" s="12" t="s">
        <v>818</v>
      </c>
      <c r="B1156" s="10"/>
      <c r="C1156" s="10"/>
    </row>
    <row r="1157" spans="1:3" ht="15.75" customHeight="1">
      <c r="A1157" s="12" t="s">
        <v>830</v>
      </c>
      <c r="B1157" s="10"/>
      <c r="C1157" s="10"/>
    </row>
    <row r="1158" spans="1:3" ht="15.75" customHeight="1">
      <c r="A1158" s="12" t="s">
        <v>847</v>
      </c>
      <c r="B1158" s="10"/>
      <c r="C1158" s="10"/>
    </row>
    <row r="1159" spans="1:3" ht="15.75" customHeight="1">
      <c r="A1159" s="12" t="s">
        <v>824</v>
      </c>
      <c r="B1159" s="10"/>
      <c r="C1159" s="10"/>
    </row>
    <row r="1160" spans="1:3" ht="15.75" customHeight="1">
      <c r="A1160" s="12" t="s">
        <v>824</v>
      </c>
      <c r="B1160" s="10"/>
      <c r="C1160" s="10"/>
    </row>
    <row r="1161" spans="1:3" ht="15.75" customHeight="1">
      <c r="A1161" s="12" t="s">
        <v>844</v>
      </c>
      <c r="B1161" s="10"/>
      <c r="C1161" s="10"/>
    </row>
    <row r="1162" spans="1:3" ht="15.75" customHeight="1">
      <c r="A1162" s="12" t="s">
        <v>839</v>
      </c>
      <c r="B1162" s="10"/>
      <c r="C1162" s="10"/>
    </row>
    <row r="1163" spans="1:3" ht="15.75" customHeight="1">
      <c r="A1163" s="12" t="s">
        <v>837</v>
      </c>
      <c r="B1163" s="10"/>
      <c r="C1163" s="10"/>
    </row>
    <row r="1164" spans="1:3" ht="15.75" customHeight="1">
      <c r="A1164" s="12" t="s">
        <v>846</v>
      </c>
      <c r="B1164" s="10"/>
      <c r="C1164" s="10"/>
    </row>
    <row r="1165" spans="1:3" ht="15.75" customHeight="1">
      <c r="A1165" s="12" t="s">
        <v>829</v>
      </c>
      <c r="B1165" s="10"/>
      <c r="C1165" s="10"/>
    </row>
    <row r="1166" spans="1:3" ht="15.75" customHeight="1">
      <c r="A1166" s="12" t="s">
        <v>818</v>
      </c>
      <c r="B1166" s="10"/>
      <c r="C1166" s="10"/>
    </row>
    <row r="1167" spans="1:3" ht="15.75" customHeight="1">
      <c r="A1167" s="12" t="s">
        <v>833</v>
      </c>
      <c r="B1167" s="10"/>
      <c r="C1167" s="10"/>
    </row>
    <row r="1168" spans="1:3" ht="15.75" customHeight="1">
      <c r="A1168" s="12" t="s">
        <v>827</v>
      </c>
      <c r="B1168" s="10"/>
      <c r="C1168" s="10"/>
    </row>
    <row r="1169" spans="1:3" ht="15.75" customHeight="1">
      <c r="A1169" s="12" t="s">
        <v>829</v>
      </c>
      <c r="B1169" s="10"/>
      <c r="C1169" s="10"/>
    </row>
    <row r="1170" spans="1:3" ht="15.75" customHeight="1">
      <c r="A1170" s="12" t="s">
        <v>837</v>
      </c>
      <c r="B1170" s="10"/>
      <c r="C1170" s="10"/>
    </row>
    <row r="1171" spans="1:3" ht="15.75" customHeight="1">
      <c r="A1171" s="12" t="s">
        <v>844</v>
      </c>
      <c r="B1171" s="10"/>
      <c r="C1171" s="10"/>
    </row>
    <row r="1172" spans="1:3" ht="15.75" customHeight="1">
      <c r="A1172" s="12" t="s">
        <v>835</v>
      </c>
      <c r="B1172" s="10"/>
      <c r="C1172" s="10"/>
    </row>
    <row r="1173" spans="1:3" ht="15.75" customHeight="1">
      <c r="A1173" s="12" t="s">
        <v>853</v>
      </c>
      <c r="B1173" s="10"/>
      <c r="C1173" s="10"/>
    </row>
    <row r="1174" spans="1:3" ht="15.75" customHeight="1">
      <c r="A1174" s="12" t="s">
        <v>830</v>
      </c>
      <c r="B1174" s="10"/>
      <c r="C1174" s="10"/>
    </row>
    <row r="1175" spans="1:3" ht="15.75" customHeight="1">
      <c r="A1175" s="12" t="s">
        <v>824</v>
      </c>
      <c r="B1175" s="10"/>
      <c r="C1175" s="10"/>
    </row>
    <row r="1176" spans="1:3" ht="15.75" customHeight="1">
      <c r="A1176" s="12" t="s">
        <v>846</v>
      </c>
      <c r="B1176" s="10"/>
      <c r="C1176" s="10"/>
    </row>
    <row r="1177" spans="1:3" ht="15.75" customHeight="1">
      <c r="A1177" s="12" t="s">
        <v>837</v>
      </c>
      <c r="B1177" s="10"/>
      <c r="C1177" s="10"/>
    </row>
    <row r="1178" spans="1:3" ht="15.75" customHeight="1">
      <c r="A1178" s="12" t="s">
        <v>842</v>
      </c>
      <c r="B1178" s="10"/>
      <c r="C1178" s="10"/>
    </row>
    <row r="1179" spans="1:3" ht="15.75" customHeight="1">
      <c r="A1179" s="12" t="s">
        <v>834</v>
      </c>
      <c r="B1179" s="10"/>
      <c r="C1179" s="10"/>
    </row>
    <row r="1180" spans="1:3" ht="15.75" customHeight="1">
      <c r="A1180" s="12" t="s">
        <v>840</v>
      </c>
      <c r="B1180" s="10"/>
      <c r="C1180" s="10"/>
    </row>
    <row r="1181" spans="1:3" ht="15.75" customHeight="1">
      <c r="A1181" s="12" t="s">
        <v>820</v>
      </c>
      <c r="B1181" s="10"/>
      <c r="C1181" s="10"/>
    </row>
    <row r="1182" spans="1:3" ht="15.75" customHeight="1">
      <c r="A1182" s="12" t="s">
        <v>841</v>
      </c>
      <c r="B1182" s="10"/>
      <c r="C1182" s="10"/>
    </row>
    <row r="1183" spans="1:3" ht="15.75" customHeight="1">
      <c r="A1183" s="12" t="s">
        <v>837</v>
      </c>
      <c r="B1183" s="10"/>
      <c r="C1183" s="10"/>
    </row>
    <row r="1184" spans="1:3" ht="15.75" customHeight="1">
      <c r="A1184" s="12" t="s">
        <v>830</v>
      </c>
      <c r="B1184" s="10"/>
      <c r="C1184" s="10"/>
    </row>
    <row r="1185" spans="1:3" ht="15.75" customHeight="1">
      <c r="A1185" s="12" t="s">
        <v>826</v>
      </c>
      <c r="B1185" s="10"/>
      <c r="C1185" s="10"/>
    </row>
    <row r="1186" spans="1:3" ht="15.75" customHeight="1">
      <c r="A1186" s="12" t="s">
        <v>837</v>
      </c>
      <c r="B1186" s="10"/>
      <c r="C1186" s="10"/>
    </row>
    <row r="1187" spans="1:3" ht="15.75" customHeight="1">
      <c r="A1187" s="12" t="s">
        <v>823</v>
      </c>
      <c r="B1187" s="10"/>
      <c r="C1187" s="10"/>
    </row>
    <row r="1188" spans="1:3" ht="15.75" customHeight="1">
      <c r="A1188" s="12" t="s">
        <v>825</v>
      </c>
      <c r="B1188" s="10"/>
      <c r="C1188" s="10"/>
    </row>
    <row r="1189" spans="1:3" ht="15.75" customHeight="1">
      <c r="A1189" s="12" t="s">
        <v>852</v>
      </c>
      <c r="B1189" s="10"/>
      <c r="C1189" s="10"/>
    </row>
    <row r="1190" spans="1:3" ht="15.75" customHeight="1">
      <c r="A1190" s="12" t="s">
        <v>822</v>
      </c>
      <c r="B1190" s="10"/>
      <c r="C1190" s="10"/>
    </row>
    <row r="1191" spans="1:3" ht="15.75" customHeight="1">
      <c r="A1191" s="12" t="s">
        <v>832</v>
      </c>
      <c r="B1191" s="10"/>
      <c r="C1191" s="10"/>
    </row>
    <row r="1192" spans="1:3" ht="15.75" customHeight="1">
      <c r="A1192" s="12" t="s">
        <v>822</v>
      </c>
      <c r="B1192" s="10"/>
      <c r="C1192" s="10"/>
    </row>
    <row r="1193" spans="1:3" ht="15.75" customHeight="1">
      <c r="A1193" s="12" t="s">
        <v>826</v>
      </c>
      <c r="B1193" s="10"/>
      <c r="C1193" s="10"/>
    </row>
    <row r="1194" spans="1:3" ht="15.75" customHeight="1">
      <c r="A1194" s="12" t="s">
        <v>850</v>
      </c>
      <c r="B1194" s="10"/>
      <c r="C1194" s="10"/>
    </row>
    <row r="1195" spans="1:3" ht="15.75" customHeight="1">
      <c r="A1195" s="12" t="s">
        <v>850</v>
      </c>
      <c r="B1195" s="10"/>
      <c r="C1195" s="10"/>
    </row>
    <row r="1196" spans="1:3" ht="15.75" customHeight="1">
      <c r="A1196" s="12" t="s">
        <v>837</v>
      </c>
      <c r="B1196" s="10"/>
      <c r="C1196" s="10"/>
    </row>
    <row r="1197" spans="1:3" ht="15.75" customHeight="1">
      <c r="A1197" s="12" t="s">
        <v>827</v>
      </c>
      <c r="B1197" s="10"/>
      <c r="C1197" s="10"/>
    </row>
    <row r="1198" spans="1:3" ht="15.75" customHeight="1">
      <c r="A1198" s="12" t="s">
        <v>828</v>
      </c>
      <c r="B1198" s="10"/>
      <c r="C1198" s="10"/>
    </row>
    <row r="1199" spans="1:3" ht="15.75" customHeight="1">
      <c r="A1199" s="12" t="s">
        <v>837</v>
      </c>
      <c r="B1199" s="10"/>
      <c r="C1199" s="10"/>
    </row>
    <row r="1200" spans="1:3" ht="15.75" customHeight="1">
      <c r="A1200" s="12" t="s">
        <v>837</v>
      </c>
      <c r="B1200" s="10"/>
      <c r="C1200" s="10"/>
    </row>
    <row r="1201" spans="1:3" ht="15.75" customHeight="1">
      <c r="A1201" s="12" t="s">
        <v>827</v>
      </c>
      <c r="B1201" s="10"/>
      <c r="C1201" s="10"/>
    </row>
    <row r="1202" spans="1:3" ht="15.75" customHeight="1">
      <c r="A1202" s="12" t="s">
        <v>838</v>
      </c>
      <c r="B1202" s="10"/>
      <c r="C1202" s="10"/>
    </row>
    <row r="1203" spans="1:3" ht="15.75" customHeight="1">
      <c r="A1203" s="12" t="s">
        <v>840</v>
      </c>
      <c r="B1203" s="10"/>
      <c r="C1203" s="10"/>
    </row>
    <row r="1204" spans="1:3" ht="15.75" customHeight="1">
      <c r="A1204" s="12" t="s">
        <v>837</v>
      </c>
      <c r="B1204" s="10"/>
      <c r="C1204" s="10"/>
    </row>
    <row r="1205" spans="1:3" ht="15.75" customHeight="1">
      <c r="A1205" s="12" t="s">
        <v>820</v>
      </c>
      <c r="B1205" s="10"/>
      <c r="C1205" s="10"/>
    </row>
    <row r="1206" spans="1:3" ht="15.75" customHeight="1">
      <c r="A1206" s="12" t="s">
        <v>847</v>
      </c>
      <c r="B1206" s="10"/>
      <c r="C1206" s="10"/>
    </row>
    <row r="1207" spans="1:3" ht="15.75" customHeight="1">
      <c r="A1207" s="12" t="s">
        <v>830</v>
      </c>
      <c r="B1207" s="10"/>
      <c r="C1207" s="10"/>
    </row>
    <row r="1208" spans="1:3" ht="15.75" customHeight="1">
      <c r="A1208" s="12" t="s">
        <v>835</v>
      </c>
      <c r="B1208" s="10"/>
      <c r="C1208" s="10"/>
    </row>
    <row r="1209" spans="1:3" ht="15.75" customHeight="1">
      <c r="A1209" s="12" t="s">
        <v>845</v>
      </c>
      <c r="B1209" s="10"/>
      <c r="C1209" s="10"/>
    </row>
    <row r="1210" spans="1:3" ht="15.75" customHeight="1">
      <c r="A1210" s="12" t="s">
        <v>827</v>
      </c>
      <c r="B1210" s="10"/>
      <c r="C1210" s="10"/>
    </row>
    <row r="1211" spans="1:3" ht="15.75" customHeight="1">
      <c r="A1211" s="12" t="s">
        <v>839</v>
      </c>
      <c r="B1211" s="10"/>
      <c r="C1211" s="10"/>
    </row>
    <row r="1212" spans="1:3" ht="15.75" customHeight="1">
      <c r="A1212" s="12" t="s">
        <v>836</v>
      </c>
      <c r="B1212" s="10"/>
      <c r="C1212" s="10"/>
    </row>
    <row r="1213" spans="1:3" ht="15.75" customHeight="1">
      <c r="A1213" s="12" t="s">
        <v>853</v>
      </c>
      <c r="B1213" s="10"/>
      <c r="C1213" s="10"/>
    </row>
    <row r="1214" spans="1:3" ht="15.75" customHeight="1">
      <c r="A1214" s="12" t="s">
        <v>820</v>
      </c>
      <c r="B1214" s="10"/>
      <c r="C1214" s="10"/>
    </row>
    <row r="1215" spans="1:3" ht="15.75" customHeight="1">
      <c r="A1215" s="12" t="s">
        <v>845</v>
      </c>
      <c r="B1215" s="10"/>
      <c r="C1215" s="10"/>
    </row>
    <row r="1216" spans="1:3" ht="15.75" customHeight="1">
      <c r="A1216" s="12" t="s">
        <v>850</v>
      </c>
      <c r="B1216" s="10"/>
      <c r="C1216" s="10"/>
    </row>
    <row r="1217" spans="1:3" ht="15.75" customHeight="1">
      <c r="A1217" s="12" t="s">
        <v>833</v>
      </c>
      <c r="B1217" s="10"/>
      <c r="C1217" s="10"/>
    </row>
    <row r="1218" spans="1:3" ht="15.75" customHeight="1">
      <c r="A1218" s="12" t="s">
        <v>840</v>
      </c>
      <c r="B1218" s="10"/>
      <c r="C1218" s="10"/>
    </row>
    <row r="1219" spans="1:3" ht="15.75" customHeight="1">
      <c r="A1219" s="12" t="s">
        <v>845</v>
      </c>
      <c r="B1219" s="10"/>
      <c r="C1219" s="10"/>
    </row>
    <row r="1220" spans="1:3" ht="15.75" customHeight="1">
      <c r="A1220" s="12" t="s">
        <v>847</v>
      </c>
      <c r="B1220" s="10"/>
      <c r="C1220" s="10"/>
    </row>
    <row r="1221" spans="1:3" ht="15.75" customHeight="1">
      <c r="A1221" s="12" t="s">
        <v>842</v>
      </c>
      <c r="B1221" s="10"/>
      <c r="C1221" s="10"/>
    </row>
    <row r="1222" spans="1:3" ht="15.75" customHeight="1">
      <c r="A1222" s="12" t="s">
        <v>837</v>
      </c>
      <c r="B1222" s="10"/>
      <c r="C1222" s="10"/>
    </row>
    <row r="1223" spans="1:3" ht="15.75" customHeight="1">
      <c r="A1223" s="12" t="s">
        <v>837</v>
      </c>
      <c r="B1223" s="10"/>
      <c r="C1223" s="10"/>
    </row>
    <row r="1224" spans="1:3" ht="15.75" customHeight="1">
      <c r="A1224" s="12" t="s">
        <v>828</v>
      </c>
      <c r="B1224" s="10"/>
      <c r="C1224" s="10"/>
    </row>
    <row r="1225" spans="1:3" ht="15.75" customHeight="1">
      <c r="A1225" s="12" t="s">
        <v>834</v>
      </c>
      <c r="B1225" s="10"/>
      <c r="C1225" s="10"/>
    </row>
    <row r="1226" spans="1:3" ht="15.75" customHeight="1">
      <c r="A1226" s="12" t="s">
        <v>827</v>
      </c>
      <c r="B1226" s="10"/>
      <c r="C1226" s="10"/>
    </row>
    <row r="1227" spans="1:3" ht="15.75" customHeight="1">
      <c r="A1227" s="12" t="s">
        <v>851</v>
      </c>
      <c r="B1227" s="10"/>
      <c r="C1227" s="10"/>
    </row>
    <row r="1228" spans="1:3" ht="15.75" customHeight="1">
      <c r="A1228" s="12" t="s">
        <v>839</v>
      </c>
      <c r="B1228" s="10"/>
      <c r="C1228" s="10"/>
    </row>
    <row r="1229" spans="1:3" ht="15.75" customHeight="1">
      <c r="A1229" s="12" t="s">
        <v>842</v>
      </c>
      <c r="B1229" s="10"/>
      <c r="C1229" s="10"/>
    </row>
    <row r="1230" spans="1:3" ht="15.75" customHeight="1">
      <c r="A1230" s="12" t="s">
        <v>833</v>
      </c>
      <c r="B1230" s="10"/>
      <c r="C1230" s="10"/>
    </row>
    <row r="1231" spans="1:3" ht="15.75" customHeight="1">
      <c r="A1231" s="12" t="s">
        <v>840</v>
      </c>
      <c r="B1231" s="10"/>
      <c r="C1231" s="10"/>
    </row>
    <row r="1232" spans="1:3" ht="15.75" customHeight="1">
      <c r="A1232" s="12" t="s">
        <v>824</v>
      </c>
      <c r="B1232" s="10"/>
      <c r="C1232" s="10"/>
    </row>
    <row r="1233" spans="1:3" ht="15.75" customHeight="1">
      <c r="A1233" s="12" t="s">
        <v>845</v>
      </c>
      <c r="B1233" s="10"/>
      <c r="C1233" s="10"/>
    </row>
    <row r="1234" spans="1:3" ht="15.75" customHeight="1">
      <c r="A1234" s="12" t="s">
        <v>831</v>
      </c>
      <c r="B1234" s="10"/>
      <c r="C1234" s="10"/>
    </row>
    <row r="1235" spans="1:3" ht="15.75" customHeight="1">
      <c r="A1235" s="12" t="s">
        <v>834</v>
      </c>
      <c r="B1235" s="10"/>
      <c r="C1235" s="10"/>
    </row>
    <row r="1236" spans="1:3" ht="15.75" customHeight="1">
      <c r="A1236" s="12" t="s">
        <v>825</v>
      </c>
      <c r="B1236" s="10"/>
      <c r="C1236" s="10"/>
    </row>
    <row r="1237" spans="1:3" ht="15.75" customHeight="1">
      <c r="A1237" s="12" t="s">
        <v>841</v>
      </c>
      <c r="B1237" s="10"/>
      <c r="C1237" s="10"/>
    </row>
    <row r="1238" spans="1:3" ht="15.75" customHeight="1">
      <c r="A1238" s="12" t="s">
        <v>845</v>
      </c>
      <c r="B1238" s="10"/>
      <c r="C1238" s="10"/>
    </row>
    <row r="1239" spans="1:3" ht="15.75" customHeight="1">
      <c r="A1239" s="12" t="s">
        <v>832</v>
      </c>
      <c r="B1239" s="10"/>
      <c r="C1239" s="10"/>
    </row>
    <row r="1240" spans="1:3" ht="15.75" customHeight="1">
      <c r="A1240" s="12" t="s">
        <v>821</v>
      </c>
      <c r="B1240" s="10"/>
      <c r="C1240" s="10"/>
    </row>
    <row r="1241" spans="1:3" ht="15.75" customHeight="1">
      <c r="A1241" s="12" t="s">
        <v>830</v>
      </c>
      <c r="B1241" s="10"/>
      <c r="C1241" s="10"/>
    </row>
    <row r="1242" spans="1:3" ht="15.75" customHeight="1">
      <c r="A1242" s="12" t="s">
        <v>837</v>
      </c>
      <c r="B1242" s="10"/>
      <c r="C1242" s="10"/>
    </row>
    <row r="1243" spans="1:3" ht="15.75" customHeight="1">
      <c r="A1243" s="12" t="s">
        <v>820</v>
      </c>
      <c r="B1243" s="10"/>
      <c r="C1243" s="10"/>
    </row>
    <row r="1244" spans="1:3" ht="15.75" customHeight="1">
      <c r="A1244" s="12" t="s">
        <v>843</v>
      </c>
      <c r="B1244" s="10"/>
      <c r="C1244" s="10"/>
    </row>
    <row r="1245" spans="1:3" ht="15.75" customHeight="1">
      <c r="A1245" s="12" t="s">
        <v>846</v>
      </c>
      <c r="B1245" s="10"/>
      <c r="C1245" s="10"/>
    </row>
    <row r="1246" spans="1:3" ht="15.75" customHeight="1">
      <c r="A1246" s="12" t="s">
        <v>846</v>
      </c>
      <c r="B1246" s="10"/>
      <c r="C1246" s="10"/>
    </row>
    <row r="1247" spans="1:3" ht="15.75" customHeight="1">
      <c r="A1247" s="12" t="s">
        <v>821</v>
      </c>
      <c r="B1247" s="10"/>
      <c r="C1247" s="10"/>
    </row>
    <row r="1248" spans="1:3" ht="15.75" customHeight="1">
      <c r="A1248" s="12" t="s">
        <v>826</v>
      </c>
      <c r="B1248" s="10"/>
      <c r="C1248" s="10"/>
    </row>
    <row r="1249" spans="1:3" ht="15.75" customHeight="1">
      <c r="A1249" s="12" t="s">
        <v>837</v>
      </c>
      <c r="B1249" s="10"/>
      <c r="C1249" s="10"/>
    </row>
    <row r="1250" spans="1:3" ht="15.75" customHeight="1">
      <c r="A1250" s="12" t="s">
        <v>837</v>
      </c>
      <c r="B1250" s="10"/>
      <c r="C1250" s="10"/>
    </row>
    <row r="1251" spans="1:3" ht="15.75" customHeight="1">
      <c r="A1251" s="12" t="s">
        <v>838</v>
      </c>
      <c r="B1251" s="10"/>
      <c r="C1251" s="10"/>
    </row>
    <row r="1252" spans="1:3" ht="15.75" customHeight="1">
      <c r="A1252" s="12" t="s">
        <v>848</v>
      </c>
      <c r="B1252" s="10"/>
      <c r="C1252" s="10"/>
    </row>
    <row r="1253" spans="1:3" ht="15.75" customHeight="1">
      <c r="A1253" s="12" t="s">
        <v>827</v>
      </c>
      <c r="B1253" s="10"/>
      <c r="C1253" s="10"/>
    </row>
    <row r="1254" spans="1:3" ht="15.75" customHeight="1">
      <c r="A1254" s="12" t="s">
        <v>830</v>
      </c>
      <c r="B1254" s="10"/>
      <c r="C1254" s="10"/>
    </row>
    <row r="1255" spans="1:3" ht="15.75" customHeight="1">
      <c r="A1255" s="12" t="s">
        <v>850</v>
      </c>
      <c r="B1255" s="10"/>
      <c r="C1255" s="10"/>
    </row>
    <row r="1256" spans="1:3" ht="15.75" customHeight="1">
      <c r="A1256" s="12" t="s">
        <v>835</v>
      </c>
      <c r="B1256" s="10"/>
      <c r="C1256" s="10"/>
    </row>
    <row r="1257" spans="1:3" ht="15.75" customHeight="1">
      <c r="A1257" s="12" t="s">
        <v>850</v>
      </c>
      <c r="B1257" s="10"/>
      <c r="C1257" s="10"/>
    </row>
    <row r="1258" spans="1:3" ht="15.75" customHeight="1">
      <c r="A1258" s="12" t="s">
        <v>830</v>
      </c>
      <c r="B1258" s="10"/>
      <c r="C1258" s="10"/>
    </row>
    <row r="1259" spans="1:3" ht="15.75" customHeight="1">
      <c r="A1259" s="12" t="s">
        <v>845</v>
      </c>
      <c r="B1259" s="10"/>
      <c r="C1259" s="10"/>
    </row>
    <row r="1260" spans="1:3" ht="15.75" customHeight="1">
      <c r="A1260" s="12" t="s">
        <v>818</v>
      </c>
      <c r="B1260" s="10"/>
      <c r="C1260" s="10"/>
    </row>
    <row r="1261" spans="1:3" ht="15.75" customHeight="1">
      <c r="A1261" s="12" t="s">
        <v>838</v>
      </c>
      <c r="B1261" s="10"/>
      <c r="C1261" s="10"/>
    </row>
    <row r="1262" spans="1:3" ht="15.75" customHeight="1">
      <c r="A1262" s="12" t="s">
        <v>825</v>
      </c>
      <c r="B1262" s="10"/>
      <c r="C1262" s="10"/>
    </row>
    <row r="1263" spans="1:3" ht="15.75" customHeight="1">
      <c r="A1263" s="12" t="s">
        <v>837</v>
      </c>
      <c r="B1263" s="10"/>
      <c r="C1263" s="10"/>
    </row>
    <row r="1264" spans="1:3" ht="15.75" customHeight="1">
      <c r="A1264" s="12" t="s">
        <v>833</v>
      </c>
      <c r="B1264" s="10"/>
      <c r="C1264" s="10"/>
    </row>
    <row r="1265" spans="1:3" ht="15.75" customHeight="1">
      <c r="A1265" s="12" t="s">
        <v>833</v>
      </c>
      <c r="B1265" s="10"/>
      <c r="C1265" s="10"/>
    </row>
    <row r="1266" spans="1:3" ht="15.75" customHeight="1">
      <c r="A1266" s="12" t="s">
        <v>836</v>
      </c>
      <c r="B1266" s="10"/>
      <c r="C1266" s="10"/>
    </row>
    <row r="1267" spans="1:3" ht="15.75" customHeight="1">
      <c r="A1267" s="12" t="s">
        <v>850</v>
      </c>
      <c r="B1267" s="10"/>
      <c r="C1267" s="10"/>
    </row>
    <row r="1268" spans="1:3" ht="15.75" customHeight="1">
      <c r="A1268" s="12" t="s">
        <v>848</v>
      </c>
      <c r="B1268" s="10"/>
      <c r="C1268" s="10"/>
    </row>
    <row r="1269" spans="1:3" ht="15.75" customHeight="1">
      <c r="A1269" s="12" t="s">
        <v>850</v>
      </c>
      <c r="B1269" s="10"/>
      <c r="C1269" s="10"/>
    </row>
    <row r="1270" spans="1:3" ht="15.75" customHeight="1">
      <c r="A1270" s="12" t="s">
        <v>826</v>
      </c>
      <c r="B1270" s="10"/>
      <c r="C1270" s="10"/>
    </row>
    <row r="1271" spans="1:3" ht="15.75" customHeight="1">
      <c r="A1271" s="12" t="s">
        <v>838</v>
      </c>
      <c r="B1271" s="10"/>
      <c r="C1271" s="10"/>
    </row>
    <row r="1272" spans="1:3" ht="15.75" customHeight="1">
      <c r="A1272" s="12" t="s">
        <v>835</v>
      </c>
      <c r="B1272" s="10"/>
      <c r="C1272" s="10"/>
    </row>
    <row r="1273" spans="1:3" ht="15.75" customHeight="1">
      <c r="A1273" s="12" t="s">
        <v>837</v>
      </c>
      <c r="B1273" s="10"/>
      <c r="C1273" s="10"/>
    </row>
    <row r="1274" spans="1:3" ht="15.75" customHeight="1">
      <c r="A1274" s="12" t="s">
        <v>832</v>
      </c>
      <c r="B1274" s="10"/>
      <c r="C1274" s="10"/>
    </row>
    <row r="1275" spans="1:3" ht="15.75" customHeight="1">
      <c r="A1275" s="12" t="s">
        <v>837</v>
      </c>
      <c r="B1275" s="10"/>
      <c r="C1275" s="10"/>
    </row>
    <row r="1276" spans="1:3" ht="15.75" customHeight="1">
      <c r="A1276" s="12" t="s">
        <v>821</v>
      </c>
      <c r="B1276" s="10"/>
      <c r="C1276" s="10"/>
    </row>
    <row r="1277" spans="1:3" ht="15.75" customHeight="1">
      <c r="A1277" s="12" t="s">
        <v>837</v>
      </c>
      <c r="B1277" s="10"/>
      <c r="C1277" s="10"/>
    </row>
    <row r="1278" spans="1:3" ht="15.75" customHeight="1">
      <c r="A1278" s="12" t="s">
        <v>846</v>
      </c>
      <c r="B1278" s="10"/>
      <c r="C1278" s="10"/>
    </row>
    <row r="1279" spans="1:3" ht="15.75" customHeight="1">
      <c r="A1279" s="12" t="s">
        <v>835</v>
      </c>
      <c r="B1279" s="10"/>
      <c r="C1279" s="10"/>
    </row>
    <row r="1280" spans="1:3" ht="15.75" customHeight="1">
      <c r="A1280" s="12" t="s">
        <v>828</v>
      </c>
      <c r="B1280" s="10"/>
      <c r="C1280" s="10"/>
    </row>
    <row r="1281" spans="1:3" ht="15.75" customHeight="1">
      <c r="A1281" s="12" t="s">
        <v>843</v>
      </c>
      <c r="B1281" s="10"/>
      <c r="C1281" s="10"/>
    </row>
    <row r="1282" spans="1:3" ht="15.75" customHeight="1">
      <c r="A1282" s="12" t="s">
        <v>850</v>
      </c>
      <c r="B1282" s="10"/>
      <c r="C1282" s="10"/>
    </row>
    <row r="1283" spans="1:3" ht="15.75" customHeight="1">
      <c r="A1283" s="12" t="s">
        <v>826</v>
      </c>
      <c r="B1283" s="10"/>
      <c r="C1283" s="10"/>
    </row>
    <row r="1284" spans="1:3" ht="15.75" customHeight="1">
      <c r="A1284" s="12" t="s">
        <v>848</v>
      </c>
      <c r="B1284" s="10"/>
      <c r="C1284" s="10"/>
    </row>
    <row r="1285" spans="1:3" ht="15.75" customHeight="1">
      <c r="A1285" s="12" t="s">
        <v>832</v>
      </c>
      <c r="B1285" s="10"/>
      <c r="C1285" s="10"/>
    </row>
    <row r="1286" spans="1:3" ht="15.75" customHeight="1">
      <c r="A1286" s="12" t="s">
        <v>841</v>
      </c>
      <c r="B1286" s="10"/>
      <c r="C1286" s="10"/>
    </row>
    <row r="1287" spans="1:3" ht="15.75" customHeight="1">
      <c r="A1287" s="12" t="s">
        <v>837</v>
      </c>
      <c r="B1287" s="10"/>
      <c r="C1287" s="10"/>
    </row>
    <row r="1288" spans="1:3" ht="15.75" customHeight="1">
      <c r="A1288" s="12" t="s">
        <v>824</v>
      </c>
      <c r="B1288" s="10"/>
      <c r="C1288" s="10"/>
    </row>
    <row r="1289" spans="1:3" ht="15.75" customHeight="1">
      <c r="A1289" s="12" t="s">
        <v>842</v>
      </c>
      <c r="B1289" s="10"/>
      <c r="C1289" s="10"/>
    </row>
    <row r="1290" spans="1:3" ht="15.75" customHeight="1">
      <c r="A1290" s="12" t="s">
        <v>850</v>
      </c>
      <c r="B1290" s="10"/>
      <c r="C1290" s="10"/>
    </row>
    <row r="1291" spans="1:3" ht="15.75" customHeight="1">
      <c r="A1291" s="12" t="s">
        <v>837</v>
      </c>
      <c r="B1291" s="10"/>
      <c r="C1291" s="10"/>
    </row>
    <row r="1292" spans="1:3" ht="15.75" customHeight="1">
      <c r="A1292" s="12" t="s">
        <v>835</v>
      </c>
      <c r="B1292" s="10"/>
      <c r="C1292" s="10"/>
    </row>
    <row r="1293" spans="1:3" ht="15.75" customHeight="1">
      <c r="A1293" s="12" t="s">
        <v>828</v>
      </c>
      <c r="B1293" s="10"/>
      <c r="C1293" s="10"/>
    </row>
    <row r="1294" spans="1:3" ht="15.75" customHeight="1">
      <c r="A1294" s="12" t="s">
        <v>848</v>
      </c>
      <c r="B1294" s="10"/>
      <c r="C1294" s="10"/>
    </row>
    <row r="1295" spans="1:3" ht="15.75" customHeight="1">
      <c r="A1295" s="12" t="s">
        <v>827</v>
      </c>
      <c r="B1295" s="10"/>
      <c r="C1295" s="10"/>
    </row>
    <row r="1296" spans="1:3" ht="15.75" customHeight="1">
      <c r="A1296" s="12" t="s">
        <v>844</v>
      </c>
      <c r="B1296" s="10"/>
      <c r="C1296" s="10"/>
    </row>
    <row r="1297" spans="1:3" ht="15.75" customHeight="1">
      <c r="A1297" s="12" t="s">
        <v>846</v>
      </c>
      <c r="B1297" s="10"/>
      <c r="C1297" s="10"/>
    </row>
    <row r="1298" spans="1:3" ht="15.75" customHeight="1">
      <c r="A1298" s="12" t="s">
        <v>820</v>
      </c>
      <c r="B1298" s="10"/>
      <c r="C1298" s="10"/>
    </row>
    <row r="1299" spans="1:3" ht="15.75" customHeight="1">
      <c r="A1299" s="12" t="s">
        <v>848</v>
      </c>
      <c r="B1299" s="10"/>
      <c r="C1299" s="10"/>
    </row>
    <row r="1300" spans="1:3" ht="15.75" customHeight="1">
      <c r="A1300" s="12" t="s">
        <v>844</v>
      </c>
      <c r="B1300" s="10"/>
      <c r="C1300" s="10"/>
    </row>
    <row r="1301" spans="1:3" ht="15.75" customHeight="1">
      <c r="A1301" s="12" t="s">
        <v>842</v>
      </c>
      <c r="B1301" s="10"/>
      <c r="C1301" s="10"/>
    </row>
    <row r="1302" spans="1:3" ht="15.75" customHeight="1">
      <c r="A1302" s="12" t="s">
        <v>837</v>
      </c>
      <c r="B1302" s="10"/>
      <c r="C1302" s="10"/>
    </row>
    <row r="1303" spans="1:3" ht="15.75" customHeight="1">
      <c r="A1303" s="12" t="s">
        <v>835</v>
      </c>
      <c r="B1303" s="10"/>
      <c r="C1303" s="10"/>
    </row>
    <row r="1304" spans="1:3" ht="15.75" customHeight="1">
      <c r="A1304" s="12" t="s">
        <v>836</v>
      </c>
      <c r="B1304" s="10"/>
      <c r="C1304" s="10"/>
    </row>
    <row r="1305" spans="1:3" ht="15.75" customHeight="1">
      <c r="A1305" s="12" t="s">
        <v>842</v>
      </c>
      <c r="B1305" s="10"/>
      <c r="C1305" s="10"/>
    </row>
    <row r="1306" spans="1:3" ht="15.75" customHeight="1">
      <c r="A1306" s="12" t="s">
        <v>837</v>
      </c>
      <c r="B1306" s="10"/>
      <c r="C1306" s="10"/>
    </row>
    <row r="1307" spans="1:3" ht="15.75" customHeight="1">
      <c r="A1307" s="12" t="s">
        <v>845</v>
      </c>
      <c r="B1307" s="10"/>
      <c r="C1307" s="10"/>
    </row>
    <row r="1308" spans="1:3" ht="15.75" customHeight="1">
      <c r="A1308" s="12" t="s">
        <v>838</v>
      </c>
      <c r="B1308" s="10"/>
      <c r="C1308" s="10"/>
    </row>
    <row r="1309" spans="1:3" ht="15.75" customHeight="1">
      <c r="A1309" s="12" t="s">
        <v>833</v>
      </c>
      <c r="B1309" s="10"/>
      <c r="C1309" s="10"/>
    </row>
    <row r="1310" spans="1:3" ht="15.75" customHeight="1">
      <c r="A1310" s="12" t="s">
        <v>831</v>
      </c>
      <c r="B1310" s="10"/>
      <c r="C1310" s="10"/>
    </row>
    <row r="1311" spans="1:3" ht="15.75" customHeight="1">
      <c r="A1311" s="12" t="s">
        <v>835</v>
      </c>
      <c r="B1311" s="10"/>
      <c r="C1311" s="10"/>
    </row>
    <row r="1312" spans="1:3" ht="15.75" customHeight="1">
      <c r="A1312" s="12" t="s">
        <v>847</v>
      </c>
      <c r="B1312" s="10"/>
      <c r="C1312" s="10"/>
    </row>
    <row r="1313" spans="1:3" ht="15.75" customHeight="1">
      <c r="A1313" s="12" t="s">
        <v>839</v>
      </c>
      <c r="B1313" s="10"/>
      <c r="C1313" s="10"/>
    </row>
    <row r="1314" spans="1:3" ht="15.75" customHeight="1">
      <c r="A1314" s="12" t="s">
        <v>841</v>
      </c>
      <c r="B1314" s="10"/>
      <c r="C1314" s="10"/>
    </row>
    <row r="1315" spans="1:3" ht="15.75" customHeight="1">
      <c r="A1315" s="12" t="s">
        <v>824</v>
      </c>
      <c r="B1315" s="10"/>
      <c r="C1315" s="10"/>
    </row>
    <row r="1316" spans="1:3" ht="15.75" customHeight="1">
      <c r="A1316" s="12" t="s">
        <v>821</v>
      </c>
      <c r="B1316" s="10"/>
      <c r="C1316" s="10"/>
    </row>
    <row r="1317" spans="1:3" ht="15.75" customHeight="1">
      <c r="A1317" s="12" t="s">
        <v>831</v>
      </c>
      <c r="B1317" s="10"/>
      <c r="C1317" s="10"/>
    </row>
    <row r="1318" spans="1:3" ht="15.75" customHeight="1">
      <c r="A1318" s="12" t="s">
        <v>841</v>
      </c>
      <c r="B1318" s="10"/>
      <c r="C1318" s="10"/>
    </row>
    <row r="1319" spans="1:3" ht="15.75" customHeight="1">
      <c r="A1319" s="12" t="s">
        <v>845</v>
      </c>
      <c r="B1319" s="10"/>
      <c r="C1319" s="10"/>
    </row>
    <row r="1320" spans="1:3" ht="15.75" customHeight="1">
      <c r="A1320" s="12" t="s">
        <v>839</v>
      </c>
      <c r="B1320" s="10"/>
      <c r="C1320" s="10"/>
    </row>
    <row r="1321" spans="1:3" ht="15.75" customHeight="1">
      <c r="A1321" s="12" t="s">
        <v>832</v>
      </c>
      <c r="B1321" s="10"/>
      <c r="C1321" s="10"/>
    </row>
    <row r="1322" spans="1:3" ht="15.75" customHeight="1">
      <c r="A1322" s="12" t="s">
        <v>840</v>
      </c>
      <c r="B1322" s="10"/>
      <c r="C1322" s="10"/>
    </row>
    <row r="1323" spans="1:3" ht="15.75" customHeight="1">
      <c r="A1323" s="12" t="s">
        <v>839</v>
      </c>
      <c r="B1323" s="10"/>
      <c r="C1323" s="10"/>
    </row>
    <row r="1324" spans="1:3" ht="15.75" customHeight="1">
      <c r="A1324" s="12" t="s">
        <v>818</v>
      </c>
      <c r="B1324" s="10"/>
      <c r="C1324" s="10"/>
    </row>
    <row r="1325" spans="1:3" ht="15.75" customHeight="1">
      <c r="A1325" s="12" t="s">
        <v>827</v>
      </c>
      <c r="B1325" s="10"/>
      <c r="C1325" s="10"/>
    </row>
    <row r="1326" spans="1:3" ht="15.75" customHeight="1">
      <c r="A1326" s="12" t="s">
        <v>851</v>
      </c>
      <c r="B1326" s="10"/>
      <c r="C1326" s="10"/>
    </row>
    <row r="1327" spans="1:3" ht="15.75" customHeight="1">
      <c r="A1327" s="12" t="s">
        <v>830</v>
      </c>
      <c r="B1327" s="10"/>
      <c r="C1327" s="10"/>
    </row>
    <row r="1328" spans="1:3" ht="15.75" customHeight="1">
      <c r="A1328" s="12" t="s">
        <v>830</v>
      </c>
      <c r="B1328" s="10"/>
      <c r="C1328" s="10"/>
    </row>
    <row r="1329" spans="1:3" ht="15.75" customHeight="1">
      <c r="A1329" s="12" t="s">
        <v>850</v>
      </c>
      <c r="B1329" s="10"/>
      <c r="C1329" s="10"/>
    </row>
    <row r="1330" spans="1:3" ht="15.75" customHeight="1">
      <c r="A1330" s="12" t="s">
        <v>838</v>
      </c>
      <c r="B1330" s="10"/>
      <c r="C1330" s="10"/>
    </row>
    <row r="1331" spans="1:3" ht="15.75" customHeight="1">
      <c r="A1331" s="12" t="s">
        <v>835</v>
      </c>
      <c r="B1331" s="10"/>
      <c r="C1331" s="10"/>
    </row>
    <row r="1332" spans="1:3" ht="15.75" customHeight="1">
      <c r="A1332" s="12" t="s">
        <v>827</v>
      </c>
      <c r="B1332" s="10"/>
      <c r="C1332" s="10"/>
    </row>
    <row r="1333" spans="1:3" ht="15.75" customHeight="1">
      <c r="A1333" s="12" t="s">
        <v>832</v>
      </c>
      <c r="B1333" s="10"/>
      <c r="C1333" s="10"/>
    </row>
    <row r="1334" spans="1:3" ht="15.75" customHeight="1">
      <c r="A1334" s="12" t="s">
        <v>837</v>
      </c>
      <c r="B1334" s="10"/>
      <c r="C1334" s="10"/>
    </row>
    <row r="1335" spans="1:3" ht="15.75" customHeight="1">
      <c r="A1335" s="12" t="s">
        <v>824</v>
      </c>
      <c r="B1335" s="10"/>
      <c r="C1335" s="10"/>
    </row>
    <row r="1336" spans="1:3" ht="15.75" customHeight="1">
      <c r="A1336" s="12" t="s">
        <v>836</v>
      </c>
      <c r="B1336" s="10"/>
      <c r="C1336" s="10"/>
    </row>
    <row r="1337" spans="1:3" ht="15.75" customHeight="1">
      <c r="A1337" s="12" t="s">
        <v>831</v>
      </c>
      <c r="B1337" s="10"/>
      <c r="C1337" s="10"/>
    </row>
    <row r="1338" spans="1:3" ht="15.75" customHeight="1">
      <c r="A1338" s="12" t="s">
        <v>847</v>
      </c>
      <c r="B1338" s="10"/>
      <c r="C1338" s="10"/>
    </row>
    <row r="1339" spans="1:3" ht="15.75" customHeight="1">
      <c r="A1339" s="12" t="s">
        <v>821</v>
      </c>
      <c r="B1339" s="10"/>
      <c r="C1339" s="10"/>
    </row>
    <row r="1340" spans="1:3" ht="15.75" customHeight="1">
      <c r="A1340" s="12" t="s">
        <v>844</v>
      </c>
      <c r="B1340" s="10"/>
      <c r="C1340" s="10"/>
    </row>
    <row r="1341" spans="1:3" ht="15.75" customHeight="1">
      <c r="A1341" s="12" t="s">
        <v>849</v>
      </c>
      <c r="B1341" s="10"/>
      <c r="C1341" s="10"/>
    </row>
    <row r="1342" spans="1:3" ht="15.75" customHeight="1">
      <c r="A1342" s="12" t="s">
        <v>830</v>
      </c>
      <c r="B1342" s="10"/>
      <c r="C1342" s="10"/>
    </row>
    <row r="1343" spans="1:3" ht="15.75" customHeight="1">
      <c r="A1343" s="12" t="s">
        <v>826</v>
      </c>
      <c r="B1343" s="10"/>
      <c r="C1343" s="10"/>
    </row>
    <row r="1344" spans="1:3" ht="15.75" customHeight="1">
      <c r="A1344" s="12" t="s">
        <v>824</v>
      </c>
      <c r="B1344" s="10"/>
      <c r="C1344" s="10"/>
    </row>
    <row r="1345" spans="1:3" ht="15.75" customHeight="1">
      <c r="A1345" s="12" t="s">
        <v>837</v>
      </c>
      <c r="B1345" s="10"/>
      <c r="C1345" s="10"/>
    </row>
    <row r="1346" spans="1:3" ht="15.75" customHeight="1">
      <c r="A1346" s="12" t="s">
        <v>827</v>
      </c>
      <c r="B1346" s="10"/>
      <c r="C1346" s="10"/>
    </row>
    <row r="1347" spans="1:3" ht="15.75" customHeight="1">
      <c r="A1347" s="12" t="s">
        <v>832</v>
      </c>
      <c r="B1347" s="10"/>
      <c r="C1347" s="10"/>
    </row>
    <row r="1348" spans="1:3" ht="15.75" customHeight="1">
      <c r="A1348" s="12" t="s">
        <v>851</v>
      </c>
      <c r="B1348" s="10"/>
      <c r="C1348" s="10"/>
    </row>
    <row r="1349" spans="1:3" ht="15.75" customHeight="1">
      <c r="A1349" s="12" t="s">
        <v>830</v>
      </c>
      <c r="B1349" s="10"/>
      <c r="C1349" s="10"/>
    </row>
    <row r="1350" spans="1:3" ht="15.75" customHeight="1">
      <c r="A1350" s="12" t="s">
        <v>824</v>
      </c>
      <c r="B1350" s="10"/>
      <c r="C1350" s="10"/>
    </row>
    <row r="1351" spans="1:3" ht="15.75" customHeight="1">
      <c r="A1351" s="12" t="s">
        <v>843</v>
      </c>
      <c r="B1351" s="10"/>
      <c r="C1351" s="10"/>
    </row>
    <row r="1352" spans="1:3" ht="15.75" customHeight="1">
      <c r="A1352" s="12" t="s">
        <v>824</v>
      </c>
      <c r="B1352" s="10"/>
      <c r="C1352" s="10"/>
    </row>
    <row r="1353" spans="1:3" ht="15.75" customHeight="1">
      <c r="A1353" s="12" t="s">
        <v>823</v>
      </c>
      <c r="B1353" s="10"/>
      <c r="C1353" s="10"/>
    </row>
    <row r="1354" spans="1:3" ht="15.75" customHeight="1">
      <c r="A1354" s="12" t="s">
        <v>830</v>
      </c>
      <c r="B1354" s="10"/>
      <c r="C1354" s="10"/>
    </row>
    <row r="1355" spans="1:3" ht="15.75" customHeight="1">
      <c r="A1355" s="12" t="s">
        <v>830</v>
      </c>
      <c r="B1355" s="10"/>
      <c r="C1355" s="10"/>
    </row>
    <row r="1356" spans="1:3" ht="15.75" customHeight="1">
      <c r="A1356" s="12" t="s">
        <v>837</v>
      </c>
      <c r="B1356" s="10"/>
      <c r="C1356" s="10"/>
    </row>
    <row r="1357" spans="1:3" ht="15.75" customHeight="1">
      <c r="A1357" s="12" t="s">
        <v>837</v>
      </c>
      <c r="B1357" s="10"/>
      <c r="C1357" s="10"/>
    </row>
    <row r="1358" spans="1:3" ht="15.75" customHeight="1">
      <c r="A1358" s="12" t="s">
        <v>844</v>
      </c>
      <c r="B1358" s="10"/>
      <c r="C1358" s="10"/>
    </row>
    <row r="1359" spans="1:3" ht="15.75" customHeight="1">
      <c r="A1359" s="12" t="s">
        <v>837</v>
      </c>
      <c r="B1359" s="10"/>
      <c r="C1359" s="10"/>
    </row>
    <row r="1360" spans="1:3" ht="15.75" customHeight="1">
      <c r="A1360" s="12" t="s">
        <v>850</v>
      </c>
      <c r="B1360" s="10"/>
      <c r="C1360" s="10"/>
    </row>
    <row r="1361" spans="1:3" ht="15.75" customHeight="1">
      <c r="A1361" s="12" t="s">
        <v>834</v>
      </c>
      <c r="B1361" s="10"/>
      <c r="C1361" s="10"/>
    </row>
    <row r="1362" spans="1:3" ht="15.75" customHeight="1">
      <c r="A1362" s="12" t="s">
        <v>835</v>
      </c>
      <c r="B1362" s="10"/>
      <c r="C1362" s="10"/>
    </row>
    <row r="1363" spans="1:3" ht="15.75" customHeight="1">
      <c r="A1363" s="12" t="s">
        <v>833</v>
      </c>
      <c r="B1363" s="10"/>
      <c r="C1363" s="10"/>
    </row>
    <row r="1364" spans="1:3" ht="15.75" customHeight="1">
      <c r="A1364" s="12" t="s">
        <v>837</v>
      </c>
      <c r="B1364" s="10"/>
      <c r="C1364" s="10"/>
    </row>
    <row r="1365" spans="1:3" ht="15.75" customHeight="1">
      <c r="A1365" s="12" t="s">
        <v>832</v>
      </c>
      <c r="B1365" s="10"/>
      <c r="C1365" s="10"/>
    </row>
    <row r="1366" spans="1:3" ht="15.75" customHeight="1">
      <c r="A1366" s="12" t="s">
        <v>818</v>
      </c>
      <c r="B1366" s="10"/>
      <c r="C1366" s="10"/>
    </row>
    <row r="1367" spans="1:3" ht="15.75" customHeight="1">
      <c r="A1367" s="12" t="s">
        <v>828</v>
      </c>
      <c r="B1367" s="10"/>
      <c r="C1367" s="10"/>
    </row>
    <row r="1368" spans="1:3" ht="15.75" customHeight="1">
      <c r="A1368" s="12" t="s">
        <v>834</v>
      </c>
      <c r="B1368" s="10"/>
      <c r="C1368" s="10"/>
    </row>
    <row r="1369" spans="1:3" ht="15.75" customHeight="1">
      <c r="A1369" s="12" t="s">
        <v>837</v>
      </c>
      <c r="B1369" s="10"/>
      <c r="C1369" s="10"/>
    </row>
    <row r="1370" spans="1:3" ht="15.75" customHeight="1">
      <c r="A1370" s="12" t="s">
        <v>851</v>
      </c>
      <c r="B1370" s="10"/>
      <c r="C1370" s="10"/>
    </row>
    <row r="1371" spans="1:3" ht="15.75" customHeight="1">
      <c r="A1371" s="12" t="s">
        <v>830</v>
      </c>
      <c r="B1371" s="10"/>
      <c r="C1371" s="10"/>
    </row>
    <row r="1372" spans="1:3" ht="15.75" customHeight="1">
      <c r="A1372" s="12" t="s">
        <v>826</v>
      </c>
      <c r="B1372" s="10"/>
      <c r="C1372" s="10"/>
    </row>
    <row r="1373" spans="1:3" ht="15.75" customHeight="1">
      <c r="A1373" s="12" t="s">
        <v>826</v>
      </c>
      <c r="B1373" s="10"/>
      <c r="C1373" s="10"/>
    </row>
    <row r="1374" spans="1:3" ht="15.75" customHeight="1">
      <c r="A1374" s="12" t="s">
        <v>836</v>
      </c>
      <c r="B1374" s="10"/>
      <c r="C1374" s="10"/>
    </row>
    <row r="1375" spans="1:3" ht="15.75" customHeight="1">
      <c r="A1375" s="12" t="s">
        <v>837</v>
      </c>
      <c r="B1375" s="10"/>
      <c r="C1375" s="10"/>
    </row>
    <row r="1376" spans="1:3" ht="15.75" customHeight="1">
      <c r="A1376" s="12" t="s">
        <v>824</v>
      </c>
      <c r="B1376" s="10"/>
      <c r="C1376" s="10"/>
    </row>
    <row r="1377" spans="1:3" ht="15.75" customHeight="1">
      <c r="A1377" s="12" t="s">
        <v>850</v>
      </c>
      <c r="B1377" s="10"/>
      <c r="C1377" s="10"/>
    </row>
    <row r="1378" spans="1:3" ht="15.75" customHeight="1">
      <c r="A1378" s="12" t="s">
        <v>825</v>
      </c>
      <c r="B1378" s="10"/>
      <c r="C1378" s="10"/>
    </row>
    <row r="1379" spans="1:3" ht="15.75" customHeight="1">
      <c r="A1379" s="12" t="s">
        <v>831</v>
      </c>
      <c r="B1379" s="10"/>
      <c r="C1379" s="10"/>
    </row>
    <row r="1380" spans="1:3" ht="15.75" customHeight="1">
      <c r="A1380" s="12" t="s">
        <v>828</v>
      </c>
      <c r="B1380" s="10"/>
      <c r="C1380" s="10"/>
    </row>
    <row r="1381" spans="1:3" ht="15.75" customHeight="1">
      <c r="A1381" s="12" t="s">
        <v>823</v>
      </c>
      <c r="B1381" s="10"/>
      <c r="C1381" s="10"/>
    </row>
    <row r="1382" spans="1:3" ht="15.75" customHeight="1">
      <c r="A1382" s="12" t="s">
        <v>823</v>
      </c>
      <c r="B1382" s="10"/>
      <c r="C1382" s="10"/>
    </row>
    <row r="1383" spans="1:3" ht="15.75" customHeight="1">
      <c r="A1383" s="12" t="s">
        <v>832</v>
      </c>
      <c r="B1383" s="10"/>
      <c r="C1383" s="10"/>
    </row>
    <row r="1384" spans="1:3" ht="15.75" customHeight="1">
      <c r="A1384" s="12" t="s">
        <v>834</v>
      </c>
      <c r="B1384" s="10"/>
      <c r="C1384" s="10"/>
    </row>
    <row r="1385" spans="1:3" ht="15.75" customHeight="1">
      <c r="A1385" s="12" t="s">
        <v>830</v>
      </c>
      <c r="B1385" s="10"/>
      <c r="C1385" s="10"/>
    </row>
    <row r="1386" spans="1:3" ht="15.75" customHeight="1">
      <c r="A1386" s="12" t="s">
        <v>852</v>
      </c>
      <c r="B1386" s="10"/>
      <c r="C1386" s="10"/>
    </row>
    <row r="1387" spans="1:3" ht="15.75" customHeight="1">
      <c r="A1387" s="12" t="s">
        <v>840</v>
      </c>
      <c r="B1387" s="10"/>
      <c r="C1387" s="10"/>
    </row>
    <row r="1388" spans="1:3" ht="15.75" customHeight="1">
      <c r="A1388" s="12" t="s">
        <v>830</v>
      </c>
      <c r="B1388" s="10"/>
      <c r="C1388" s="10"/>
    </row>
    <row r="1389" spans="1:3" ht="15.75" customHeight="1">
      <c r="A1389" s="12" t="s">
        <v>848</v>
      </c>
      <c r="B1389" s="10"/>
      <c r="C1389" s="10"/>
    </row>
    <row r="1390" spans="1:3" ht="15.75" customHeight="1">
      <c r="A1390" s="12" t="s">
        <v>843</v>
      </c>
      <c r="B1390" s="10"/>
      <c r="C1390" s="10"/>
    </row>
    <row r="1391" spans="1:3" ht="15.75" customHeight="1">
      <c r="A1391" s="12" t="s">
        <v>827</v>
      </c>
      <c r="B1391" s="10"/>
      <c r="C1391" s="10"/>
    </row>
    <row r="1392" spans="1:3" ht="15.75" customHeight="1">
      <c r="A1392" s="12" t="s">
        <v>834</v>
      </c>
      <c r="B1392" s="10"/>
      <c r="C1392" s="10"/>
    </row>
    <row r="1393" spans="1:3" ht="15.75" customHeight="1">
      <c r="A1393" s="12" t="s">
        <v>844</v>
      </c>
      <c r="B1393" s="10"/>
      <c r="C1393" s="10"/>
    </row>
    <row r="1394" spans="1:3" ht="15.75" customHeight="1">
      <c r="A1394" s="12" t="s">
        <v>836</v>
      </c>
      <c r="B1394" s="10"/>
      <c r="C1394" s="10"/>
    </row>
    <row r="1395" spans="1:3" ht="15.75" customHeight="1">
      <c r="A1395" s="12" t="s">
        <v>823</v>
      </c>
      <c r="B1395" s="10"/>
      <c r="C1395" s="10"/>
    </row>
    <row r="1396" spans="1:3" ht="15.75" customHeight="1">
      <c r="A1396" s="12" t="s">
        <v>837</v>
      </c>
      <c r="B1396" s="10"/>
      <c r="C1396" s="10"/>
    </row>
    <row r="1397" spans="1:3" ht="15.75" customHeight="1">
      <c r="A1397" s="12" t="s">
        <v>842</v>
      </c>
      <c r="B1397" s="10"/>
      <c r="C1397" s="10"/>
    </row>
    <row r="1398" spans="1:3" ht="15.75" customHeight="1">
      <c r="A1398" s="12" t="s">
        <v>821</v>
      </c>
      <c r="B1398" s="10"/>
      <c r="C1398" s="10"/>
    </row>
    <row r="1399" spans="1:3" ht="15.75" customHeight="1">
      <c r="A1399" s="12" t="s">
        <v>830</v>
      </c>
      <c r="B1399" s="10"/>
      <c r="C1399" s="10"/>
    </row>
    <row r="1400" spans="1:3" ht="15.75" customHeight="1">
      <c r="A1400" s="12" t="s">
        <v>827</v>
      </c>
      <c r="B1400" s="10"/>
      <c r="C1400" s="10"/>
    </row>
    <row r="1401" spans="1:3" ht="15.75" customHeight="1">
      <c r="A1401" s="12" t="s">
        <v>834</v>
      </c>
      <c r="B1401" s="10"/>
      <c r="C1401" s="10"/>
    </row>
    <row r="1402" spans="1:3" ht="15.75" customHeight="1">
      <c r="A1402" s="12" t="s">
        <v>823</v>
      </c>
      <c r="B1402" s="10"/>
      <c r="C1402" s="10"/>
    </row>
    <row r="1403" spans="1:3" ht="15.75" customHeight="1">
      <c r="A1403" s="12" t="s">
        <v>844</v>
      </c>
      <c r="B1403" s="10"/>
      <c r="C1403" s="10"/>
    </row>
    <row r="1404" spans="1:3" ht="15.75" customHeight="1">
      <c r="A1404" s="12" t="s">
        <v>840</v>
      </c>
      <c r="B1404" s="10"/>
      <c r="C1404" s="10"/>
    </row>
    <row r="1405" spans="1:3" ht="15.75" customHeight="1">
      <c r="A1405" s="12" t="s">
        <v>834</v>
      </c>
      <c r="B1405" s="10"/>
      <c r="C1405" s="10"/>
    </row>
    <row r="1406" spans="1:3" ht="15.75" customHeight="1">
      <c r="A1406" s="12" t="s">
        <v>826</v>
      </c>
      <c r="B1406" s="10"/>
      <c r="C1406" s="10"/>
    </row>
    <row r="1407" spans="1:3" ht="15.75" customHeight="1">
      <c r="A1407" s="12" t="s">
        <v>818</v>
      </c>
      <c r="B1407" s="10"/>
      <c r="C1407" s="10"/>
    </row>
    <row r="1408" spans="1:3" ht="15.75" customHeight="1">
      <c r="A1408" s="12" t="s">
        <v>835</v>
      </c>
      <c r="B1408" s="10"/>
      <c r="C1408" s="10"/>
    </row>
    <row r="1409" spans="1:3" ht="15.75" customHeight="1">
      <c r="A1409" s="12" t="s">
        <v>844</v>
      </c>
      <c r="B1409" s="10"/>
      <c r="C1409" s="10"/>
    </row>
    <row r="1410" spans="1:3" ht="15.75" customHeight="1">
      <c r="A1410" s="12" t="s">
        <v>843</v>
      </c>
      <c r="B1410" s="10"/>
      <c r="C1410" s="10"/>
    </row>
    <row r="1411" spans="1:3" ht="15.75" customHeight="1">
      <c r="A1411" s="12" t="s">
        <v>836</v>
      </c>
      <c r="B1411" s="10"/>
      <c r="C1411" s="10"/>
    </row>
    <row r="1412" spans="1:3" ht="15.75" customHeight="1">
      <c r="A1412" s="12" t="s">
        <v>820</v>
      </c>
      <c r="B1412" s="10"/>
      <c r="C1412" s="10"/>
    </row>
    <row r="1413" spans="1:3" ht="15.75" customHeight="1">
      <c r="A1413" s="12" t="s">
        <v>830</v>
      </c>
      <c r="B1413" s="10"/>
      <c r="C1413" s="10"/>
    </row>
    <row r="1414" spans="1:3" ht="15.75" customHeight="1">
      <c r="A1414" s="12" t="s">
        <v>852</v>
      </c>
      <c r="B1414" s="10"/>
      <c r="C1414" s="10"/>
    </row>
    <row r="1415" spans="1:3" ht="15.75" customHeight="1">
      <c r="A1415" s="12" t="s">
        <v>839</v>
      </c>
      <c r="B1415" s="10"/>
      <c r="C1415" s="10"/>
    </row>
    <row r="1416" spans="1:3" ht="15.75" customHeight="1">
      <c r="A1416" s="12" t="s">
        <v>846</v>
      </c>
      <c r="B1416" s="10"/>
      <c r="C1416" s="10"/>
    </row>
    <row r="1417" spans="1:3" ht="15.75" customHeight="1">
      <c r="A1417" s="12" t="s">
        <v>837</v>
      </c>
      <c r="B1417" s="10"/>
      <c r="C1417" s="10"/>
    </row>
    <row r="1418" spans="1:3" ht="15.75" customHeight="1">
      <c r="A1418" s="12" t="s">
        <v>841</v>
      </c>
      <c r="B1418" s="10"/>
      <c r="C1418" s="10"/>
    </row>
    <row r="1419" spans="1:3" ht="15.75" customHeight="1">
      <c r="A1419" s="12" t="s">
        <v>834</v>
      </c>
      <c r="B1419" s="10"/>
      <c r="C1419" s="10"/>
    </row>
    <row r="1420" spans="1:3" ht="15.75" customHeight="1">
      <c r="A1420" s="12" t="s">
        <v>847</v>
      </c>
      <c r="B1420" s="10"/>
      <c r="C1420" s="10"/>
    </row>
    <row r="1421" spans="1:3" ht="15.75" customHeight="1">
      <c r="A1421" s="12" t="s">
        <v>828</v>
      </c>
      <c r="B1421" s="10"/>
      <c r="C1421" s="10"/>
    </row>
    <row r="1422" spans="1:3" ht="15.75" customHeight="1">
      <c r="A1422" s="12" t="s">
        <v>842</v>
      </c>
      <c r="B1422" s="10"/>
      <c r="C1422" s="10"/>
    </row>
    <row r="1423" spans="1:3" ht="15.75" customHeight="1">
      <c r="A1423" s="12" t="s">
        <v>850</v>
      </c>
      <c r="B1423" s="10"/>
      <c r="C1423" s="10"/>
    </row>
    <row r="1424" spans="1:3" ht="15.75" customHeight="1">
      <c r="A1424" s="12" t="s">
        <v>853</v>
      </c>
      <c r="B1424" s="10"/>
      <c r="C1424" s="10"/>
    </row>
    <row r="1425" spans="1:3" ht="15.75" customHeight="1">
      <c r="A1425" s="12" t="s">
        <v>820</v>
      </c>
      <c r="B1425" s="10"/>
      <c r="C1425" s="10"/>
    </row>
    <row r="1426" spans="1:3" ht="15.75" customHeight="1">
      <c r="A1426" s="12" t="s">
        <v>853</v>
      </c>
      <c r="B1426" s="10"/>
      <c r="C1426" s="10"/>
    </row>
    <row r="1427" spans="1:3" ht="15.75" customHeight="1">
      <c r="A1427" s="12" t="s">
        <v>824</v>
      </c>
      <c r="B1427" s="10"/>
      <c r="C1427" s="10"/>
    </row>
    <row r="1428" spans="1:3" ht="15.75" customHeight="1">
      <c r="A1428" s="12" t="s">
        <v>837</v>
      </c>
      <c r="B1428" s="10"/>
      <c r="C1428" s="10"/>
    </row>
    <row r="1429" spans="1:3" ht="15.75" customHeight="1">
      <c r="A1429" s="12" t="s">
        <v>845</v>
      </c>
      <c r="B1429" s="10"/>
      <c r="C1429" s="10"/>
    </row>
    <row r="1430" spans="1:3" ht="15.75" customHeight="1">
      <c r="A1430" s="12" t="s">
        <v>846</v>
      </c>
      <c r="B1430" s="10"/>
      <c r="C1430" s="10"/>
    </row>
    <row r="1431" spans="1:3" ht="15.75" customHeight="1">
      <c r="A1431" s="12" t="s">
        <v>838</v>
      </c>
      <c r="B1431" s="10"/>
      <c r="C1431" s="10"/>
    </row>
    <row r="1432" spans="1:3" ht="15.75" customHeight="1">
      <c r="A1432" s="12" t="s">
        <v>829</v>
      </c>
      <c r="B1432" s="10"/>
      <c r="C1432" s="10"/>
    </row>
    <row r="1433" spans="1:3" ht="15.75" customHeight="1">
      <c r="A1433" s="12" t="s">
        <v>821</v>
      </c>
      <c r="B1433" s="10"/>
      <c r="C1433" s="10"/>
    </row>
    <row r="1434" spans="1:3" ht="15.75" customHeight="1">
      <c r="A1434" s="12" t="s">
        <v>830</v>
      </c>
      <c r="B1434" s="10"/>
      <c r="C1434" s="10"/>
    </row>
    <row r="1435" spans="1:3" ht="15.75" customHeight="1">
      <c r="A1435" s="12" t="s">
        <v>837</v>
      </c>
      <c r="B1435" s="10"/>
      <c r="C1435" s="10"/>
    </row>
    <row r="1436" spans="1:3" ht="15.75" customHeight="1">
      <c r="A1436" s="12" t="s">
        <v>832</v>
      </c>
      <c r="B1436" s="10"/>
      <c r="C1436" s="10"/>
    </row>
    <row r="1437" spans="1:3" ht="15.75" customHeight="1">
      <c r="A1437" s="12" t="s">
        <v>850</v>
      </c>
      <c r="B1437" s="10"/>
      <c r="C1437" s="10"/>
    </row>
    <row r="1438" spans="1:3" ht="15.75" customHeight="1">
      <c r="A1438" s="12" t="s">
        <v>824</v>
      </c>
      <c r="B1438" s="10"/>
      <c r="C1438" s="10"/>
    </row>
    <row r="1439" spans="1:3" ht="15.75" customHeight="1">
      <c r="A1439" s="12" t="s">
        <v>829</v>
      </c>
      <c r="B1439" s="10"/>
      <c r="C1439" s="10"/>
    </row>
    <row r="1440" spans="1:3" ht="15.75" customHeight="1">
      <c r="A1440" s="12" t="s">
        <v>839</v>
      </c>
      <c r="B1440" s="10"/>
      <c r="C1440" s="10"/>
    </row>
    <row r="1441" spans="1:3" ht="15.75" customHeight="1">
      <c r="A1441" s="12" t="s">
        <v>847</v>
      </c>
      <c r="B1441" s="10"/>
      <c r="C1441" s="10"/>
    </row>
    <row r="1442" spans="1:3" ht="15.75" customHeight="1">
      <c r="A1442" s="12" t="s">
        <v>843</v>
      </c>
      <c r="B1442" s="10"/>
      <c r="C1442" s="10"/>
    </row>
    <row r="1443" spans="1:3" ht="15.75" customHeight="1">
      <c r="A1443" s="12" t="s">
        <v>845</v>
      </c>
      <c r="B1443" s="10"/>
      <c r="C1443" s="10"/>
    </row>
    <row r="1444" spans="1:3" ht="15.75" customHeight="1">
      <c r="A1444" s="12" t="s">
        <v>839</v>
      </c>
      <c r="B1444" s="10"/>
      <c r="C1444" s="10"/>
    </row>
    <row r="1445" spans="1:3" ht="15.75" customHeight="1">
      <c r="A1445" s="12" t="s">
        <v>837</v>
      </c>
      <c r="B1445" s="10"/>
      <c r="C1445" s="10"/>
    </row>
    <row r="1446" spans="1:3" ht="15.75" customHeight="1">
      <c r="A1446" s="12" t="s">
        <v>827</v>
      </c>
      <c r="B1446" s="10"/>
      <c r="C1446" s="10"/>
    </row>
    <row r="1447" spans="1:3" ht="15.75" customHeight="1">
      <c r="A1447" s="12" t="s">
        <v>840</v>
      </c>
      <c r="B1447" s="10"/>
      <c r="C1447" s="10"/>
    </row>
    <row r="1448" spans="1:3" ht="15.75" customHeight="1">
      <c r="A1448" s="12" t="s">
        <v>832</v>
      </c>
      <c r="B1448" s="10"/>
      <c r="C1448" s="10"/>
    </row>
    <row r="1449" spans="1:3" ht="15.75" customHeight="1">
      <c r="A1449" s="12" t="s">
        <v>828</v>
      </c>
      <c r="B1449" s="10"/>
      <c r="C1449" s="10"/>
    </row>
    <row r="1450" spans="1:3" ht="15.75" customHeight="1">
      <c r="A1450" s="12" t="s">
        <v>837</v>
      </c>
      <c r="B1450" s="10"/>
      <c r="C1450" s="10"/>
    </row>
    <row r="1451" spans="1:3" ht="15.75" customHeight="1">
      <c r="A1451" s="12" t="s">
        <v>834</v>
      </c>
      <c r="B1451" s="10"/>
      <c r="C1451" s="10"/>
    </row>
    <row r="1452" spans="1:3" ht="15.75" customHeight="1">
      <c r="A1452" s="12" t="s">
        <v>835</v>
      </c>
      <c r="B1452" s="10"/>
      <c r="C1452" s="10"/>
    </row>
    <row r="1453" spans="1:3" ht="15.75" customHeight="1">
      <c r="A1453" s="12" t="s">
        <v>850</v>
      </c>
      <c r="B1453" s="10"/>
      <c r="C1453" s="10"/>
    </row>
    <row r="1454" spans="1:3" ht="15.75" customHeight="1">
      <c r="A1454" s="12" t="s">
        <v>833</v>
      </c>
      <c r="B1454" s="10"/>
      <c r="C1454" s="10"/>
    </row>
    <row r="1455" spans="1:3" ht="15.75" customHeight="1">
      <c r="A1455" s="12" t="s">
        <v>837</v>
      </c>
      <c r="B1455" s="10"/>
      <c r="C1455" s="10"/>
    </row>
    <row r="1456" spans="1:3" ht="15.75" customHeight="1">
      <c r="A1456" s="12" t="s">
        <v>835</v>
      </c>
      <c r="B1456" s="10"/>
      <c r="C1456" s="10"/>
    </row>
    <row r="1457" spans="1:3" ht="15.75" customHeight="1">
      <c r="A1457" s="12" t="s">
        <v>823</v>
      </c>
      <c r="B1457" s="10"/>
      <c r="C1457" s="10"/>
    </row>
    <row r="1458" spans="1:3" ht="15.75" customHeight="1">
      <c r="A1458" s="12" t="s">
        <v>824</v>
      </c>
      <c r="B1458" s="10"/>
      <c r="C1458" s="10"/>
    </row>
    <row r="1459" spans="1:3" ht="15.75" customHeight="1">
      <c r="A1459" s="12" t="s">
        <v>827</v>
      </c>
      <c r="B1459" s="10"/>
      <c r="C1459" s="10"/>
    </row>
    <row r="1460" spans="1:3" ht="15.75" customHeight="1">
      <c r="A1460" s="12" t="s">
        <v>844</v>
      </c>
      <c r="B1460" s="10"/>
      <c r="C1460" s="10"/>
    </row>
    <row r="1461" spans="1:3" ht="15.75" customHeight="1">
      <c r="A1461" s="12" t="s">
        <v>843</v>
      </c>
      <c r="B1461" s="10"/>
      <c r="C1461" s="10"/>
    </row>
    <row r="1462" spans="1:3" ht="15.75" customHeight="1">
      <c r="A1462" s="12" t="s">
        <v>837</v>
      </c>
      <c r="B1462" s="10"/>
      <c r="C1462" s="10"/>
    </row>
    <row r="1463" spans="1:3" ht="15.75" customHeight="1">
      <c r="A1463" s="12" t="s">
        <v>843</v>
      </c>
      <c r="B1463" s="10"/>
      <c r="C1463" s="10"/>
    </row>
    <row r="1464" spans="1:3" ht="15.75" customHeight="1">
      <c r="A1464" s="12" t="s">
        <v>825</v>
      </c>
      <c r="B1464" s="10"/>
      <c r="C1464" s="10"/>
    </row>
    <row r="1465" spans="1:3" ht="15.75" customHeight="1">
      <c r="A1465" s="12" t="s">
        <v>848</v>
      </c>
      <c r="B1465" s="10"/>
      <c r="C1465" s="10"/>
    </row>
    <row r="1466" spans="1:3" ht="15.75" customHeight="1">
      <c r="A1466" s="12" t="s">
        <v>837</v>
      </c>
      <c r="B1466" s="10"/>
      <c r="C1466" s="10"/>
    </row>
    <row r="1467" spans="1:3" ht="15.75" customHeight="1">
      <c r="A1467" s="12" t="s">
        <v>846</v>
      </c>
      <c r="B1467" s="10"/>
      <c r="C1467" s="10"/>
    </row>
    <row r="1468" spans="1:3" ht="15.75" customHeight="1">
      <c r="A1468" s="12" t="s">
        <v>830</v>
      </c>
      <c r="B1468" s="10"/>
      <c r="C1468" s="10"/>
    </row>
    <row r="1469" spans="1:3" ht="15.75" customHeight="1">
      <c r="A1469" s="12" t="s">
        <v>840</v>
      </c>
      <c r="B1469" s="10"/>
      <c r="C1469" s="10"/>
    </row>
    <row r="1470" spans="1:3" ht="15.75" customHeight="1">
      <c r="A1470" s="12" t="s">
        <v>830</v>
      </c>
      <c r="B1470" s="10"/>
      <c r="C1470" s="10"/>
    </row>
    <row r="1471" spans="1:3" ht="15.75" customHeight="1">
      <c r="A1471" s="12" t="s">
        <v>824</v>
      </c>
      <c r="B1471" s="10"/>
      <c r="C1471" s="10"/>
    </row>
    <row r="1472" spans="1:3" ht="15.75" customHeight="1">
      <c r="A1472" s="12" t="s">
        <v>837</v>
      </c>
      <c r="B1472" s="10"/>
      <c r="C1472" s="10"/>
    </row>
    <row r="1473" spans="1:3" ht="15.75" customHeight="1">
      <c r="A1473" s="12" t="s">
        <v>828</v>
      </c>
      <c r="B1473" s="10"/>
      <c r="C1473" s="10"/>
    </row>
    <row r="1474" spans="1:3" ht="15.75" customHeight="1">
      <c r="A1474" s="12" t="s">
        <v>836</v>
      </c>
      <c r="B1474" s="10"/>
      <c r="C1474" s="10"/>
    </row>
    <row r="1475" spans="1:3" ht="15.75" customHeight="1">
      <c r="A1475" s="12" t="s">
        <v>844</v>
      </c>
      <c r="B1475" s="10"/>
      <c r="C1475" s="10"/>
    </row>
    <row r="1476" spans="1:3" ht="15.75" customHeight="1">
      <c r="A1476" s="12" t="s">
        <v>818</v>
      </c>
      <c r="B1476" s="10"/>
      <c r="C1476" s="10"/>
    </row>
    <row r="1477" spans="1:3" ht="15.75" customHeight="1">
      <c r="A1477" s="12" t="s">
        <v>829</v>
      </c>
      <c r="B1477" s="10"/>
      <c r="C1477" s="10"/>
    </row>
    <row r="1478" spans="1:3" ht="15.75" customHeight="1">
      <c r="A1478" s="12" t="s">
        <v>834</v>
      </c>
      <c r="B1478" s="10"/>
      <c r="C1478" s="10"/>
    </row>
    <row r="1479" spans="1:3" ht="15.75" customHeight="1">
      <c r="A1479" s="12" t="s">
        <v>839</v>
      </c>
      <c r="B1479" s="10"/>
      <c r="C1479" s="10"/>
    </row>
    <row r="1480" spans="1:3" ht="15.75" customHeight="1">
      <c r="A1480" s="12" t="s">
        <v>847</v>
      </c>
      <c r="B1480" s="10"/>
      <c r="C1480" s="10"/>
    </row>
    <row r="1481" spans="1:3" ht="15.75" customHeight="1">
      <c r="A1481" s="12" t="s">
        <v>843</v>
      </c>
      <c r="B1481" s="10"/>
      <c r="C1481" s="10"/>
    </row>
    <row r="1482" spans="1:3" ht="15.75" customHeight="1">
      <c r="A1482" s="12" t="s">
        <v>834</v>
      </c>
      <c r="B1482" s="10"/>
      <c r="C1482" s="10"/>
    </row>
    <row r="1483" spans="1:3" ht="15.75" customHeight="1">
      <c r="A1483" s="12" t="s">
        <v>845</v>
      </c>
      <c r="B1483" s="10"/>
      <c r="C1483" s="10"/>
    </row>
    <row r="1484" spans="1:3" ht="15.75" customHeight="1">
      <c r="A1484" s="12" t="s">
        <v>845</v>
      </c>
      <c r="B1484" s="10"/>
      <c r="C1484" s="10"/>
    </row>
    <row r="1485" spans="1:3" ht="15.75" customHeight="1">
      <c r="A1485" s="12" t="s">
        <v>833</v>
      </c>
      <c r="B1485" s="10"/>
      <c r="C1485" s="10"/>
    </row>
    <row r="1486" spans="1:3" ht="15.75" customHeight="1">
      <c r="A1486" s="12" t="s">
        <v>830</v>
      </c>
      <c r="B1486" s="10"/>
      <c r="C1486" s="10"/>
    </row>
    <row r="1487" spans="1:3" ht="15.75" customHeight="1">
      <c r="A1487" s="12" t="s">
        <v>821</v>
      </c>
      <c r="B1487" s="10"/>
      <c r="C1487" s="10"/>
    </row>
    <row r="1488" spans="1:3" ht="15.75" customHeight="1">
      <c r="A1488" s="12" t="s">
        <v>837</v>
      </c>
      <c r="B1488" s="10"/>
      <c r="C1488" s="10"/>
    </row>
    <row r="1489" spans="1:3" ht="15.75" customHeight="1">
      <c r="A1489" s="12" t="s">
        <v>830</v>
      </c>
      <c r="B1489" s="10"/>
      <c r="C1489" s="10"/>
    </row>
    <row r="1490" spans="1:3" ht="15.75" customHeight="1">
      <c r="A1490" s="12" t="s">
        <v>836</v>
      </c>
      <c r="B1490" s="10"/>
      <c r="C1490" s="10"/>
    </row>
    <row r="1491" spans="1:3" ht="15.75" customHeight="1">
      <c r="A1491" s="12" t="s">
        <v>848</v>
      </c>
      <c r="B1491" s="10"/>
      <c r="C1491" s="10"/>
    </row>
    <row r="1492" spans="1:3" ht="15.75" customHeight="1">
      <c r="A1492" s="12" t="s">
        <v>837</v>
      </c>
      <c r="B1492" s="10"/>
      <c r="C1492" s="10"/>
    </row>
    <row r="1493" spans="1:3" ht="15.75" customHeight="1">
      <c r="A1493" s="12" t="s">
        <v>837</v>
      </c>
      <c r="B1493" s="10"/>
      <c r="C1493" s="10"/>
    </row>
    <row r="1494" spans="1:3" ht="15.75" customHeight="1">
      <c r="A1494" s="12" t="s">
        <v>828</v>
      </c>
      <c r="B1494" s="10"/>
      <c r="C1494" s="10"/>
    </row>
    <row r="1495" spans="1:3" ht="15.75" customHeight="1">
      <c r="A1495" s="12" t="s">
        <v>820</v>
      </c>
      <c r="B1495" s="10"/>
      <c r="C1495" s="10"/>
    </row>
    <row r="1496" spans="1:3" ht="15.75" customHeight="1">
      <c r="A1496" s="12" t="s">
        <v>837</v>
      </c>
      <c r="B1496" s="10"/>
      <c r="C1496" s="10"/>
    </row>
    <row r="1497" spans="1:3" ht="15.75" customHeight="1">
      <c r="A1497" s="12" t="s">
        <v>832</v>
      </c>
      <c r="B1497" s="10"/>
      <c r="C1497" s="10"/>
    </row>
    <row r="1498" spans="1:3" ht="15.75" customHeight="1">
      <c r="A1498" s="12" t="s">
        <v>843</v>
      </c>
      <c r="B1498" s="10"/>
      <c r="C1498" s="10"/>
    </row>
    <row r="1499" spans="1:3" ht="15.75" customHeight="1">
      <c r="A1499" s="12" t="s">
        <v>836</v>
      </c>
      <c r="B1499" s="10"/>
      <c r="C1499" s="10"/>
    </row>
    <row r="1500" spans="1:3" ht="15.75" customHeight="1">
      <c r="A1500" s="12" t="s">
        <v>835</v>
      </c>
      <c r="B1500" s="10"/>
      <c r="C1500" s="10"/>
    </row>
    <row r="1501" spans="1:3" ht="15.75" customHeight="1">
      <c r="A1501" s="12" t="s">
        <v>837</v>
      </c>
      <c r="B1501" s="10"/>
      <c r="C1501" s="10"/>
    </row>
    <row r="1502" spans="1:3" ht="15.75" customHeight="1">
      <c r="A1502" s="12" t="s">
        <v>849</v>
      </c>
      <c r="B1502" s="10"/>
      <c r="C1502" s="10"/>
    </row>
    <row r="1503" spans="1:3" ht="15.75" customHeight="1">
      <c r="A1503" s="12" t="s">
        <v>827</v>
      </c>
      <c r="B1503" s="10"/>
      <c r="C1503" s="10"/>
    </row>
    <row r="1504" spans="1:3" ht="15.75" customHeight="1">
      <c r="A1504" s="12" t="s">
        <v>837</v>
      </c>
      <c r="B1504" s="10"/>
      <c r="C1504" s="10"/>
    </row>
    <row r="1505" spans="1:3" ht="15.75" customHeight="1">
      <c r="A1505" s="12" t="s">
        <v>820</v>
      </c>
      <c r="B1505" s="10"/>
      <c r="C1505" s="10"/>
    </row>
    <row r="1506" spans="1:3" ht="15.75" customHeight="1">
      <c r="A1506" s="12" t="s">
        <v>828</v>
      </c>
      <c r="B1506" s="10"/>
      <c r="C1506" s="10"/>
    </row>
    <row r="1507" spans="1:3" ht="15.75" customHeight="1">
      <c r="A1507" s="12" t="s">
        <v>818</v>
      </c>
      <c r="B1507" s="10"/>
      <c r="C1507" s="10"/>
    </row>
    <row r="1508" spans="1:3" ht="15.75" customHeight="1">
      <c r="A1508" s="12" t="s">
        <v>824</v>
      </c>
      <c r="B1508" s="10"/>
      <c r="C1508" s="10"/>
    </row>
    <row r="1509" spans="1:3" ht="15.75" customHeight="1">
      <c r="A1509" s="12" t="s">
        <v>845</v>
      </c>
      <c r="B1509" s="10"/>
      <c r="C1509" s="10"/>
    </row>
    <row r="1510" spans="1:3" ht="15.75" customHeight="1">
      <c r="A1510" s="12" t="s">
        <v>850</v>
      </c>
      <c r="B1510" s="10"/>
      <c r="C1510" s="10"/>
    </row>
    <row r="1511" spans="1:3" ht="15.75" customHeight="1">
      <c r="A1511" s="12" t="s">
        <v>828</v>
      </c>
      <c r="B1511" s="10"/>
      <c r="C1511" s="10"/>
    </row>
    <row r="1512" spans="1:3" ht="15.75" customHeight="1">
      <c r="A1512" s="12" t="s">
        <v>835</v>
      </c>
      <c r="B1512" s="10"/>
      <c r="C1512" s="10"/>
    </row>
    <row r="1513" spans="1:3" ht="15.75" customHeight="1">
      <c r="A1513" s="12" t="s">
        <v>849</v>
      </c>
      <c r="B1513" s="10"/>
      <c r="C1513" s="10"/>
    </row>
    <row r="1514" spans="1:3" ht="15.75" customHeight="1">
      <c r="A1514" s="12" t="s">
        <v>832</v>
      </c>
      <c r="B1514" s="10"/>
      <c r="C1514" s="10"/>
    </row>
    <row r="1515" spans="1:3" ht="15.75" customHeight="1">
      <c r="A1515" s="12" t="s">
        <v>834</v>
      </c>
      <c r="B1515" s="10"/>
      <c r="C1515" s="10"/>
    </row>
    <row r="1516" spans="1:3" ht="15.75" customHeight="1">
      <c r="A1516" s="12" t="s">
        <v>842</v>
      </c>
      <c r="B1516" s="10"/>
      <c r="C1516" s="10"/>
    </row>
    <row r="1517" spans="1:3" ht="15.75" customHeight="1">
      <c r="A1517" s="12" t="s">
        <v>832</v>
      </c>
      <c r="B1517" s="10"/>
      <c r="C1517" s="10"/>
    </row>
    <row r="1518" spans="1:3" ht="15.75" customHeight="1">
      <c r="A1518" s="12" t="s">
        <v>836</v>
      </c>
      <c r="B1518" s="10"/>
      <c r="C1518" s="10"/>
    </row>
    <row r="1519" spans="1:3" ht="15.75" customHeight="1">
      <c r="A1519" s="12" t="s">
        <v>841</v>
      </c>
      <c r="B1519" s="10"/>
      <c r="C1519" s="10"/>
    </row>
    <row r="1520" spans="1:3" ht="15.75" customHeight="1">
      <c r="A1520" s="12" t="s">
        <v>851</v>
      </c>
      <c r="B1520" s="10"/>
      <c r="C1520" s="10"/>
    </row>
    <row r="1521" spans="1:3" ht="15.75" customHeight="1">
      <c r="A1521" s="12" t="s">
        <v>845</v>
      </c>
      <c r="B1521" s="10"/>
      <c r="C1521" s="10"/>
    </row>
    <row r="1522" spans="1:3" ht="15.75" customHeight="1">
      <c r="A1522" s="12" t="s">
        <v>845</v>
      </c>
      <c r="B1522" s="10"/>
      <c r="C1522" s="10"/>
    </row>
    <row r="1523" spans="1:3" ht="15.75" customHeight="1">
      <c r="A1523" s="12" t="s">
        <v>840</v>
      </c>
      <c r="B1523" s="10"/>
      <c r="C1523" s="10"/>
    </row>
    <row r="1524" spans="1:3" ht="15.75" customHeight="1">
      <c r="A1524" s="12" t="s">
        <v>840</v>
      </c>
      <c r="B1524" s="10"/>
      <c r="C1524" s="10"/>
    </row>
    <row r="1525" spans="1:3" ht="15.75" customHeight="1">
      <c r="A1525" s="12" t="s">
        <v>840</v>
      </c>
      <c r="B1525" s="10"/>
      <c r="C1525" s="10"/>
    </row>
    <row r="1526" spans="1:3" ht="15.75" customHeight="1">
      <c r="A1526" s="12" t="s">
        <v>823</v>
      </c>
      <c r="B1526" s="10"/>
      <c r="C1526" s="10"/>
    </row>
    <row r="1527" spans="1:3" ht="15.75" customHeight="1">
      <c r="A1527" s="12" t="s">
        <v>838</v>
      </c>
      <c r="B1527" s="10"/>
      <c r="C1527" s="10"/>
    </row>
    <row r="1528" spans="1:3" ht="15.75" customHeight="1">
      <c r="A1528" s="12" t="s">
        <v>823</v>
      </c>
      <c r="B1528" s="10"/>
      <c r="C1528" s="10"/>
    </row>
    <row r="1529" spans="1:3" ht="15.75" customHeight="1">
      <c r="A1529" s="12" t="s">
        <v>830</v>
      </c>
      <c r="B1529" s="10"/>
      <c r="C1529" s="10"/>
    </row>
    <row r="1530" spans="1:3" ht="15.75" customHeight="1">
      <c r="A1530" s="12" t="s">
        <v>837</v>
      </c>
      <c r="B1530" s="10"/>
      <c r="C1530" s="10"/>
    </row>
    <row r="1531" spans="1:3" ht="15.75" customHeight="1">
      <c r="A1531" s="12" t="s">
        <v>824</v>
      </c>
      <c r="B1531" s="10"/>
      <c r="C1531" s="10"/>
    </row>
    <row r="1532" spans="1:3" ht="15.75" customHeight="1">
      <c r="A1532" s="12" t="s">
        <v>830</v>
      </c>
      <c r="B1532" s="10"/>
      <c r="C1532" s="10"/>
    </row>
    <row r="1533" spans="1:3" ht="15.75" customHeight="1">
      <c r="A1533" s="12" t="s">
        <v>822</v>
      </c>
      <c r="B1533" s="10"/>
      <c r="C1533" s="10"/>
    </row>
    <row r="1534" spans="1:3" ht="15.75" customHeight="1">
      <c r="A1534" s="12" t="s">
        <v>837</v>
      </c>
      <c r="B1534" s="10"/>
      <c r="C1534" s="10"/>
    </row>
    <row r="1535" spans="1:3" ht="15.75" customHeight="1">
      <c r="A1535" s="12" t="s">
        <v>837</v>
      </c>
      <c r="B1535" s="10"/>
      <c r="C1535" s="10"/>
    </row>
    <row r="1536" spans="1:3" ht="15.75" customHeight="1">
      <c r="A1536" s="12" t="s">
        <v>841</v>
      </c>
      <c r="B1536" s="10"/>
      <c r="C1536" s="10"/>
    </row>
    <row r="1537" spans="1:3" ht="15.75" customHeight="1">
      <c r="A1537" s="12" t="s">
        <v>823</v>
      </c>
      <c r="B1537" s="10"/>
      <c r="C1537" s="10"/>
    </row>
    <row r="1538" spans="1:3" ht="15.75" customHeight="1">
      <c r="A1538" s="12" t="s">
        <v>837</v>
      </c>
      <c r="B1538" s="10"/>
      <c r="C1538" s="10"/>
    </row>
    <row r="1539" spans="1:3" ht="15.75" customHeight="1">
      <c r="A1539" s="12" t="s">
        <v>836</v>
      </c>
      <c r="B1539" s="10"/>
      <c r="C1539" s="10"/>
    </row>
    <row r="1540" spans="1:3" ht="15.75" customHeight="1">
      <c r="A1540" s="12" t="s">
        <v>850</v>
      </c>
      <c r="B1540" s="10"/>
      <c r="C1540" s="10"/>
    </row>
    <row r="1541" spans="1:3" ht="15.75" customHeight="1">
      <c r="A1541" s="12" t="s">
        <v>824</v>
      </c>
      <c r="B1541" s="10"/>
      <c r="C1541" s="10"/>
    </row>
    <row r="1542" spans="1:3" ht="15.75" customHeight="1">
      <c r="A1542" s="12" t="s">
        <v>834</v>
      </c>
      <c r="B1542" s="10"/>
      <c r="C1542" s="10"/>
    </row>
    <row r="1543" spans="1:3" ht="15.75" customHeight="1">
      <c r="A1543" s="12" t="s">
        <v>831</v>
      </c>
      <c r="B1543" s="10"/>
      <c r="C1543" s="10"/>
    </row>
    <row r="1544" spans="1:3" ht="15.75" customHeight="1">
      <c r="A1544" s="12" t="s">
        <v>836</v>
      </c>
      <c r="B1544" s="10"/>
      <c r="C1544" s="10"/>
    </row>
    <row r="1545" spans="1:3" ht="15.75" customHeight="1">
      <c r="A1545" s="12" t="s">
        <v>824</v>
      </c>
      <c r="B1545" s="10"/>
      <c r="C1545" s="10"/>
    </row>
    <row r="1546" spans="1:3" ht="15.75" customHeight="1">
      <c r="A1546" s="12" t="s">
        <v>832</v>
      </c>
      <c r="B1546" s="10"/>
      <c r="C1546" s="10"/>
    </row>
    <row r="1547" spans="1:3" ht="15.75" customHeight="1">
      <c r="A1547" s="12" t="s">
        <v>832</v>
      </c>
      <c r="B1547" s="10"/>
      <c r="C1547" s="10"/>
    </row>
    <row r="1548" spans="1:3" ht="15.75" customHeight="1">
      <c r="A1548" s="12" t="s">
        <v>837</v>
      </c>
      <c r="B1548" s="10"/>
      <c r="C1548" s="10"/>
    </row>
    <row r="1549" spans="1:3" ht="15.75" customHeight="1">
      <c r="A1549" s="12" t="s">
        <v>820</v>
      </c>
      <c r="B1549" s="10"/>
      <c r="C1549" s="10"/>
    </row>
    <row r="1550" spans="1:3" ht="15.75" customHeight="1">
      <c r="A1550" s="12" t="s">
        <v>853</v>
      </c>
      <c r="B1550" s="10"/>
      <c r="C1550" s="10"/>
    </row>
    <row r="1551" spans="1:3" ht="15.75" customHeight="1">
      <c r="A1551" s="12" t="s">
        <v>853</v>
      </c>
      <c r="B1551" s="10"/>
      <c r="C1551" s="10"/>
    </row>
    <row r="1552" spans="1:3" ht="15.75" customHeight="1">
      <c r="A1552" s="12" t="s">
        <v>827</v>
      </c>
      <c r="B1552" s="10"/>
      <c r="C1552" s="10"/>
    </row>
    <row r="1553" spans="1:3" ht="15.75" customHeight="1">
      <c r="A1553" s="12" t="s">
        <v>838</v>
      </c>
      <c r="B1553" s="10"/>
      <c r="C1553" s="10"/>
    </row>
    <row r="1554" spans="1:3" ht="15.75" customHeight="1">
      <c r="A1554" s="12" t="s">
        <v>852</v>
      </c>
      <c r="B1554" s="10"/>
      <c r="C1554" s="10"/>
    </row>
    <row r="1555" spans="1:3" ht="15.75" customHeight="1">
      <c r="A1555" s="12" t="s">
        <v>832</v>
      </c>
      <c r="B1555" s="10"/>
      <c r="C1555" s="10"/>
    </row>
    <row r="1556" spans="1:3" ht="15.75" customHeight="1">
      <c r="A1556" s="12" t="s">
        <v>826</v>
      </c>
      <c r="B1556" s="10"/>
      <c r="C1556" s="10"/>
    </row>
    <row r="1557" spans="1:3" ht="15.75" customHeight="1">
      <c r="A1557" s="12" t="s">
        <v>845</v>
      </c>
      <c r="B1557" s="10"/>
      <c r="C1557" s="10"/>
    </row>
    <row r="1558" spans="1:3" ht="15.75" customHeight="1">
      <c r="A1558" s="12" t="s">
        <v>825</v>
      </c>
      <c r="B1558" s="10"/>
      <c r="C1558" s="10"/>
    </row>
    <row r="1559" spans="1:3" ht="15.75" customHeight="1">
      <c r="A1559" s="12" t="s">
        <v>848</v>
      </c>
      <c r="B1559" s="10"/>
      <c r="C1559" s="10"/>
    </row>
    <row r="1560" spans="1:3" ht="15.75" customHeight="1">
      <c r="A1560" s="12" t="s">
        <v>820</v>
      </c>
      <c r="B1560" s="10"/>
      <c r="C1560" s="10"/>
    </row>
    <row r="1561" spans="1:3" ht="15.75" customHeight="1">
      <c r="A1561" s="12" t="s">
        <v>848</v>
      </c>
      <c r="B1561" s="10"/>
      <c r="C1561" s="10"/>
    </row>
    <row r="1562" spans="1:3" ht="15.75" customHeight="1">
      <c r="A1562" s="12" t="s">
        <v>846</v>
      </c>
      <c r="B1562" s="10"/>
      <c r="C1562" s="10"/>
    </row>
    <row r="1563" spans="1:3" ht="15.75" customHeight="1">
      <c r="A1563" s="12" t="s">
        <v>849</v>
      </c>
      <c r="B1563" s="10"/>
      <c r="C1563" s="10"/>
    </row>
    <row r="1564" spans="1:3" ht="15.75" customHeight="1">
      <c r="A1564" s="12" t="s">
        <v>837</v>
      </c>
      <c r="B1564" s="10"/>
      <c r="C1564" s="10"/>
    </row>
    <row r="1565" spans="1:3" ht="15.75" customHeight="1">
      <c r="A1565" s="12" t="s">
        <v>835</v>
      </c>
      <c r="B1565" s="10"/>
      <c r="C1565" s="10"/>
    </row>
    <row r="1566" spans="1:3" ht="15.75" customHeight="1">
      <c r="A1566" s="12" t="s">
        <v>834</v>
      </c>
      <c r="B1566" s="10"/>
      <c r="C1566" s="10"/>
    </row>
    <row r="1567" spans="1:3" ht="15.75" customHeight="1">
      <c r="A1567" s="12" t="s">
        <v>837</v>
      </c>
      <c r="B1567" s="10"/>
      <c r="C1567" s="10"/>
    </row>
    <row r="1568" spans="1:3" ht="15.75" customHeight="1">
      <c r="A1568" s="12" t="s">
        <v>837</v>
      </c>
      <c r="B1568" s="10"/>
      <c r="C1568" s="10"/>
    </row>
    <row r="1569" spans="1:3" ht="15.75" customHeight="1">
      <c r="A1569" s="12" t="s">
        <v>846</v>
      </c>
      <c r="B1569" s="10"/>
      <c r="C1569" s="10"/>
    </row>
    <row r="1570" spans="1:3" ht="15.75" customHeight="1">
      <c r="A1570" s="12" t="s">
        <v>837</v>
      </c>
      <c r="B1570" s="10"/>
      <c r="C1570" s="10"/>
    </row>
    <row r="1571" spans="1:3" ht="15.75" customHeight="1">
      <c r="A1571" s="12" t="s">
        <v>821</v>
      </c>
      <c r="B1571" s="10"/>
      <c r="C1571" s="10"/>
    </row>
    <row r="1572" spans="1:3" ht="15.75" customHeight="1">
      <c r="A1572" s="12" t="s">
        <v>822</v>
      </c>
      <c r="B1572" s="10"/>
      <c r="C1572" s="10"/>
    </row>
    <row r="1573" spans="1:3" ht="15.75" customHeight="1">
      <c r="A1573" s="12" t="s">
        <v>838</v>
      </c>
      <c r="B1573" s="10"/>
      <c r="C1573" s="10"/>
    </row>
    <row r="1574" spans="1:3" ht="15.75" customHeight="1">
      <c r="A1574" s="12" t="s">
        <v>842</v>
      </c>
      <c r="B1574" s="10"/>
      <c r="C1574" s="10"/>
    </row>
    <row r="1575" spans="1:3" ht="15.75" customHeight="1">
      <c r="A1575" s="12" t="s">
        <v>830</v>
      </c>
      <c r="B1575" s="10"/>
      <c r="C1575" s="10"/>
    </row>
    <row r="1576" spans="1:3" ht="15.75" customHeight="1">
      <c r="A1576" s="12" t="s">
        <v>829</v>
      </c>
      <c r="B1576" s="10"/>
      <c r="C1576" s="10"/>
    </row>
    <row r="1577" spans="1:3" ht="15.75" customHeight="1">
      <c r="A1577" s="12" t="s">
        <v>839</v>
      </c>
      <c r="B1577" s="10"/>
      <c r="C1577" s="10"/>
    </row>
    <row r="1578" spans="1:3" ht="15.75" customHeight="1">
      <c r="A1578" s="12" t="s">
        <v>841</v>
      </c>
      <c r="B1578" s="10"/>
      <c r="C1578" s="10"/>
    </row>
    <row r="1579" spans="1:3" ht="15.75" customHeight="1">
      <c r="A1579" s="12" t="s">
        <v>850</v>
      </c>
      <c r="B1579" s="10"/>
      <c r="C1579" s="10"/>
    </row>
    <row r="1580" spans="1:3" ht="15.75" customHeight="1">
      <c r="A1580" s="12" t="s">
        <v>818</v>
      </c>
      <c r="B1580" s="10"/>
      <c r="C1580" s="10"/>
    </row>
    <row r="1581" spans="1:3" ht="15.75" customHeight="1">
      <c r="A1581" s="12" t="s">
        <v>853</v>
      </c>
      <c r="B1581" s="10"/>
      <c r="C1581" s="10"/>
    </row>
    <row r="1582" spans="1:3" ht="15.75" customHeight="1">
      <c r="A1582" s="12" t="s">
        <v>844</v>
      </c>
      <c r="B1582" s="10"/>
      <c r="C1582" s="10"/>
    </row>
    <row r="1583" spans="1:3" ht="15.75" customHeight="1">
      <c r="A1583" s="12" t="s">
        <v>825</v>
      </c>
      <c r="B1583" s="10"/>
      <c r="C1583" s="10"/>
    </row>
    <row r="1584" spans="1:3" ht="15.75" customHeight="1">
      <c r="A1584" s="12" t="s">
        <v>826</v>
      </c>
      <c r="B1584" s="10"/>
      <c r="C1584" s="10"/>
    </row>
    <row r="1585" spans="1:3" ht="15.75" customHeight="1">
      <c r="A1585" s="12" t="s">
        <v>831</v>
      </c>
      <c r="B1585" s="10"/>
      <c r="C1585" s="10"/>
    </row>
    <row r="1586" spans="1:3" ht="15.75" customHeight="1">
      <c r="A1586" s="12" t="s">
        <v>837</v>
      </c>
      <c r="B1586" s="10"/>
      <c r="C1586" s="10"/>
    </row>
    <row r="1587" spans="1:3" ht="15.75" customHeight="1">
      <c r="A1587" s="12" t="s">
        <v>853</v>
      </c>
      <c r="B1587" s="10"/>
      <c r="C1587" s="10"/>
    </row>
    <row r="1588" spans="1:3" ht="15.75" customHeight="1">
      <c r="A1588" s="12" t="s">
        <v>837</v>
      </c>
      <c r="B1588" s="10"/>
      <c r="C1588" s="10"/>
    </row>
    <row r="1589" spans="1:3" ht="15.75" customHeight="1">
      <c r="A1589" s="12" t="s">
        <v>826</v>
      </c>
      <c r="B1589" s="10"/>
      <c r="C1589" s="10"/>
    </row>
    <row r="1590" spans="1:3" ht="15.75" customHeight="1">
      <c r="A1590" s="12" t="s">
        <v>826</v>
      </c>
      <c r="B1590" s="10"/>
      <c r="C1590" s="10"/>
    </row>
    <row r="1591" spans="1:3" ht="15.75" customHeight="1">
      <c r="A1591" s="12" t="s">
        <v>824</v>
      </c>
      <c r="B1591" s="10"/>
      <c r="C1591" s="10"/>
    </row>
    <row r="1592" spans="1:3" ht="15.75" customHeight="1">
      <c r="A1592" s="12" t="s">
        <v>842</v>
      </c>
      <c r="B1592" s="10"/>
      <c r="C1592" s="10"/>
    </row>
    <row r="1593" spans="1:3" ht="15.75" customHeight="1">
      <c r="A1593" s="12" t="s">
        <v>851</v>
      </c>
      <c r="B1593" s="10"/>
      <c r="C1593" s="10"/>
    </row>
    <row r="1594" spans="1:3" ht="15.75" customHeight="1">
      <c r="A1594" s="12" t="s">
        <v>834</v>
      </c>
      <c r="B1594" s="10"/>
      <c r="C1594" s="10"/>
    </row>
    <row r="1595" spans="1:3" ht="15.75" customHeight="1">
      <c r="A1595" s="12" t="s">
        <v>838</v>
      </c>
      <c r="B1595" s="10"/>
      <c r="C1595" s="10"/>
    </row>
    <row r="1596" spans="1:3" ht="15.75" customHeight="1">
      <c r="A1596" s="12" t="s">
        <v>820</v>
      </c>
      <c r="B1596" s="10"/>
      <c r="C1596" s="10"/>
    </row>
    <row r="1597" spans="1:3" ht="15.75" customHeight="1">
      <c r="A1597" s="12" t="s">
        <v>824</v>
      </c>
      <c r="B1597" s="10"/>
      <c r="C1597" s="10"/>
    </row>
    <row r="1598" spans="1:3" ht="15.75" customHeight="1">
      <c r="A1598" s="12" t="s">
        <v>837</v>
      </c>
      <c r="B1598" s="10"/>
      <c r="C1598" s="10"/>
    </row>
    <row r="1599" spans="1:3" ht="15.75" customHeight="1">
      <c r="A1599" s="12" t="s">
        <v>837</v>
      </c>
      <c r="B1599" s="10"/>
      <c r="C1599" s="10"/>
    </row>
    <row r="1600" spans="1:3" ht="15.75" customHeight="1">
      <c r="A1600" s="12" t="s">
        <v>821</v>
      </c>
      <c r="B1600" s="10"/>
      <c r="C1600" s="10"/>
    </row>
    <row r="1601" spans="1:3" ht="15.75" customHeight="1">
      <c r="A1601" s="12" t="s">
        <v>848</v>
      </c>
      <c r="B1601" s="10"/>
      <c r="C1601" s="10"/>
    </row>
    <row r="1602" spans="1:3" ht="15.75" customHeight="1">
      <c r="A1602" s="12" t="s">
        <v>853</v>
      </c>
      <c r="B1602" s="10"/>
      <c r="C1602" s="10"/>
    </row>
    <row r="1603" spans="1:3" ht="15.75" customHeight="1">
      <c r="A1603" s="12" t="s">
        <v>827</v>
      </c>
      <c r="B1603" s="10"/>
      <c r="C1603" s="10"/>
    </row>
    <row r="1604" spans="1:3" ht="15.75" customHeight="1">
      <c r="A1604" s="12" t="s">
        <v>842</v>
      </c>
      <c r="B1604" s="10"/>
      <c r="C1604" s="10"/>
    </row>
    <row r="1605" spans="1:3" ht="15.75" customHeight="1">
      <c r="A1605" s="12" t="s">
        <v>841</v>
      </c>
      <c r="B1605" s="10"/>
      <c r="C1605" s="10"/>
    </row>
    <row r="1606" spans="1:3" ht="15.75" customHeight="1">
      <c r="A1606" s="12" t="s">
        <v>832</v>
      </c>
      <c r="B1606" s="10"/>
      <c r="C1606" s="10"/>
    </row>
    <row r="1607" spans="1:3" ht="15.75" customHeight="1">
      <c r="A1607" s="12" t="s">
        <v>820</v>
      </c>
      <c r="B1607" s="10"/>
      <c r="C1607" s="10"/>
    </row>
    <row r="1608" spans="1:3" ht="15.75" customHeight="1">
      <c r="A1608" s="12" t="s">
        <v>838</v>
      </c>
      <c r="B1608" s="10"/>
      <c r="C1608" s="10"/>
    </row>
    <row r="1609" spans="1:3" ht="15.75" customHeight="1">
      <c r="A1609" s="12" t="s">
        <v>834</v>
      </c>
      <c r="B1609" s="10"/>
      <c r="C1609" s="10"/>
    </row>
    <row r="1610" spans="1:3" ht="15.75" customHeight="1">
      <c r="A1610" s="12" t="s">
        <v>844</v>
      </c>
      <c r="B1610" s="10"/>
      <c r="C1610" s="10"/>
    </row>
    <row r="1611" spans="1:3" ht="15.75" customHeight="1">
      <c r="A1611" s="12" t="s">
        <v>852</v>
      </c>
      <c r="B1611" s="10"/>
      <c r="C1611" s="10"/>
    </row>
    <row r="1612" spans="1:3" ht="15.75" customHeight="1">
      <c r="A1612" s="12" t="s">
        <v>826</v>
      </c>
      <c r="B1612" s="10"/>
      <c r="C1612" s="10"/>
    </row>
    <row r="1613" spans="1:3" ht="15.75" customHeight="1">
      <c r="A1613" s="12" t="s">
        <v>837</v>
      </c>
      <c r="B1613" s="10"/>
      <c r="C1613" s="10"/>
    </row>
    <row r="1614" spans="1:3" ht="15.75" customHeight="1">
      <c r="A1614" s="12" t="s">
        <v>837</v>
      </c>
      <c r="B1614" s="10"/>
      <c r="C1614" s="10"/>
    </row>
    <row r="1615" spans="1:3" ht="15.75" customHeight="1">
      <c r="A1615" s="12" t="s">
        <v>834</v>
      </c>
      <c r="B1615" s="10"/>
      <c r="C1615" s="10"/>
    </row>
    <row r="1616" spans="1:3" ht="15.75" customHeight="1">
      <c r="A1616" s="12" t="s">
        <v>852</v>
      </c>
      <c r="B1616" s="10"/>
      <c r="C1616" s="10"/>
    </row>
    <row r="1617" spans="1:3" ht="15.75" customHeight="1">
      <c r="A1617" s="12" t="s">
        <v>853</v>
      </c>
      <c r="B1617" s="10"/>
      <c r="C1617" s="10"/>
    </row>
    <row r="1618" spans="1:3" ht="15.75" customHeight="1">
      <c r="A1618" s="12" t="s">
        <v>851</v>
      </c>
      <c r="B1618" s="10"/>
      <c r="C1618" s="10"/>
    </row>
    <row r="1619" spans="1:3" ht="15.75" customHeight="1">
      <c r="A1619" s="12" t="s">
        <v>834</v>
      </c>
      <c r="B1619" s="10"/>
      <c r="C1619" s="10"/>
    </row>
    <row r="1620" spans="1:3" ht="15.75" customHeight="1">
      <c r="A1620" s="12" t="s">
        <v>837</v>
      </c>
      <c r="B1620" s="10"/>
      <c r="C1620" s="10"/>
    </row>
    <row r="1621" spans="1:3" ht="15.75" customHeight="1">
      <c r="A1621" s="12" t="s">
        <v>837</v>
      </c>
      <c r="B1621" s="10"/>
      <c r="C1621" s="10"/>
    </row>
    <row r="1622" spans="1:3" ht="15.75" customHeight="1">
      <c r="A1622" s="12" t="s">
        <v>842</v>
      </c>
      <c r="B1622" s="10"/>
      <c r="C1622" s="10"/>
    </row>
    <row r="1623" spans="1:3" ht="15.75" customHeight="1">
      <c r="A1623" s="12" t="s">
        <v>842</v>
      </c>
      <c r="B1623" s="10"/>
      <c r="C1623" s="10"/>
    </row>
    <row r="1624" spans="1:3" ht="15.75" customHeight="1">
      <c r="A1624" s="12" t="s">
        <v>850</v>
      </c>
      <c r="B1624" s="10"/>
      <c r="C1624" s="10"/>
    </row>
    <row r="1625" spans="1:3" ht="15.75" customHeight="1">
      <c r="A1625" s="12" t="s">
        <v>848</v>
      </c>
      <c r="B1625" s="10"/>
      <c r="C1625" s="10"/>
    </row>
    <row r="1626" spans="1:3" ht="15.75" customHeight="1">
      <c r="A1626" s="12" t="s">
        <v>830</v>
      </c>
      <c r="B1626" s="10"/>
      <c r="C1626" s="10"/>
    </row>
    <row r="1627" spans="1:3" ht="15.75" customHeight="1">
      <c r="A1627" s="12" t="s">
        <v>818</v>
      </c>
      <c r="B1627" s="10"/>
      <c r="C1627" s="10"/>
    </row>
    <row r="1628" spans="1:3" ht="15.75" customHeight="1">
      <c r="A1628" s="12" t="s">
        <v>843</v>
      </c>
      <c r="B1628" s="10"/>
      <c r="C1628" s="10"/>
    </row>
    <row r="1629" spans="1:3" ht="15.75" customHeight="1">
      <c r="A1629" s="12" t="s">
        <v>832</v>
      </c>
      <c r="B1629" s="10"/>
      <c r="C1629" s="10"/>
    </row>
    <row r="1630" spans="1:3" ht="15.75" customHeight="1">
      <c r="A1630" s="12" t="s">
        <v>832</v>
      </c>
      <c r="B1630" s="10"/>
      <c r="C1630" s="10"/>
    </row>
    <row r="1631" spans="1:3" ht="15.75" customHeight="1">
      <c r="A1631" s="12" t="s">
        <v>830</v>
      </c>
      <c r="B1631" s="10"/>
      <c r="C1631" s="10"/>
    </row>
    <row r="1632" spans="1:3" ht="15.75" customHeight="1">
      <c r="A1632" s="12" t="s">
        <v>821</v>
      </c>
      <c r="B1632" s="10"/>
      <c r="C1632" s="10"/>
    </row>
    <row r="1633" spans="1:3" ht="15.75" customHeight="1">
      <c r="A1633" s="12" t="s">
        <v>842</v>
      </c>
      <c r="B1633" s="10"/>
      <c r="C1633" s="10"/>
    </row>
    <row r="1634" spans="1:3" ht="15.75" customHeight="1">
      <c r="A1634" s="12" t="s">
        <v>852</v>
      </c>
      <c r="B1634" s="10"/>
      <c r="C1634" s="10"/>
    </row>
    <row r="1635" spans="1:3" ht="15.75" customHeight="1">
      <c r="A1635" s="12" t="s">
        <v>837</v>
      </c>
      <c r="B1635" s="10"/>
      <c r="C1635" s="10"/>
    </row>
    <row r="1636" spans="1:3" ht="15.75" customHeight="1">
      <c r="A1636" s="12" t="s">
        <v>820</v>
      </c>
      <c r="B1636" s="10"/>
      <c r="C1636" s="10"/>
    </row>
    <row r="1637" spans="1:3" ht="15.75" customHeight="1">
      <c r="A1637" s="12" t="s">
        <v>824</v>
      </c>
      <c r="B1637" s="10"/>
      <c r="C1637" s="10"/>
    </row>
    <row r="1638" spans="1:3" ht="15.75" customHeight="1">
      <c r="A1638" s="12" t="s">
        <v>843</v>
      </c>
      <c r="B1638" s="10"/>
      <c r="C1638" s="10"/>
    </row>
    <row r="1639" spans="1:3" ht="15.75" customHeight="1">
      <c r="A1639" s="12" t="s">
        <v>845</v>
      </c>
      <c r="B1639" s="10"/>
      <c r="C1639" s="10"/>
    </row>
    <row r="1640" spans="1:3" ht="15.75" customHeight="1">
      <c r="A1640" s="12" t="s">
        <v>820</v>
      </c>
      <c r="B1640" s="10"/>
      <c r="C1640" s="10"/>
    </row>
    <row r="1641" spans="1:3" ht="15.75" customHeight="1">
      <c r="A1641" s="12" t="s">
        <v>823</v>
      </c>
      <c r="B1641" s="10"/>
      <c r="C1641" s="10"/>
    </row>
    <row r="1642" spans="1:3" ht="15.75" customHeight="1">
      <c r="A1642" s="12" t="s">
        <v>837</v>
      </c>
      <c r="B1642" s="10"/>
      <c r="C1642" s="10"/>
    </row>
    <row r="1643" spans="1:3" ht="15.75" customHeight="1">
      <c r="A1643" s="12" t="s">
        <v>837</v>
      </c>
      <c r="B1643" s="10"/>
      <c r="C1643" s="10"/>
    </row>
    <row r="1644" spans="1:3" ht="15.75" customHeight="1">
      <c r="A1644" s="12" t="s">
        <v>851</v>
      </c>
      <c r="B1644" s="10"/>
      <c r="C1644" s="10"/>
    </row>
    <row r="1645" spans="1:3" ht="15.75" customHeight="1">
      <c r="A1645" s="12" t="s">
        <v>845</v>
      </c>
      <c r="B1645" s="10"/>
      <c r="C1645" s="10"/>
    </row>
    <row r="1646" spans="1:3" ht="15.75" customHeight="1">
      <c r="A1646" s="12" t="s">
        <v>844</v>
      </c>
      <c r="B1646" s="10"/>
      <c r="C1646" s="10"/>
    </row>
    <row r="1647" spans="1:3" ht="15.75" customHeight="1">
      <c r="A1647" s="12" t="s">
        <v>841</v>
      </c>
      <c r="B1647" s="10"/>
      <c r="C1647" s="10"/>
    </row>
    <row r="1648" spans="1:3" ht="15.75" customHeight="1">
      <c r="A1648" s="12" t="s">
        <v>844</v>
      </c>
      <c r="B1648" s="10"/>
      <c r="C1648" s="10"/>
    </row>
    <row r="1649" spans="1:3" ht="15.75" customHeight="1">
      <c r="A1649" s="12" t="s">
        <v>844</v>
      </c>
      <c r="B1649" s="10"/>
      <c r="C1649" s="10"/>
    </row>
    <row r="1650" spans="1:3" ht="15.75" customHeight="1">
      <c r="A1650" s="12" t="s">
        <v>847</v>
      </c>
      <c r="B1650" s="10"/>
      <c r="C1650" s="10"/>
    </row>
    <row r="1651" spans="1:3" ht="15.75" customHeight="1">
      <c r="A1651" s="12" t="s">
        <v>852</v>
      </c>
      <c r="B1651" s="10"/>
      <c r="C1651" s="10"/>
    </row>
    <row r="1652" spans="1:3" ht="15.75" customHeight="1">
      <c r="A1652" s="12" t="s">
        <v>837</v>
      </c>
      <c r="B1652" s="10"/>
      <c r="C1652" s="10"/>
    </row>
    <row r="1653" spans="1:3" ht="15.75" customHeight="1">
      <c r="A1653" s="12" t="s">
        <v>837</v>
      </c>
      <c r="B1653" s="10"/>
      <c r="C1653" s="10"/>
    </row>
    <row r="1654" spans="1:3" ht="15.75" customHeight="1">
      <c r="A1654" s="12" t="s">
        <v>820</v>
      </c>
      <c r="B1654" s="10"/>
      <c r="C1654" s="10"/>
    </row>
    <row r="1655" spans="1:3" ht="15.75" customHeight="1">
      <c r="A1655" s="12" t="s">
        <v>840</v>
      </c>
      <c r="B1655" s="10"/>
      <c r="C1655" s="10"/>
    </row>
    <row r="1656" spans="1:3" ht="15.75" customHeight="1">
      <c r="A1656" s="12" t="s">
        <v>821</v>
      </c>
      <c r="B1656" s="10"/>
      <c r="C1656" s="10"/>
    </row>
    <row r="1657" spans="1:3" ht="15.75" customHeight="1">
      <c r="A1657" s="12" t="s">
        <v>830</v>
      </c>
      <c r="B1657" s="10"/>
      <c r="C1657" s="10"/>
    </row>
    <row r="1658" spans="1:3" ht="15.75" customHeight="1">
      <c r="A1658" s="12" t="s">
        <v>837</v>
      </c>
      <c r="B1658" s="10"/>
      <c r="C1658" s="10"/>
    </row>
    <row r="1659" spans="1:3" ht="15.75" customHeight="1">
      <c r="A1659" s="12" t="s">
        <v>837</v>
      </c>
      <c r="B1659" s="10"/>
      <c r="C1659" s="10"/>
    </row>
    <row r="1660" spans="1:3" ht="15.75" customHeight="1">
      <c r="A1660" s="12" t="s">
        <v>851</v>
      </c>
      <c r="B1660" s="10"/>
      <c r="C1660" s="10"/>
    </row>
    <row r="1661" spans="1:3" ht="15.75" customHeight="1">
      <c r="A1661" s="12" t="s">
        <v>829</v>
      </c>
      <c r="B1661" s="10"/>
      <c r="C1661" s="10"/>
    </row>
    <row r="1662" spans="1:3" ht="15.75" customHeight="1">
      <c r="A1662" s="12" t="s">
        <v>826</v>
      </c>
      <c r="B1662" s="10"/>
      <c r="C1662" s="10"/>
    </row>
    <row r="1663" spans="1:3" ht="15.75" customHeight="1">
      <c r="A1663" s="12" t="s">
        <v>848</v>
      </c>
      <c r="B1663" s="10"/>
      <c r="C1663" s="10"/>
    </row>
    <row r="1664" spans="1:3" ht="15.75" customHeight="1">
      <c r="A1664" s="12" t="s">
        <v>834</v>
      </c>
      <c r="B1664" s="10"/>
      <c r="C1664" s="10"/>
    </row>
    <row r="1665" spans="1:3" ht="15.75" customHeight="1">
      <c r="A1665" s="12" t="s">
        <v>824</v>
      </c>
      <c r="B1665" s="10"/>
      <c r="C1665" s="10"/>
    </row>
    <row r="1666" spans="1:3" ht="15.75" customHeight="1">
      <c r="A1666" s="12" t="s">
        <v>833</v>
      </c>
      <c r="B1666" s="10"/>
      <c r="C1666" s="10"/>
    </row>
    <row r="1667" spans="1:3" ht="15.75" customHeight="1">
      <c r="A1667" s="12" t="s">
        <v>850</v>
      </c>
      <c r="B1667" s="10"/>
      <c r="C1667" s="10"/>
    </row>
    <row r="1668" spans="1:3" ht="15.75" customHeight="1">
      <c r="A1668" s="12" t="s">
        <v>851</v>
      </c>
      <c r="B1668" s="10"/>
      <c r="C1668" s="10"/>
    </row>
    <row r="1669" spans="1:3" ht="15.75" customHeight="1">
      <c r="A1669" s="12" t="s">
        <v>849</v>
      </c>
      <c r="B1669" s="10"/>
      <c r="C1669" s="10"/>
    </row>
    <row r="1670" spans="1:3" ht="15.75" customHeight="1">
      <c r="A1670" s="12" t="s">
        <v>835</v>
      </c>
      <c r="B1670" s="10"/>
      <c r="C1670" s="10"/>
    </row>
    <row r="1671" spans="1:3" ht="15.75" customHeight="1">
      <c r="A1671" s="12" t="s">
        <v>837</v>
      </c>
      <c r="B1671" s="10"/>
      <c r="C1671" s="10"/>
    </row>
    <row r="1672" spans="1:3" ht="15.75" customHeight="1">
      <c r="A1672" s="12" t="s">
        <v>848</v>
      </c>
      <c r="B1672" s="10"/>
      <c r="C1672" s="10"/>
    </row>
    <row r="1673" spans="1:3" ht="15.75" customHeight="1">
      <c r="A1673" s="12" t="s">
        <v>838</v>
      </c>
      <c r="B1673" s="10"/>
      <c r="C1673" s="10"/>
    </row>
    <row r="1674" spans="1:3" ht="15.75" customHeight="1">
      <c r="A1674" s="12" t="s">
        <v>846</v>
      </c>
      <c r="B1674" s="10"/>
      <c r="C1674" s="10"/>
    </row>
    <row r="1675" spans="1:3" ht="15.75" customHeight="1">
      <c r="A1675" s="12" t="s">
        <v>830</v>
      </c>
      <c r="B1675" s="10"/>
      <c r="C1675" s="10"/>
    </row>
    <row r="1676" spans="1:3" ht="15.75" customHeight="1">
      <c r="A1676" s="12" t="s">
        <v>830</v>
      </c>
      <c r="B1676" s="10"/>
      <c r="C1676" s="10"/>
    </row>
    <row r="1677" spans="1:3" ht="15.75" customHeight="1">
      <c r="A1677" s="12" t="s">
        <v>843</v>
      </c>
      <c r="B1677" s="10"/>
      <c r="C1677" s="10"/>
    </row>
    <row r="1678" spans="1:3" ht="15.75" customHeight="1">
      <c r="A1678" s="12" t="s">
        <v>835</v>
      </c>
      <c r="B1678" s="10"/>
      <c r="C1678" s="10"/>
    </row>
    <row r="1679" spans="1:3" ht="15.75" customHeight="1">
      <c r="A1679" s="12" t="s">
        <v>826</v>
      </c>
      <c r="B1679" s="10"/>
      <c r="C1679" s="10"/>
    </row>
    <row r="1680" spans="1:3" ht="15.75" customHeight="1">
      <c r="A1680" s="12" t="s">
        <v>841</v>
      </c>
      <c r="B1680" s="10"/>
      <c r="C1680" s="10"/>
    </row>
    <row r="1681" spans="1:3" ht="15.75" customHeight="1">
      <c r="A1681" s="12" t="s">
        <v>824</v>
      </c>
      <c r="B1681" s="10"/>
      <c r="C1681" s="10"/>
    </row>
    <row r="1682" spans="1:3" ht="15.75" customHeight="1">
      <c r="A1682" s="12" t="s">
        <v>826</v>
      </c>
      <c r="B1682" s="10"/>
      <c r="C1682" s="10"/>
    </row>
    <row r="1683" spans="1:3" ht="15.75" customHeight="1">
      <c r="A1683" s="12" t="s">
        <v>840</v>
      </c>
      <c r="B1683" s="10"/>
      <c r="C1683" s="10"/>
    </row>
    <row r="1684" spans="1:3" ht="15.75" customHeight="1">
      <c r="A1684" s="12" t="s">
        <v>830</v>
      </c>
      <c r="B1684" s="10"/>
      <c r="C1684" s="10"/>
    </row>
    <row r="1685" spans="1:3" ht="15.75" customHeight="1">
      <c r="A1685" s="12" t="s">
        <v>824</v>
      </c>
      <c r="B1685" s="10"/>
      <c r="C1685" s="10"/>
    </row>
    <row r="1686" spans="1:3" ht="15.75" customHeight="1">
      <c r="A1686" s="12" t="s">
        <v>826</v>
      </c>
      <c r="B1686" s="10"/>
      <c r="C1686" s="10"/>
    </row>
    <row r="1687" spans="1:3" ht="15.75" customHeight="1">
      <c r="A1687" s="12" t="s">
        <v>837</v>
      </c>
      <c r="B1687" s="10"/>
      <c r="C1687" s="10"/>
    </row>
    <row r="1688" spans="1:3" ht="15.75" customHeight="1">
      <c r="A1688" s="12" t="s">
        <v>824</v>
      </c>
      <c r="B1688" s="10"/>
      <c r="C1688" s="10"/>
    </row>
    <row r="1689" spans="1:3" ht="15.75" customHeight="1">
      <c r="A1689" s="12" t="s">
        <v>837</v>
      </c>
      <c r="B1689" s="10"/>
      <c r="C1689" s="10"/>
    </row>
    <row r="1690" spans="1:3" ht="15.75" customHeight="1">
      <c r="A1690" s="12" t="s">
        <v>832</v>
      </c>
      <c r="B1690" s="10"/>
      <c r="C1690" s="10"/>
    </row>
    <row r="1691" spans="1:3" ht="15.75" customHeight="1">
      <c r="A1691" s="12" t="s">
        <v>837</v>
      </c>
      <c r="B1691" s="10"/>
      <c r="C1691" s="10"/>
    </row>
    <row r="1692" spans="1:3" ht="15.75" customHeight="1">
      <c r="A1692" s="12" t="s">
        <v>824</v>
      </c>
      <c r="B1692" s="10"/>
      <c r="C1692" s="10"/>
    </row>
    <row r="1693" spans="1:3" ht="15.75" customHeight="1">
      <c r="A1693" s="12" t="s">
        <v>831</v>
      </c>
      <c r="B1693" s="10"/>
      <c r="C1693" s="10"/>
    </row>
    <row r="1694" spans="1:3" ht="15.75" customHeight="1">
      <c r="A1694" s="12" t="s">
        <v>837</v>
      </c>
      <c r="B1694" s="10"/>
      <c r="C1694" s="10"/>
    </row>
    <row r="1695" spans="1:3" ht="15.75" customHeight="1">
      <c r="A1695" s="12" t="s">
        <v>818</v>
      </c>
      <c r="B1695" s="10"/>
      <c r="C1695" s="10"/>
    </row>
    <row r="1696" spans="1:3" ht="15.75" customHeight="1">
      <c r="A1696" s="12" t="s">
        <v>832</v>
      </c>
      <c r="B1696" s="10"/>
      <c r="C1696" s="10"/>
    </row>
    <row r="1697" spans="1:3" ht="15.75" customHeight="1">
      <c r="A1697" s="12" t="s">
        <v>822</v>
      </c>
      <c r="B1697" s="10"/>
      <c r="C1697" s="10"/>
    </row>
    <row r="1698" spans="1:3" ht="15.75" customHeight="1">
      <c r="A1698" s="12" t="s">
        <v>843</v>
      </c>
      <c r="B1698" s="10"/>
      <c r="C1698" s="10"/>
    </row>
    <row r="1699" spans="1:3" ht="15.75" customHeight="1">
      <c r="A1699" s="12" t="s">
        <v>826</v>
      </c>
      <c r="B1699" s="10"/>
      <c r="C1699" s="10"/>
    </row>
    <row r="1700" spans="1:3" ht="15.75" customHeight="1">
      <c r="A1700" s="12" t="s">
        <v>827</v>
      </c>
      <c r="B1700" s="10"/>
      <c r="C1700" s="10"/>
    </row>
    <row r="1701" spans="1:3" ht="15.75" customHeight="1">
      <c r="A1701" s="12" t="s">
        <v>837</v>
      </c>
      <c r="B1701" s="10"/>
      <c r="C1701" s="10"/>
    </row>
    <row r="1702" spans="1:3" ht="15.75" customHeight="1">
      <c r="A1702" s="12" t="s">
        <v>821</v>
      </c>
      <c r="B1702" s="10"/>
      <c r="C1702" s="10"/>
    </row>
    <row r="1703" spans="1:3" ht="15.75" customHeight="1">
      <c r="A1703" s="12" t="s">
        <v>838</v>
      </c>
      <c r="B1703" s="10"/>
      <c r="C1703" s="10"/>
    </row>
    <row r="1704" spans="1:3" ht="15.75" customHeight="1">
      <c r="A1704" s="12" t="s">
        <v>839</v>
      </c>
      <c r="B1704" s="10"/>
      <c r="C1704" s="10"/>
    </row>
    <row r="1705" spans="1:3" ht="15.75" customHeight="1">
      <c r="A1705" s="12" t="s">
        <v>827</v>
      </c>
      <c r="B1705" s="10"/>
      <c r="C1705" s="10"/>
    </row>
    <row r="1706" spans="1:3" ht="15.75" customHeight="1">
      <c r="A1706" s="12" t="s">
        <v>830</v>
      </c>
      <c r="B1706" s="10"/>
      <c r="C1706" s="10"/>
    </row>
    <row r="1707" spans="1:3" ht="15.75" customHeight="1">
      <c r="A1707" s="12" t="s">
        <v>821</v>
      </c>
      <c r="B1707" s="10"/>
      <c r="C1707" s="10"/>
    </row>
    <row r="1708" spans="1:3" ht="15.75" customHeight="1">
      <c r="A1708" s="12" t="s">
        <v>827</v>
      </c>
      <c r="B1708" s="10"/>
      <c r="C1708" s="10"/>
    </row>
    <row r="1709" spans="1:3" ht="15.75" customHeight="1">
      <c r="A1709" s="12" t="s">
        <v>839</v>
      </c>
      <c r="B1709" s="10"/>
      <c r="C1709" s="10"/>
    </row>
    <row r="1710" spans="1:3" ht="15.75" customHeight="1">
      <c r="A1710" s="12" t="s">
        <v>842</v>
      </c>
      <c r="B1710" s="10"/>
      <c r="C1710" s="10"/>
    </row>
    <row r="1711" spans="1:3" ht="15.75" customHeight="1">
      <c r="A1711" s="12" t="s">
        <v>842</v>
      </c>
      <c r="B1711" s="10"/>
      <c r="C1711" s="10"/>
    </row>
    <row r="1712" spans="1:3" ht="15.75" customHeight="1">
      <c r="A1712" s="12" t="s">
        <v>826</v>
      </c>
      <c r="B1712" s="10"/>
      <c r="C1712" s="10"/>
    </row>
    <row r="1713" spans="1:3" ht="15.75" customHeight="1">
      <c r="A1713" s="12" t="s">
        <v>827</v>
      </c>
      <c r="B1713" s="10"/>
      <c r="C1713" s="10"/>
    </row>
    <row r="1714" spans="1:3" ht="15.75" customHeight="1">
      <c r="A1714" s="12" t="s">
        <v>826</v>
      </c>
      <c r="B1714" s="10"/>
      <c r="C1714" s="10"/>
    </row>
    <row r="1715" spans="1:3" ht="15.75" customHeight="1">
      <c r="A1715" s="12" t="s">
        <v>844</v>
      </c>
      <c r="B1715" s="10"/>
      <c r="C1715" s="10"/>
    </row>
    <row r="1716" spans="1:3" ht="15.75" customHeight="1">
      <c r="A1716" s="12" t="s">
        <v>837</v>
      </c>
      <c r="B1716" s="10"/>
      <c r="C1716" s="10"/>
    </row>
    <row r="1717" spans="1:3" ht="15.75" customHeight="1">
      <c r="A1717" s="12" t="s">
        <v>821</v>
      </c>
      <c r="B1717" s="10"/>
      <c r="C1717" s="10"/>
    </row>
    <row r="1718" spans="1:3" ht="15.75" customHeight="1">
      <c r="A1718" s="12" t="s">
        <v>822</v>
      </c>
      <c r="B1718" s="10"/>
      <c r="C1718" s="10"/>
    </row>
    <row r="1719" spans="1:3" ht="15.75" customHeight="1">
      <c r="A1719" s="12" t="s">
        <v>828</v>
      </c>
      <c r="B1719" s="10"/>
      <c r="C1719" s="10"/>
    </row>
    <row r="1720" spans="1:3" ht="15.75" customHeight="1">
      <c r="A1720" s="12" t="s">
        <v>837</v>
      </c>
      <c r="B1720" s="10"/>
      <c r="C1720" s="10"/>
    </row>
    <row r="1721" spans="1:3" ht="15.75" customHeight="1">
      <c r="A1721" s="12" t="s">
        <v>833</v>
      </c>
      <c r="B1721" s="10"/>
      <c r="C1721" s="10"/>
    </row>
    <row r="1722" spans="1:3" ht="15.75" customHeight="1">
      <c r="A1722" s="12" t="s">
        <v>836</v>
      </c>
      <c r="B1722" s="10"/>
      <c r="C1722" s="10"/>
    </row>
    <row r="1723" spans="1:3" ht="15.75" customHeight="1">
      <c r="A1723" s="12" t="s">
        <v>837</v>
      </c>
      <c r="B1723" s="10"/>
      <c r="C1723" s="10"/>
    </row>
    <row r="1724" spans="1:3" ht="15.75" customHeight="1">
      <c r="A1724" s="12" t="s">
        <v>847</v>
      </c>
      <c r="B1724" s="10"/>
      <c r="C1724" s="10"/>
    </row>
    <row r="1725" spans="1:3" ht="15.75" customHeight="1">
      <c r="A1725" s="12" t="s">
        <v>827</v>
      </c>
      <c r="B1725" s="10"/>
      <c r="C1725" s="10"/>
    </row>
    <row r="1726" spans="1:3" ht="15.75" customHeight="1">
      <c r="A1726" s="12" t="s">
        <v>837</v>
      </c>
      <c r="B1726" s="10"/>
      <c r="C1726" s="10"/>
    </row>
    <row r="1727" spans="1:3" ht="15.75" customHeight="1">
      <c r="A1727" s="12" t="s">
        <v>834</v>
      </c>
      <c r="B1727" s="10"/>
      <c r="C1727" s="10"/>
    </row>
    <row r="1728" spans="1:3" ht="15.75" customHeight="1">
      <c r="A1728" s="12" t="s">
        <v>820</v>
      </c>
      <c r="B1728" s="10"/>
      <c r="C1728" s="10"/>
    </row>
    <row r="1729" spans="1:3" ht="15.75" customHeight="1">
      <c r="A1729" s="12" t="s">
        <v>853</v>
      </c>
      <c r="B1729" s="10"/>
      <c r="C1729" s="10"/>
    </row>
    <row r="1730" spans="1:3" ht="15.75" customHeight="1">
      <c r="A1730" s="12" t="s">
        <v>837</v>
      </c>
      <c r="B1730" s="10"/>
      <c r="C1730" s="10"/>
    </row>
    <row r="1731" spans="1:3" ht="15.75" customHeight="1">
      <c r="A1731" s="12" t="s">
        <v>824</v>
      </c>
      <c r="B1731" s="10"/>
      <c r="C1731" s="10"/>
    </row>
    <row r="1732" spans="1:3" ht="15.75" customHeight="1">
      <c r="A1732" s="12" t="s">
        <v>830</v>
      </c>
      <c r="B1732" s="10"/>
      <c r="C1732" s="10"/>
    </row>
    <row r="1733" spans="1:3" ht="15.75" customHeight="1">
      <c r="A1733" s="12" t="s">
        <v>827</v>
      </c>
      <c r="B1733" s="10"/>
      <c r="C1733" s="10"/>
    </row>
    <row r="1734" spans="1:3" ht="15.75" customHeight="1">
      <c r="A1734" s="12" t="s">
        <v>826</v>
      </c>
      <c r="B1734" s="10"/>
      <c r="C1734" s="10"/>
    </row>
    <row r="1735" spans="1:3" ht="15.75" customHeight="1">
      <c r="A1735" s="12" t="s">
        <v>821</v>
      </c>
      <c r="B1735" s="10"/>
      <c r="C1735" s="10"/>
    </row>
    <row r="1736" spans="1:3" ht="15.75" customHeight="1">
      <c r="A1736" s="12" t="s">
        <v>846</v>
      </c>
      <c r="B1736" s="10"/>
      <c r="C1736" s="10"/>
    </row>
    <row r="1737" spans="1:3" ht="15.75" customHeight="1">
      <c r="A1737" s="12" t="s">
        <v>832</v>
      </c>
      <c r="B1737" s="10"/>
      <c r="C1737" s="10"/>
    </row>
    <row r="1738" spans="1:3" ht="15.75" customHeight="1">
      <c r="A1738" s="12" t="s">
        <v>837</v>
      </c>
      <c r="B1738" s="10"/>
      <c r="C1738" s="10"/>
    </row>
    <row r="1739" spans="1:3" ht="15.75" customHeight="1">
      <c r="A1739" s="12" t="s">
        <v>830</v>
      </c>
      <c r="B1739" s="10"/>
      <c r="C1739" s="10"/>
    </row>
    <row r="1740" spans="1:3" ht="15.75" customHeight="1">
      <c r="A1740" s="12" t="s">
        <v>837</v>
      </c>
      <c r="B1740" s="10"/>
      <c r="C1740" s="10"/>
    </row>
    <row r="1741" spans="1:3" ht="15.75" customHeight="1">
      <c r="A1741" s="12" t="s">
        <v>848</v>
      </c>
      <c r="B1741" s="10"/>
      <c r="C1741" s="10"/>
    </row>
    <row r="1742" spans="1:3" ht="15.75" customHeight="1">
      <c r="A1742" s="12" t="s">
        <v>831</v>
      </c>
      <c r="B1742" s="10"/>
      <c r="C1742" s="10"/>
    </row>
    <row r="1743" spans="1:3" ht="15.75" customHeight="1">
      <c r="A1743" s="12" t="s">
        <v>824</v>
      </c>
      <c r="B1743" s="10"/>
      <c r="C1743" s="10"/>
    </row>
    <row r="1744" spans="1:3" ht="15.75" customHeight="1">
      <c r="A1744" s="12" t="s">
        <v>837</v>
      </c>
      <c r="B1744" s="10"/>
      <c r="C1744" s="10"/>
    </row>
    <row r="1745" spans="1:3" ht="15.75" customHeight="1">
      <c r="A1745" s="12" t="s">
        <v>837</v>
      </c>
      <c r="B1745" s="10"/>
      <c r="C1745" s="10"/>
    </row>
    <row r="1746" spans="1:3" ht="15.75" customHeight="1">
      <c r="A1746" s="12" t="s">
        <v>822</v>
      </c>
      <c r="B1746" s="10"/>
      <c r="C1746" s="10"/>
    </row>
    <row r="1747" spans="1:3" ht="15.75" customHeight="1">
      <c r="A1747" s="12" t="s">
        <v>830</v>
      </c>
      <c r="B1747" s="10"/>
      <c r="C1747" s="10"/>
    </row>
    <row r="1748" spans="1:3" ht="15.75" customHeight="1">
      <c r="A1748" s="12" t="s">
        <v>836</v>
      </c>
      <c r="B1748" s="10"/>
      <c r="C1748" s="10"/>
    </row>
    <row r="1749" spans="1:3" ht="15.75" customHeight="1">
      <c r="A1749" s="12" t="s">
        <v>850</v>
      </c>
      <c r="B1749" s="10"/>
      <c r="C1749" s="10"/>
    </row>
    <row r="1750" spans="1:3" ht="15.75" customHeight="1">
      <c r="A1750" s="12" t="s">
        <v>850</v>
      </c>
      <c r="B1750" s="10"/>
      <c r="C1750" s="10"/>
    </row>
    <row r="1751" spans="1:3" ht="15.75" customHeight="1">
      <c r="A1751" s="12" t="s">
        <v>847</v>
      </c>
      <c r="B1751" s="10"/>
      <c r="C1751" s="10"/>
    </row>
    <row r="1752" spans="1:3" ht="15.75" customHeight="1">
      <c r="A1752" s="12" t="s">
        <v>830</v>
      </c>
      <c r="B1752" s="10"/>
      <c r="C1752" s="10"/>
    </row>
    <row r="1753" spans="1:3" ht="15.75" customHeight="1">
      <c r="A1753" s="12" t="s">
        <v>849</v>
      </c>
      <c r="B1753" s="10"/>
      <c r="C1753" s="10"/>
    </row>
    <row r="1754" spans="1:3" ht="15.75" customHeight="1">
      <c r="A1754" s="12" t="s">
        <v>837</v>
      </c>
      <c r="B1754" s="10"/>
      <c r="C1754" s="10"/>
    </row>
    <row r="1755" spans="1:3" ht="15.75" customHeight="1">
      <c r="A1755" s="12" t="s">
        <v>821</v>
      </c>
      <c r="B1755" s="10"/>
      <c r="C1755" s="10"/>
    </row>
    <row r="1756" spans="1:3" ht="15.75" customHeight="1">
      <c r="A1756" s="12" t="s">
        <v>853</v>
      </c>
      <c r="B1756" s="10"/>
      <c r="C1756" s="10"/>
    </row>
    <row r="1757" spans="1:3" ht="15.75" customHeight="1">
      <c r="A1757" s="12" t="s">
        <v>834</v>
      </c>
      <c r="B1757" s="10"/>
      <c r="C1757" s="10"/>
    </row>
    <row r="1758" spans="1:3" ht="15.75" customHeight="1">
      <c r="A1758" s="12" t="s">
        <v>820</v>
      </c>
      <c r="B1758" s="10"/>
      <c r="C1758" s="10"/>
    </row>
    <row r="1759" spans="1:3" ht="15.75" customHeight="1">
      <c r="A1759" s="12" t="s">
        <v>853</v>
      </c>
      <c r="B1759" s="10"/>
      <c r="C1759" s="10"/>
    </row>
    <row r="1760" spans="1:3" ht="15.75" customHeight="1">
      <c r="A1760" s="12" t="s">
        <v>853</v>
      </c>
      <c r="B1760" s="10"/>
      <c r="C1760" s="10"/>
    </row>
    <row r="1761" spans="1:3" ht="15.75" customHeight="1">
      <c r="A1761" s="12" t="s">
        <v>826</v>
      </c>
      <c r="B1761" s="10"/>
      <c r="C1761" s="10"/>
    </row>
    <row r="1762" spans="1:3" ht="15.75" customHeight="1">
      <c r="A1762" s="12" t="s">
        <v>837</v>
      </c>
      <c r="B1762" s="10"/>
      <c r="C1762" s="10"/>
    </row>
    <row r="1763" spans="1:3" ht="15.75" customHeight="1">
      <c r="A1763" s="12" t="s">
        <v>823</v>
      </c>
      <c r="B1763" s="10"/>
      <c r="C1763" s="10"/>
    </row>
    <row r="1764" spans="1:3" ht="15.75" customHeight="1">
      <c r="A1764" s="12" t="s">
        <v>836</v>
      </c>
      <c r="B1764" s="10"/>
      <c r="C1764" s="10"/>
    </row>
    <row r="1765" spans="1:3" ht="15.75" customHeight="1">
      <c r="A1765" s="12" t="s">
        <v>820</v>
      </c>
      <c r="B1765" s="10"/>
      <c r="C1765" s="10"/>
    </row>
    <row r="1766" spans="1:3" ht="15.75" customHeight="1">
      <c r="A1766" s="12" t="s">
        <v>828</v>
      </c>
      <c r="B1766" s="10"/>
      <c r="C1766" s="10"/>
    </row>
    <row r="1767" spans="1:3" ht="15.75" customHeight="1">
      <c r="A1767" s="12" t="s">
        <v>837</v>
      </c>
      <c r="B1767" s="10"/>
      <c r="C1767" s="10"/>
    </row>
    <row r="1768" spans="1:3" ht="15.75" customHeight="1">
      <c r="A1768" s="12" t="s">
        <v>820</v>
      </c>
      <c r="B1768" s="10"/>
      <c r="C1768" s="10"/>
    </row>
    <row r="1769" spans="1:3" ht="15.75" customHeight="1">
      <c r="A1769" s="12" t="s">
        <v>837</v>
      </c>
      <c r="B1769" s="10"/>
      <c r="C1769" s="10"/>
    </row>
    <row r="1770" spans="1:3" ht="15.75" customHeight="1">
      <c r="A1770" s="12" t="s">
        <v>821</v>
      </c>
      <c r="B1770" s="10"/>
      <c r="C1770" s="10"/>
    </row>
    <row r="1771" spans="1:3" ht="15.75" customHeight="1">
      <c r="A1771" s="12" t="s">
        <v>850</v>
      </c>
      <c r="B1771" s="10"/>
      <c r="C1771" s="10"/>
    </row>
    <row r="1772" spans="1:3" ht="15.75" customHeight="1">
      <c r="A1772" s="12" t="s">
        <v>837</v>
      </c>
      <c r="B1772" s="10"/>
      <c r="C1772" s="10"/>
    </row>
    <row r="1773" spans="1:3" ht="15.75" customHeight="1">
      <c r="A1773" s="12" t="s">
        <v>847</v>
      </c>
      <c r="B1773" s="10"/>
      <c r="C1773" s="10"/>
    </row>
    <row r="1774" spans="1:3" ht="15.75" customHeight="1">
      <c r="A1774" s="12" t="s">
        <v>832</v>
      </c>
      <c r="B1774" s="10"/>
      <c r="C1774" s="10"/>
    </row>
    <row r="1775" spans="1:3" ht="15.75" customHeight="1">
      <c r="A1775" s="12" t="s">
        <v>820</v>
      </c>
      <c r="B1775" s="10"/>
      <c r="C1775" s="10"/>
    </row>
    <row r="1776" spans="1:3" ht="15.75" customHeight="1">
      <c r="A1776" s="12" t="s">
        <v>837</v>
      </c>
      <c r="B1776" s="10"/>
      <c r="C1776" s="10"/>
    </row>
    <row r="1777" spans="1:3" ht="15.75" customHeight="1">
      <c r="A1777" s="12" t="s">
        <v>826</v>
      </c>
      <c r="B1777" s="10"/>
      <c r="C1777" s="10"/>
    </row>
    <row r="1778" spans="1:3" ht="15.75" customHeight="1">
      <c r="A1778" s="12" t="s">
        <v>837</v>
      </c>
      <c r="B1778" s="10"/>
      <c r="C1778" s="10"/>
    </row>
    <row r="1779" spans="1:3" ht="15.75" customHeight="1">
      <c r="A1779" s="12" t="s">
        <v>826</v>
      </c>
      <c r="B1779" s="10"/>
      <c r="C1779" s="10"/>
    </row>
    <row r="1780" spans="1:3" ht="15.75" customHeight="1">
      <c r="A1780" s="12" t="s">
        <v>843</v>
      </c>
      <c r="B1780" s="10"/>
      <c r="C1780" s="10"/>
    </row>
    <row r="1781" spans="1:3" ht="15.75" customHeight="1">
      <c r="A1781" s="12" t="s">
        <v>846</v>
      </c>
      <c r="B1781" s="10"/>
      <c r="C1781" s="10"/>
    </row>
    <row r="1782" spans="1:3" ht="15.75" customHeight="1">
      <c r="A1782" s="12" t="s">
        <v>847</v>
      </c>
      <c r="B1782" s="10"/>
      <c r="C1782" s="10"/>
    </row>
    <row r="1783" spans="1:3" ht="15.75" customHeight="1">
      <c r="A1783" s="12" t="s">
        <v>827</v>
      </c>
      <c r="B1783" s="10"/>
      <c r="C1783" s="10"/>
    </row>
    <row r="1784" spans="1:3" ht="15.75" customHeight="1">
      <c r="A1784" s="12" t="s">
        <v>834</v>
      </c>
      <c r="B1784" s="10"/>
      <c r="C1784" s="10"/>
    </row>
    <row r="1785" spans="1:3" ht="15.75" customHeight="1">
      <c r="A1785" s="12" t="s">
        <v>852</v>
      </c>
      <c r="B1785" s="10"/>
      <c r="C1785" s="10"/>
    </row>
    <row r="1786" spans="1:3" ht="15.75" customHeight="1">
      <c r="A1786" s="12" t="s">
        <v>830</v>
      </c>
      <c r="B1786" s="10"/>
      <c r="C1786" s="10"/>
    </row>
    <row r="1787" spans="1:3" ht="15.75" customHeight="1">
      <c r="A1787" s="12" t="s">
        <v>837</v>
      </c>
      <c r="B1787" s="10"/>
      <c r="C1787" s="10"/>
    </row>
    <row r="1788" spans="1:3" ht="15.75" customHeight="1">
      <c r="A1788" s="12" t="s">
        <v>837</v>
      </c>
      <c r="B1788" s="10"/>
      <c r="C1788" s="10"/>
    </row>
    <row r="1789" spans="1:3" ht="15.75" customHeight="1">
      <c r="A1789" s="12" t="s">
        <v>837</v>
      </c>
      <c r="B1789" s="10"/>
      <c r="C1789" s="10"/>
    </row>
    <row r="1790" spans="1:3" ht="15.75" customHeight="1">
      <c r="A1790" s="12" t="s">
        <v>823</v>
      </c>
      <c r="B1790" s="10"/>
      <c r="C1790" s="10"/>
    </row>
    <row r="1791" spans="1:3" ht="15.75" customHeight="1">
      <c r="A1791" s="12" t="s">
        <v>818</v>
      </c>
      <c r="B1791" s="10"/>
      <c r="C1791" s="10"/>
    </row>
    <row r="1792" spans="1:3" ht="15.75" customHeight="1">
      <c r="A1792" s="12" t="s">
        <v>845</v>
      </c>
      <c r="B1792" s="10"/>
      <c r="C1792" s="10"/>
    </row>
    <row r="1793" spans="1:3" ht="15.75" customHeight="1">
      <c r="A1793" s="12" t="s">
        <v>830</v>
      </c>
      <c r="B1793" s="10"/>
      <c r="C1793" s="10"/>
    </row>
    <row r="1794" spans="1:3" ht="15.75" customHeight="1">
      <c r="A1794" s="12" t="s">
        <v>836</v>
      </c>
      <c r="B1794" s="10"/>
      <c r="C1794" s="10"/>
    </row>
    <row r="1795" spans="1:3" ht="15.75" customHeight="1">
      <c r="A1795" s="12" t="s">
        <v>818</v>
      </c>
      <c r="B1795" s="10"/>
      <c r="C1795" s="10"/>
    </row>
    <row r="1796" spans="1:3" ht="15.75" customHeight="1">
      <c r="A1796" s="12" t="s">
        <v>826</v>
      </c>
      <c r="B1796" s="10"/>
      <c r="C1796" s="10"/>
    </row>
    <row r="1797" spans="1:3" ht="15.75" customHeight="1">
      <c r="A1797" s="12" t="s">
        <v>850</v>
      </c>
      <c r="B1797" s="10"/>
      <c r="C1797" s="10"/>
    </row>
    <row r="1798" spans="1:3" ht="15.75" customHeight="1">
      <c r="A1798" s="12" t="s">
        <v>847</v>
      </c>
      <c r="B1798" s="10"/>
      <c r="C1798" s="10"/>
    </row>
    <row r="1799" spans="1:3" ht="15.75" customHeight="1">
      <c r="A1799" s="12" t="s">
        <v>830</v>
      </c>
      <c r="B1799" s="10"/>
      <c r="C1799" s="10"/>
    </row>
    <row r="1800" spans="1:3" ht="15.75" customHeight="1">
      <c r="A1800" s="12" t="s">
        <v>837</v>
      </c>
      <c r="B1800" s="10"/>
      <c r="C1800" s="10"/>
    </row>
    <row r="1801" spans="1:3" ht="15.75" customHeight="1">
      <c r="A1801" s="12" t="s">
        <v>849</v>
      </c>
      <c r="B1801" s="10"/>
      <c r="C1801" s="10"/>
    </row>
    <row r="1802" spans="1:3" ht="15.75" customHeight="1">
      <c r="A1802" s="12" t="s">
        <v>823</v>
      </c>
      <c r="B1802" s="10"/>
      <c r="C1802" s="10"/>
    </row>
    <row r="1803" spans="1:3" ht="15.75" customHeight="1">
      <c r="A1803" s="12" t="s">
        <v>830</v>
      </c>
      <c r="B1803" s="10"/>
      <c r="C1803" s="10"/>
    </row>
    <row r="1804" spans="1:3" ht="15.75" customHeight="1">
      <c r="A1804" s="12" t="s">
        <v>853</v>
      </c>
      <c r="B1804" s="10"/>
      <c r="C1804" s="10"/>
    </row>
    <row r="1805" spans="1:3" ht="15.75" customHeight="1">
      <c r="A1805" s="12" t="s">
        <v>832</v>
      </c>
      <c r="B1805" s="10"/>
      <c r="C1805" s="10"/>
    </row>
    <row r="1806" spans="1:3" ht="15.75" customHeight="1">
      <c r="A1806" s="12" t="s">
        <v>851</v>
      </c>
      <c r="B1806" s="10"/>
      <c r="C1806" s="10"/>
    </row>
    <row r="1807" spans="1:3" ht="15.75" customHeight="1">
      <c r="A1807" s="12" t="s">
        <v>830</v>
      </c>
      <c r="B1807" s="10"/>
      <c r="C1807" s="10"/>
    </row>
    <row r="1808" spans="1:3" ht="15.75" customHeight="1">
      <c r="A1808" s="12" t="s">
        <v>822</v>
      </c>
      <c r="B1808" s="10"/>
      <c r="C1808" s="10"/>
    </row>
    <row r="1809" spans="1:3" ht="15.75" customHeight="1">
      <c r="A1809" s="12" t="s">
        <v>850</v>
      </c>
      <c r="B1809" s="10"/>
      <c r="C1809" s="10"/>
    </row>
    <row r="1810" spans="1:3" ht="15.75" customHeight="1">
      <c r="A1810" s="12" t="s">
        <v>838</v>
      </c>
      <c r="B1810" s="10"/>
      <c r="C1810" s="10"/>
    </row>
    <row r="1811" spans="1:3" ht="15.75" customHeight="1">
      <c r="A1811" s="12" t="s">
        <v>828</v>
      </c>
      <c r="B1811" s="10"/>
      <c r="C1811" s="10"/>
    </row>
    <row r="1812" spans="1:3" ht="15.75" customHeight="1">
      <c r="A1812" s="12" t="s">
        <v>836</v>
      </c>
      <c r="B1812" s="10"/>
      <c r="C1812" s="10"/>
    </row>
    <row r="1813" spans="1:3" ht="15.75" customHeight="1">
      <c r="A1813" s="12" t="s">
        <v>820</v>
      </c>
      <c r="B1813" s="10"/>
      <c r="C1813" s="10"/>
    </row>
    <row r="1814" spans="1:3" ht="15.75" customHeight="1">
      <c r="A1814" s="12" t="s">
        <v>823</v>
      </c>
      <c r="B1814" s="10"/>
      <c r="C1814" s="10"/>
    </row>
    <row r="1815" spans="1:3" ht="15.75" customHeight="1">
      <c r="A1815" s="12" t="s">
        <v>845</v>
      </c>
      <c r="B1815" s="10"/>
      <c r="C1815" s="10"/>
    </row>
    <row r="1816" spans="1:3" ht="15.75" customHeight="1">
      <c r="A1816" s="12" t="s">
        <v>845</v>
      </c>
      <c r="B1816" s="10"/>
      <c r="C1816" s="10"/>
    </row>
    <row r="1817" spans="1:3" ht="15.75" customHeight="1">
      <c r="A1817" s="12" t="s">
        <v>828</v>
      </c>
      <c r="B1817" s="10"/>
      <c r="C1817" s="10"/>
    </row>
    <row r="1818" spans="1:3" ht="15.75" customHeight="1">
      <c r="A1818" s="12" t="s">
        <v>827</v>
      </c>
      <c r="B1818" s="10"/>
      <c r="C1818" s="10"/>
    </row>
    <row r="1819" spans="1:3" ht="15.75" customHeight="1">
      <c r="A1819" s="12" t="s">
        <v>844</v>
      </c>
      <c r="B1819" s="10"/>
      <c r="C1819" s="10"/>
    </row>
    <row r="1820" spans="1:3" ht="15.75" customHeight="1">
      <c r="A1820" s="12" t="s">
        <v>840</v>
      </c>
      <c r="B1820" s="10"/>
      <c r="C1820" s="10"/>
    </row>
    <row r="1821" spans="1:3" ht="15.75" customHeight="1">
      <c r="A1821" s="12" t="s">
        <v>821</v>
      </c>
      <c r="B1821" s="10"/>
      <c r="C1821" s="10"/>
    </row>
    <row r="1822" spans="1:3" ht="15.75" customHeight="1">
      <c r="A1822" s="12" t="s">
        <v>850</v>
      </c>
      <c r="B1822" s="10"/>
      <c r="C1822" s="10"/>
    </row>
    <row r="1823" spans="1:3" ht="15.75" customHeight="1">
      <c r="A1823" s="12" t="s">
        <v>823</v>
      </c>
      <c r="B1823" s="10"/>
      <c r="C1823" s="10"/>
    </row>
    <row r="1824" spans="1:3" ht="15.75" customHeight="1">
      <c r="A1824" s="12" t="s">
        <v>850</v>
      </c>
      <c r="B1824" s="10"/>
      <c r="C1824" s="10"/>
    </row>
    <row r="1825" spans="1:3" ht="15.75" customHeight="1">
      <c r="A1825" s="12" t="s">
        <v>824</v>
      </c>
      <c r="B1825" s="10"/>
      <c r="C1825" s="10"/>
    </row>
    <row r="1826" spans="1:3" ht="15.75" customHeight="1">
      <c r="A1826" s="12" t="s">
        <v>837</v>
      </c>
      <c r="B1826" s="10"/>
      <c r="C1826" s="10"/>
    </row>
    <row r="1827" spans="1:3" ht="15.75" customHeight="1">
      <c r="A1827" s="12" t="s">
        <v>837</v>
      </c>
      <c r="B1827" s="10"/>
      <c r="C1827" s="10"/>
    </row>
    <row r="1828" spans="1:3" ht="15.75" customHeight="1">
      <c r="A1828" s="12" t="s">
        <v>837</v>
      </c>
      <c r="B1828" s="10"/>
      <c r="C1828" s="10"/>
    </row>
    <row r="1829" spans="1:3" ht="15.75" customHeight="1">
      <c r="A1829" s="12" t="s">
        <v>820</v>
      </c>
      <c r="B1829" s="10"/>
      <c r="C1829" s="10"/>
    </row>
    <row r="1830" spans="1:3" ht="15.75" customHeight="1">
      <c r="A1830" s="12" t="s">
        <v>832</v>
      </c>
      <c r="B1830" s="10"/>
      <c r="C1830" s="10"/>
    </row>
    <row r="1831" spans="1:3" ht="15.75" customHeight="1">
      <c r="A1831" s="12" t="s">
        <v>852</v>
      </c>
      <c r="B1831" s="10"/>
      <c r="C1831" s="10"/>
    </row>
    <row r="1832" spans="1:3" ht="15.75" customHeight="1">
      <c r="A1832" s="12" t="s">
        <v>824</v>
      </c>
      <c r="B1832" s="10"/>
      <c r="C1832" s="10"/>
    </row>
    <row r="1833" spans="1:3" ht="15.75" customHeight="1">
      <c r="A1833" s="12" t="s">
        <v>834</v>
      </c>
      <c r="B1833" s="10"/>
      <c r="C1833" s="10"/>
    </row>
    <row r="1834" spans="1:3" ht="15.75" customHeight="1">
      <c r="A1834" s="12" t="s">
        <v>827</v>
      </c>
      <c r="B1834" s="10"/>
      <c r="C1834" s="10"/>
    </row>
    <row r="1835" spans="1:3" ht="15.75" customHeight="1">
      <c r="A1835" s="12" t="s">
        <v>830</v>
      </c>
      <c r="B1835" s="10"/>
      <c r="C1835" s="10"/>
    </row>
    <row r="1836" spans="1:3" ht="15.75" customHeight="1">
      <c r="A1836" s="12" t="s">
        <v>820</v>
      </c>
      <c r="B1836" s="10"/>
      <c r="C1836" s="10"/>
    </row>
    <row r="1837" spans="1:3" ht="15.75" customHeight="1">
      <c r="A1837" s="12" t="s">
        <v>826</v>
      </c>
      <c r="B1837" s="10"/>
      <c r="C1837" s="10"/>
    </row>
    <row r="1838" spans="1:3" ht="15.75" customHeight="1">
      <c r="A1838" s="12" t="s">
        <v>831</v>
      </c>
      <c r="B1838" s="10"/>
      <c r="C1838" s="10"/>
    </row>
    <row r="1839" spans="1:3" ht="15.75" customHeight="1">
      <c r="A1839" s="12" t="s">
        <v>824</v>
      </c>
      <c r="B1839" s="10"/>
      <c r="C1839" s="10"/>
    </row>
    <row r="1840" spans="1:3" ht="15.75" customHeight="1">
      <c r="A1840" s="12" t="s">
        <v>837</v>
      </c>
      <c r="B1840" s="10"/>
      <c r="C1840" s="10"/>
    </row>
    <row r="1841" spans="1:3" ht="15.75" customHeight="1">
      <c r="A1841" s="12" t="s">
        <v>837</v>
      </c>
      <c r="B1841" s="10"/>
      <c r="C1841" s="10"/>
    </row>
    <row r="1842" spans="1:3" ht="15.75" customHeight="1">
      <c r="A1842" s="12" t="s">
        <v>839</v>
      </c>
      <c r="B1842" s="10"/>
      <c r="C1842" s="10"/>
    </row>
    <row r="1843" spans="1:3" ht="15.75" customHeight="1">
      <c r="A1843" s="12" t="s">
        <v>826</v>
      </c>
      <c r="B1843" s="10"/>
      <c r="C1843" s="10"/>
    </row>
    <row r="1844" spans="1:3" ht="15.75" customHeight="1">
      <c r="A1844" s="12" t="s">
        <v>829</v>
      </c>
      <c r="B1844" s="10"/>
      <c r="C1844" s="10"/>
    </row>
    <row r="1845" spans="1:3" ht="15.75" customHeight="1">
      <c r="A1845" s="12" t="s">
        <v>839</v>
      </c>
      <c r="B1845" s="10"/>
      <c r="C1845" s="10"/>
    </row>
    <row r="1846" spans="1:3" ht="15.75" customHeight="1">
      <c r="A1846" s="12" t="s">
        <v>821</v>
      </c>
      <c r="B1846" s="10"/>
      <c r="C1846" s="10"/>
    </row>
    <row r="1847" spans="1:3" ht="15.75" customHeight="1">
      <c r="A1847" s="12" t="s">
        <v>837</v>
      </c>
      <c r="B1847" s="10"/>
      <c r="C1847" s="10"/>
    </row>
    <row r="1848" spans="1:3" ht="15.75" customHeight="1">
      <c r="A1848" s="12" t="s">
        <v>832</v>
      </c>
      <c r="B1848" s="10"/>
      <c r="C1848" s="10"/>
    </row>
    <row r="1849" spans="1:3" ht="15.75" customHeight="1">
      <c r="A1849" s="12" t="s">
        <v>848</v>
      </c>
      <c r="B1849" s="10"/>
      <c r="C1849" s="10"/>
    </row>
    <row r="1850" spans="1:3" ht="15.75" customHeight="1">
      <c r="A1850" s="12" t="s">
        <v>828</v>
      </c>
      <c r="B1850" s="10"/>
      <c r="C1850" s="10"/>
    </row>
    <row r="1851" spans="1:3" ht="15.75" customHeight="1">
      <c r="A1851" s="12" t="s">
        <v>833</v>
      </c>
      <c r="B1851" s="10"/>
      <c r="C1851" s="10"/>
    </row>
    <row r="1852" spans="1:3" ht="15.75" customHeight="1">
      <c r="A1852" s="12" t="s">
        <v>841</v>
      </c>
      <c r="B1852" s="10"/>
      <c r="C1852" s="10"/>
    </row>
    <row r="1853" spans="1:3" ht="15.75" customHeight="1">
      <c r="A1853" s="12" t="s">
        <v>818</v>
      </c>
      <c r="B1853" s="10"/>
      <c r="C1853" s="10"/>
    </row>
    <row r="1854" spans="1:3" ht="15.75" customHeight="1">
      <c r="A1854" s="12" t="s">
        <v>820</v>
      </c>
      <c r="B1854" s="10"/>
      <c r="C1854" s="10"/>
    </row>
    <row r="1855" spans="1:3" ht="15.75" customHeight="1">
      <c r="A1855" s="12" t="s">
        <v>845</v>
      </c>
      <c r="B1855" s="10"/>
      <c r="C1855" s="10"/>
    </row>
    <row r="1856" spans="1:3" ht="15.75" customHeight="1">
      <c r="A1856" s="12" t="s">
        <v>850</v>
      </c>
      <c r="B1856" s="10"/>
      <c r="C1856" s="10"/>
    </row>
    <row r="1857" spans="1:3" ht="15.75" customHeight="1">
      <c r="A1857" s="12" t="s">
        <v>833</v>
      </c>
      <c r="B1857" s="10"/>
      <c r="C1857" s="10"/>
    </row>
    <row r="1858" spans="1:3" ht="15.75" customHeight="1">
      <c r="A1858" s="12" t="s">
        <v>851</v>
      </c>
      <c r="B1858" s="10"/>
      <c r="C1858" s="10"/>
    </row>
    <row r="1859" spans="1:3" ht="15.75" customHeight="1">
      <c r="A1859" s="12" t="s">
        <v>830</v>
      </c>
      <c r="B1859" s="10"/>
      <c r="C1859" s="10"/>
    </row>
    <row r="1860" spans="1:3" ht="15.75" customHeight="1">
      <c r="A1860" s="12" t="s">
        <v>847</v>
      </c>
      <c r="B1860" s="10"/>
      <c r="C1860" s="10"/>
    </row>
    <row r="1861" spans="1:3" ht="15.75" customHeight="1">
      <c r="A1861" s="12" t="s">
        <v>836</v>
      </c>
      <c r="B1861" s="10"/>
      <c r="C1861" s="10"/>
    </row>
    <row r="1862" spans="1:3" ht="15.75" customHeight="1">
      <c r="A1862" s="12" t="s">
        <v>837</v>
      </c>
      <c r="B1862" s="10"/>
      <c r="C1862" s="10"/>
    </row>
    <row r="1863" spans="1:3" ht="15.75" customHeight="1">
      <c r="A1863" s="12" t="s">
        <v>842</v>
      </c>
      <c r="B1863" s="10"/>
      <c r="C1863" s="10"/>
    </row>
    <row r="1864" spans="1:3" ht="15.75" customHeight="1">
      <c r="A1864" s="12" t="s">
        <v>837</v>
      </c>
      <c r="B1864" s="10"/>
      <c r="C1864" s="10"/>
    </row>
    <row r="1865" spans="1:3" ht="15.75" customHeight="1">
      <c r="A1865" s="12" t="s">
        <v>829</v>
      </c>
      <c r="B1865" s="10"/>
      <c r="C1865" s="10"/>
    </row>
    <row r="1866" spans="1:3" ht="15.75" customHeight="1">
      <c r="A1866" s="12" t="s">
        <v>837</v>
      </c>
      <c r="B1866" s="10"/>
      <c r="C1866" s="10"/>
    </row>
    <row r="1867" spans="1:3" ht="15.75" customHeight="1">
      <c r="A1867" s="12" t="s">
        <v>837</v>
      </c>
      <c r="B1867" s="10"/>
      <c r="C1867" s="10"/>
    </row>
    <row r="1868" spans="1:3" ht="15.75" customHeight="1">
      <c r="A1868" s="12" t="s">
        <v>837</v>
      </c>
      <c r="B1868" s="10"/>
      <c r="C1868" s="10"/>
    </row>
    <row r="1869" spans="1:3" ht="15.75" customHeight="1">
      <c r="A1869" s="12" t="s">
        <v>824</v>
      </c>
      <c r="B1869" s="10"/>
      <c r="C1869" s="10"/>
    </row>
    <row r="1870" spans="1:3" ht="15.75" customHeight="1">
      <c r="A1870" s="12" t="s">
        <v>828</v>
      </c>
      <c r="B1870" s="10"/>
      <c r="C1870" s="10"/>
    </row>
    <row r="1871" spans="1:3" ht="15.75" customHeight="1">
      <c r="A1871" s="12" t="s">
        <v>834</v>
      </c>
      <c r="B1871" s="10"/>
      <c r="C1871" s="10"/>
    </row>
    <row r="1872" spans="1:3" ht="15.75" customHeight="1">
      <c r="A1872" s="12" t="s">
        <v>833</v>
      </c>
      <c r="B1872" s="10"/>
      <c r="C1872" s="10"/>
    </row>
    <row r="1873" spans="1:3" ht="15.75" customHeight="1">
      <c r="A1873" s="12" t="s">
        <v>836</v>
      </c>
      <c r="B1873" s="10"/>
      <c r="C1873" s="10"/>
    </row>
    <row r="1874" spans="1:3" ht="15.75" customHeight="1">
      <c r="A1874" s="12" t="s">
        <v>849</v>
      </c>
      <c r="B1874" s="10"/>
      <c r="C1874" s="10"/>
    </row>
    <row r="1875" spans="1:3" ht="15.75" customHeight="1">
      <c r="A1875" s="12" t="s">
        <v>837</v>
      </c>
      <c r="B1875" s="10"/>
      <c r="C1875" s="10"/>
    </row>
    <row r="1876" spans="1:3" ht="15.75" customHeight="1">
      <c r="A1876" s="12" t="s">
        <v>840</v>
      </c>
      <c r="B1876" s="10"/>
      <c r="C1876" s="10"/>
    </row>
    <row r="1877" spans="1:3" ht="15.75" customHeight="1">
      <c r="A1877" s="12" t="s">
        <v>824</v>
      </c>
      <c r="B1877" s="10"/>
      <c r="C1877" s="10"/>
    </row>
    <row r="1878" spans="1:3" ht="15.75" customHeight="1">
      <c r="A1878" s="12" t="s">
        <v>822</v>
      </c>
      <c r="B1878" s="10"/>
      <c r="C1878" s="10"/>
    </row>
    <row r="1879" spans="1:3" ht="15.75" customHeight="1">
      <c r="A1879" s="12" t="s">
        <v>833</v>
      </c>
      <c r="B1879" s="10"/>
      <c r="C1879" s="10"/>
    </row>
    <row r="1880" spans="1:3" ht="15.75" customHeight="1">
      <c r="A1880" s="12" t="s">
        <v>852</v>
      </c>
      <c r="B1880" s="10"/>
      <c r="C1880" s="10"/>
    </row>
    <row r="1881" spans="1:3" ht="15.75" customHeight="1">
      <c r="A1881" s="12" t="s">
        <v>835</v>
      </c>
      <c r="B1881" s="10"/>
      <c r="C1881" s="10"/>
    </row>
    <row r="1882" spans="1:3" ht="15.75" customHeight="1">
      <c r="A1882" s="12" t="s">
        <v>827</v>
      </c>
      <c r="B1882" s="10"/>
      <c r="C1882" s="10"/>
    </row>
    <row r="1883" spans="1:3" ht="15.75" customHeight="1">
      <c r="A1883" s="12" t="s">
        <v>847</v>
      </c>
      <c r="B1883" s="10"/>
      <c r="C1883" s="10"/>
    </row>
    <row r="1884" spans="1:3" ht="15.75" customHeight="1">
      <c r="A1884" s="12" t="s">
        <v>834</v>
      </c>
      <c r="B1884" s="10"/>
      <c r="C1884" s="10"/>
    </row>
    <row r="1885" spans="1:3" ht="15.75" customHeight="1">
      <c r="A1885" s="12" t="s">
        <v>823</v>
      </c>
      <c r="B1885" s="10"/>
      <c r="C1885" s="10"/>
    </row>
    <row r="1886" spans="1:3" ht="15.75" customHeight="1">
      <c r="A1886" s="12" t="s">
        <v>827</v>
      </c>
      <c r="B1886" s="10"/>
      <c r="C1886" s="10"/>
    </row>
    <row r="1887" spans="1:3" ht="15.75" customHeight="1">
      <c r="A1887" s="12" t="s">
        <v>832</v>
      </c>
      <c r="B1887" s="10"/>
      <c r="C1887" s="10"/>
    </row>
    <row r="1888" spans="1:3" ht="15.75" customHeight="1">
      <c r="A1888" s="12" t="s">
        <v>830</v>
      </c>
      <c r="B1888" s="10"/>
      <c r="C1888" s="10"/>
    </row>
    <row r="1889" spans="1:3" ht="15.75" customHeight="1">
      <c r="A1889" s="12" t="s">
        <v>837</v>
      </c>
      <c r="B1889" s="10"/>
      <c r="C1889" s="10"/>
    </row>
    <row r="1890" spans="1:3" ht="15.75" customHeight="1">
      <c r="A1890" s="12" t="s">
        <v>824</v>
      </c>
      <c r="B1890" s="10"/>
      <c r="C1890" s="10"/>
    </row>
    <row r="1891" spans="1:3" ht="15.75" customHeight="1">
      <c r="A1891" s="12" t="s">
        <v>841</v>
      </c>
      <c r="B1891" s="10"/>
      <c r="C1891" s="10"/>
    </row>
    <row r="1892" spans="1:3" ht="15.75" customHeight="1">
      <c r="A1892" s="12" t="s">
        <v>835</v>
      </c>
      <c r="B1892" s="10"/>
      <c r="C1892" s="10"/>
    </row>
    <row r="1893" spans="1:3" ht="15.75" customHeight="1">
      <c r="A1893" s="12" t="s">
        <v>824</v>
      </c>
      <c r="B1893" s="10"/>
      <c r="C1893" s="10"/>
    </row>
    <row r="1894" spans="1:3" ht="15.75" customHeight="1">
      <c r="A1894" s="12" t="s">
        <v>832</v>
      </c>
      <c r="B1894" s="10"/>
      <c r="C1894" s="10"/>
    </row>
    <row r="1895" spans="1:3" ht="15.75" customHeight="1">
      <c r="A1895" s="12" t="s">
        <v>827</v>
      </c>
      <c r="B1895" s="10"/>
      <c r="C1895" s="10"/>
    </row>
    <row r="1896" spans="1:3" ht="15.75" customHeight="1">
      <c r="A1896" s="12" t="s">
        <v>824</v>
      </c>
      <c r="B1896" s="10"/>
      <c r="C1896" s="10"/>
    </row>
    <row r="1897" spans="1:3" ht="15.75" customHeight="1">
      <c r="A1897" s="12" t="s">
        <v>846</v>
      </c>
      <c r="B1897" s="10"/>
      <c r="C1897" s="10"/>
    </row>
    <row r="1898" spans="1:3" ht="15.75" customHeight="1">
      <c r="A1898" s="12" t="s">
        <v>820</v>
      </c>
      <c r="B1898" s="10"/>
      <c r="C1898" s="10"/>
    </row>
    <row r="1899" spans="1:3" ht="15.75" customHeight="1">
      <c r="A1899" s="12" t="s">
        <v>837</v>
      </c>
      <c r="B1899" s="10"/>
      <c r="C1899" s="10"/>
    </row>
    <row r="1900" spans="1:3" ht="15.75" customHeight="1">
      <c r="A1900" s="12" t="s">
        <v>830</v>
      </c>
      <c r="B1900" s="10"/>
      <c r="C1900" s="10"/>
    </row>
    <row r="1901" spans="1:3" ht="15.75" customHeight="1">
      <c r="A1901" s="12" t="s">
        <v>837</v>
      </c>
      <c r="B1901" s="10"/>
      <c r="C1901" s="10"/>
    </row>
    <row r="1902" spans="1:3" ht="15.75" customHeight="1">
      <c r="A1902" s="12" t="s">
        <v>840</v>
      </c>
      <c r="B1902" s="10"/>
      <c r="C1902" s="10"/>
    </row>
    <row r="1903" spans="1:3" ht="15.75" customHeight="1">
      <c r="A1903" s="12" t="s">
        <v>835</v>
      </c>
      <c r="B1903" s="10"/>
      <c r="C1903" s="10"/>
    </row>
    <row r="1904" spans="1:3" ht="15.75" customHeight="1">
      <c r="A1904" s="12" t="s">
        <v>847</v>
      </c>
      <c r="B1904" s="10"/>
      <c r="C1904" s="10"/>
    </row>
    <row r="1905" spans="1:3" ht="15.75" customHeight="1">
      <c r="A1905" s="12" t="s">
        <v>834</v>
      </c>
      <c r="B1905" s="10"/>
      <c r="C1905" s="10"/>
    </row>
    <row r="1906" spans="1:3" ht="15.75" customHeight="1">
      <c r="A1906" s="12" t="s">
        <v>826</v>
      </c>
      <c r="B1906" s="10"/>
      <c r="C1906" s="10"/>
    </row>
    <row r="1907" spans="1:3" ht="15.75" customHeight="1">
      <c r="A1907" s="12" t="s">
        <v>825</v>
      </c>
      <c r="B1907" s="10"/>
      <c r="C1907" s="10"/>
    </row>
    <row r="1908" spans="1:3" ht="15.75" customHeight="1">
      <c r="A1908" s="12" t="s">
        <v>837</v>
      </c>
      <c r="B1908" s="10"/>
      <c r="C1908" s="10"/>
    </row>
    <row r="1909" spans="1:3" ht="15.75" customHeight="1">
      <c r="A1909" s="12" t="s">
        <v>848</v>
      </c>
      <c r="B1909" s="10"/>
      <c r="C1909" s="10"/>
    </row>
    <row r="1910" spans="1:3" ht="15.75" customHeight="1">
      <c r="A1910" s="12" t="s">
        <v>853</v>
      </c>
      <c r="B1910" s="10"/>
      <c r="C1910" s="10"/>
    </row>
    <row r="1911" spans="1:3" ht="15.75" customHeight="1">
      <c r="A1911" s="12" t="s">
        <v>832</v>
      </c>
      <c r="B1911" s="10"/>
      <c r="C1911" s="10"/>
    </row>
    <row r="1912" spans="1:3" ht="15.75" customHeight="1">
      <c r="A1912" s="12" t="s">
        <v>846</v>
      </c>
      <c r="B1912" s="10"/>
      <c r="C1912" s="10"/>
    </row>
    <row r="1913" spans="1:3" ht="15.75" customHeight="1">
      <c r="A1913" s="12" t="s">
        <v>845</v>
      </c>
      <c r="B1913" s="10"/>
      <c r="C1913" s="10"/>
    </row>
    <row r="1914" spans="1:3" ht="15.75" customHeight="1">
      <c r="A1914" s="12" t="s">
        <v>820</v>
      </c>
      <c r="B1914" s="10"/>
      <c r="C1914" s="10"/>
    </row>
    <row r="1915" spans="1:3" ht="15.75" customHeight="1">
      <c r="A1915" s="12" t="s">
        <v>824</v>
      </c>
      <c r="B1915" s="10"/>
      <c r="C1915" s="10"/>
    </row>
    <row r="1916" spans="1:3" ht="15.75" customHeight="1">
      <c r="A1916" s="12" t="s">
        <v>850</v>
      </c>
      <c r="B1916" s="10"/>
      <c r="C1916" s="10"/>
    </row>
    <row r="1917" spans="1:3" ht="15.75" customHeight="1">
      <c r="A1917" s="12" t="s">
        <v>818</v>
      </c>
      <c r="B1917" s="10"/>
      <c r="C1917" s="10"/>
    </row>
    <row r="1918" spans="1:3" ht="15.75" customHeight="1">
      <c r="A1918" s="12" t="s">
        <v>821</v>
      </c>
      <c r="B1918" s="10"/>
      <c r="C1918" s="10"/>
    </row>
    <row r="1919" spans="1:3" ht="15.75" customHeight="1">
      <c r="A1919" s="12" t="s">
        <v>824</v>
      </c>
      <c r="B1919" s="10"/>
      <c r="C1919" s="10"/>
    </row>
    <row r="1920" spans="1:3" ht="15.75" customHeight="1">
      <c r="A1920" s="12" t="s">
        <v>827</v>
      </c>
      <c r="B1920" s="10"/>
      <c r="C1920" s="10"/>
    </row>
    <row r="1921" spans="1:3" ht="15.75" customHeight="1">
      <c r="A1921" s="12" t="s">
        <v>838</v>
      </c>
      <c r="B1921" s="10"/>
      <c r="C1921" s="10"/>
    </row>
    <row r="1922" spans="1:3" ht="15.75" customHeight="1">
      <c r="A1922" s="12" t="s">
        <v>825</v>
      </c>
      <c r="B1922" s="10"/>
      <c r="C1922" s="10"/>
    </row>
    <row r="1923" spans="1:3" ht="15.75" customHeight="1">
      <c r="A1923" s="12" t="s">
        <v>824</v>
      </c>
      <c r="B1923" s="10"/>
      <c r="C1923" s="10"/>
    </row>
    <row r="1924" spans="1:3" ht="15.75" customHeight="1">
      <c r="A1924" s="12" t="s">
        <v>827</v>
      </c>
      <c r="B1924" s="10"/>
      <c r="C1924" s="10"/>
    </row>
    <row r="1925" spans="1:3" ht="15.75" customHeight="1">
      <c r="A1925" s="12" t="s">
        <v>835</v>
      </c>
      <c r="B1925" s="10"/>
      <c r="C1925" s="10"/>
    </row>
    <row r="1926" spans="1:3" ht="15.75" customHeight="1">
      <c r="A1926" s="12" t="s">
        <v>826</v>
      </c>
      <c r="B1926" s="10"/>
      <c r="C1926" s="10"/>
    </row>
    <row r="1927" spans="1:3" ht="15.75" customHeight="1">
      <c r="A1927" s="12" t="s">
        <v>844</v>
      </c>
      <c r="B1927" s="10"/>
      <c r="C1927" s="10"/>
    </row>
    <row r="1928" spans="1:3" ht="15.75" customHeight="1">
      <c r="A1928" s="12" t="s">
        <v>826</v>
      </c>
      <c r="B1928" s="10"/>
      <c r="C1928" s="10"/>
    </row>
    <row r="1929" spans="1:3" ht="15.75" customHeight="1">
      <c r="A1929" s="12" t="s">
        <v>836</v>
      </c>
      <c r="B1929" s="10"/>
      <c r="C1929" s="10"/>
    </row>
    <row r="1930" spans="1:3" ht="15.75" customHeight="1">
      <c r="A1930" s="12" t="s">
        <v>844</v>
      </c>
      <c r="B1930" s="10"/>
      <c r="C1930" s="10"/>
    </row>
    <row r="1931" spans="1:3" ht="15.75" customHeight="1">
      <c r="A1931" s="12" t="s">
        <v>826</v>
      </c>
      <c r="B1931" s="10"/>
      <c r="C1931" s="10"/>
    </row>
    <row r="1932" spans="1:3" ht="15.75" customHeight="1">
      <c r="A1932" s="12" t="s">
        <v>845</v>
      </c>
      <c r="B1932" s="10"/>
      <c r="C1932" s="10"/>
    </row>
    <row r="1933" spans="1:3" ht="15.75" customHeight="1">
      <c r="A1933" s="12" t="s">
        <v>826</v>
      </c>
      <c r="B1933" s="10"/>
      <c r="C1933" s="10"/>
    </row>
    <row r="1934" spans="1:3" ht="15.75" customHeight="1">
      <c r="A1934" s="12" t="s">
        <v>836</v>
      </c>
      <c r="B1934" s="10"/>
      <c r="C1934" s="10"/>
    </row>
    <row r="1935" spans="1:3" ht="15.75" customHeight="1">
      <c r="A1935" s="12" t="s">
        <v>851</v>
      </c>
      <c r="B1935" s="10"/>
      <c r="C1935" s="10"/>
    </row>
    <row r="1936" spans="1:3" ht="15.75" customHeight="1">
      <c r="A1936" s="12" t="s">
        <v>844</v>
      </c>
      <c r="B1936" s="10"/>
      <c r="C1936" s="10"/>
    </row>
    <row r="1937" spans="1:3" ht="15.75" customHeight="1">
      <c r="A1937" s="12" t="s">
        <v>830</v>
      </c>
      <c r="B1937" s="10"/>
      <c r="C1937" s="10"/>
    </row>
    <row r="1938" spans="1:3" ht="15.75" customHeight="1">
      <c r="A1938" s="12" t="s">
        <v>842</v>
      </c>
      <c r="B1938" s="10"/>
      <c r="C1938" s="10"/>
    </row>
    <row r="1939" spans="1:3" ht="15.75" customHeight="1">
      <c r="A1939" s="12" t="s">
        <v>850</v>
      </c>
      <c r="B1939" s="10"/>
      <c r="C1939" s="10"/>
    </row>
    <row r="1940" spans="1:3" ht="15.75" customHeight="1">
      <c r="A1940" s="12" t="s">
        <v>853</v>
      </c>
      <c r="B1940" s="10"/>
      <c r="C1940" s="10"/>
    </row>
    <row r="1941" spans="1:3" ht="15.75" customHeight="1">
      <c r="A1941" s="12" t="s">
        <v>837</v>
      </c>
      <c r="B1941" s="10"/>
      <c r="C1941" s="10"/>
    </row>
    <row r="1942" spans="1:3" ht="15.75" customHeight="1">
      <c r="A1942" s="12" t="s">
        <v>836</v>
      </c>
      <c r="B1942" s="10"/>
      <c r="C1942" s="10"/>
    </row>
    <row r="1943" spans="1:3" ht="15.75" customHeight="1">
      <c r="A1943" s="12" t="s">
        <v>846</v>
      </c>
      <c r="B1943" s="10"/>
      <c r="C1943" s="10"/>
    </row>
    <row r="1944" spans="1:3" ht="15.75" customHeight="1">
      <c r="A1944" s="12" t="s">
        <v>836</v>
      </c>
      <c r="B1944" s="10"/>
      <c r="C1944" s="10"/>
    </row>
    <row r="1945" spans="1:3" ht="15.75" customHeight="1">
      <c r="A1945" s="12" t="s">
        <v>818</v>
      </c>
      <c r="B1945" s="10"/>
      <c r="C1945" s="10"/>
    </row>
    <row r="1946" spans="1:3" ht="15.75" customHeight="1">
      <c r="A1946" s="12" t="s">
        <v>828</v>
      </c>
      <c r="B1946" s="10"/>
      <c r="C1946" s="10"/>
    </row>
    <row r="1947" spans="1:3" ht="15.75" customHeight="1">
      <c r="A1947" s="12" t="s">
        <v>835</v>
      </c>
      <c r="B1947" s="10"/>
      <c r="C1947" s="10"/>
    </row>
    <row r="1948" spans="1:3" ht="15.75" customHeight="1">
      <c r="A1948" s="12" t="s">
        <v>850</v>
      </c>
      <c r="B1948" s="10"/>
      <c r="C1948" s="10"/>
    </row>
    <row r="1949" spans="1:3" ht="15.75" customHeight="1">
      <c r="A1949" s="12" t="s">
        <v>839</v>
      </c>
      <c r="B1949" s="10"/>
      <c r="C1949" s="10"/>
    </row>
    <row r="1950" spans="1:3" ht="15.75" customHeight="1">
      <c r="A1950" s="12" t="s">
        <v>843</v>
      </c>
      <c r="B1950" s="10"/>
      <c r="C1950" s="10"/>
    </row>
    <row r="1951" spans="1:3" ht="15.75" customHeight="1">
      <c r="A1951" s="12" t="s">
        <v>831</v>
      </c>
      <c r="B1951" s="10"/>
      <c r="C1951" s="10"/>
    </row>
    <row r="1952" spans="1:3" ht="15.75" customHeight="1">
      <c r="A1952" s="12" t="s">
        <v>834</v>
      </c>
      <c r="B1952" s="10"/>
      <c r="C1952" s="10"/>
    </row>
    <row r="1953" spans="1:3" ht="15.75" customHeight="1">
      <c r="A1953" s="12" t="s">
        <v>839</v>
      </c>
      <c r="B1953" s="10"/>
      <c r="C1953" s="10"/>
    </row>
    <row r="1954" spans="1:3" ht="15.75" customHeight="1">
      <c r="A1954" s="12" t="s">
        <v>837</v>
      </c>
      <c r="B1954" s="10"/>
      <c r="C1954" s="10"/>
    </row>
    <row r="1955" spans="1:3" ht="15.75" customHeight="1">
      <c r="A1955" s="12" t="s">
        <v>853</v>
      </c>
      <c r="B1955" s="10"/>
      <c r="C1955" s="10"/>
    </row>
    <row r="1956" spans="1:3" ht="15.75" customHeight="1">
      <c r="A1956" s="12" t="s">
        <v>824</v>
      </c>
      <c r="B1956" s="10"/>
      <c r="C1956" s="10"/>
    </row>
    <row r="1957" spans="1:3" ht="15.75" customHeight="1">
      <c r="A1957" s="12" t="s">
        <v>829</v>
      </c>
      <c r="B1957" s="10"/>
      <c r="C1957" s="10"/>
    </row>
    <row r="1958" spans="1:3" ht="15.75" customHeight="1">
      <c r="A1958" s="12" t="s">
        <v>824</v>
      </c>
      <c r="B1958" s="10"/>
      <c r="C1958" s="10"/>
    </row>
    <row r="1959" spans="1:3" ht="15.75" customHeight="1">
      <c r="A1959" s="12" t="s">
        <v>849</v>
      </c>
      <c r="B1959" s="10"/>
      <c r="C1959" s="10"/>
    </row>
    <row r="1960" spans="1:3" ht="15.75" customHeight="1">
      <c r="A1960" s="12" t="s">
        <v>824</v>
      </c>
      <c r="B1960" s="10"/>
      <c r="C1960" s="10"/>
    </row>
    <row r="1961" spans="1:3" ht="15.75" customHeight="1">
      <c r="A1961" s="12" t="s">
        <v>838</v>
      </c>
      <c r="B1961" s="10"/>
      <c r="C1961" s="10"/>
    </row>
    <row r="1962" spans="1:3" ht="15.75" customHeight="1">
      <c r="A1962" s="12" t="s">
        <v>828</v>
      </c>
      <c r="B1962" s="10"/>
      <c r="C1962" s="10"/>
    </row>
    <row r="1963" spans="1:3" ht="15.75" customHeight="1">
      <c r="A1963" s="12" t="s">
        <v>840</v>
      </c>
      <c r="B1963" s="10"/>
      <c r="C1963" s="10"/>
    </row>
    <row r="1964" spans="1:3" ht="15.75" customHeight="1">
      <c r="A1964" s="12" t="s">
        <v>837</v>
      </c>
      <c r="B1964" s="10"/>
      <c r="C1964" s="10"/>
    </row>
    <row r="1965" spans="1:3" ht="15.75" customHeight="1">
      <c r="A1965" s="12" t="s">
        <v>851</v>
      </c>
      <c r="B1965" s="10"/>
      <c r="C1965" s="10"/>
    </row>
    <row r="1966" spans="1:3" ht="15.75" customHeight="1">
      <c r="A1966" s="12" t="s">
        <v>839</v>
      </c>
      <c r="B1966" s="10"/>
      <c r="C1966" s="10"/>
    </row>
    <row r="1967" spans="1:3" ht="15.75" customHeight="1">
      <c r="A1967" s="12" t="s">
        <v>846</v>
      </c>
      <c r="B1967" s="10"/>
      <c r="C1967" s="10"/>
    </row>
    <row r="1968" spans="1:3" ht="15.75" customHeight="1">
      <c r="A1968" s="12" t="s">
        <v>837</v>
      </c>
      <c r="B1968" s="10"/>
      <c r="C1968" s="10"/>
    </row>
    <row r="1969" spans="1:3" ht="15.75" customHeight="1">
      <c r="A1969" s="12" t="s">
        <v>844</v>
      </c>
      <c r="B1969" s="10"/>
      <c r="C1969" s="10"/>
    </row>
    <row r="1970" spans="1:3" ht="15.75" customHeight="1">
      <c r="A1970" s="12" t="s">
        <v>833</v>
      </c>
      <c r="B1970" s="10"/>
      <c r="C1970" s="10"/>
    </row>
    <row r="1971" spans="1:3" ht="15.75" customHeight="1">
      <c r="A1971" s="12" t="s">
        <v>853</v>
      </c>
      <c r="B1971" s="10"/>
      <c r="C1971" s="10"/>
    </row>
    <row r="1972" spans="1:3" ht="15.75" customHeight="1">
      <c r="A1972" s="12" t="s">
        <v>824</v>
      </c>
      <c r="B1972" s="10"/>
      <c r="C1972" s="10"/>
    </row>
    <row r="1973" spans="1:3" ht="15.75" customHeight="1">
      <c r="A1973" s="12" t="s">
        <v>843</v>
      </c>
      <c r="B1973" s="10"/>
      <c r="C1973" s="10"/>
    </row>
    <row r="1974" spans="1:3" ht="15.75" customHeight="1">
      <c r="A1974" s="12" t="s">
        <v>847</v>
      </c>
      <c r="B1974" s="10"/>
      <c r="C1974" s="10"/>
    </row>
    <row r="1975" spans="1:3" ht="15.75" customHeight="1">
      <c r="A1975" s="12" t="s">
        <v>832</v>
      </c>
      <c r="B1975" s="10"/>
      <c r="C1975" s="10"/>
    </row>
    <row r="1976" spans="1:3" ht="15.75" customHeight="1">
      <c r="A1976" s="12" t="s">
        <v>829</v>
      </c>
      <c r="B1976" s="10"/>
      <c r="C1976" s="10"/>
    </row>
    <row r="1977" spans="1:3" ht="15.75" customHeight="1">
      <c r="A1977" s="12" t="s">
        <v>824</v>
      </c>
      <c r="B1977" s="10"/>
      <c r="C1977" s="10"/>
    </row>
    <row r="1978" spans="1:3" ht="15.75" customHeight="1">
      <c r="A1978" s="12" t="s">
        <v>818</v>
      </c>
      <c r="B1978" s="10"/>
      <c r="C1978" s="10"/>
    </row>
    <row r="1979" spans="1:3" ht="15.75" customHeight="1">
      <c r="A1979" s="12" t="s">
        <v>823</v>
      </c>
      <c r="B1979" s="10"/>
      <c r="C1979" s="10"/>
    </row>
    <row r="1980" spans="1:3" ht="15.75" customHeight="1">
      <c r="A1980" s="12" t="s">
        <v>840</v>
      </c>
      <c r="B1980" s="10"/>
      <c r="C1980" s="10"/>
    </row>
    <row r="1981" spans="1:3" ht="15.75" customHeight="1">
      <c r="A1981" s="12" t="s">
        <v>846</v>
      </c>
      <c r="B1981" s="10"/>
      <c r="C1981" s="10"/>
    </row>
    <row r="1982" spans="1:3" ht="15.75" customHeight="1">
      <c r="A1982" s="12" t="s">
        <v>837</v>
      </c>
      <c r="B1982" s="10"/>
      <c r="C1982" s="10"/>
    </row>
    <row r="1983" spans="1:3" ht="15.75" customHeight="1">
      <c r="A1983" s="12" t="s">
        <v>837</v>
      </c>
      <c r="B1983" s="10"/>
      <c r="C1983" s="10"/>
    </row>
    <row r="1984" spans="1:3" ht="15.75" customHeight="1">
      <c r="A1984" s="12" t="s">
        <v>826</v>
      </c>
      <c r="B1984" s="10"/>
      <c r="C1984" s="10"/>
    </row>
    <row r="1985" spans="1:3" ht="15.75" customHeight="1">
      <c r="A1985" s="12" t="s">
        <v>834</v>
      </c>
      <c r="B1985" s="10"/>
      <c r="C1985" s="10"/>
    </row>
    <row r="1986" spans="1:3" ht="15.75" customHeight="1">
      <c r="A1986" s="12" t="s">
        <v>840</v>
      </c>
      <c r="B1986" s="10"/>
      <c r="C1986" s="10"/>
    </row>
    <row r="1987" spans="1:3" ht="15.75" customHeight="1">
      <c r="A1987" s="12" t="s">
        <v>838</v>
      </c>
      <c r="B1987" s="10"/>
      <c r="C1987" s="10"/>
    </row>
    <row r="1988" spans="1:3" ht="15.75" customHeight="1">
      <c r="A1988" s="12" t="s">
        <v>827</v>
      </c>
      <c r="B1988" s="10"/>
      <c r="C1988" s="10"/>
    </row>
    <row r="1989" spans="1:3" ht="15.75" customHeight="1">
      <c r="A1989" s="12" t="s">
        <v>825</v>
      </c>
      <c r="B1989" s="10"/>
      <c r="C1989" s="10"/>
    </row>
    <row r="1990" spans="1:3" ht="15.75" customHeight="1">
      <c r="A1990" s="12" t="s">
        <v>848</v>
      </c>
      <c r="B1990" s="10"/>
      <c r="C1990" s="10"/>
    </row>
    <row r="1991" spans="1:3" ht="15.75" customHeight="1">
      <c r="A1991" s="12" t="s">
        <v>834</v>
      </c>
      <c r="B1991" s="10"/>
      <c r="C1991" s="10"/>
    </row>
    <row r="1992" spans="1:3" ht="15.75" customHeight="1">
      <c r="A1992" s="12" t="s">
        <v>837</v>
      </c>
      <c r="B1992" s="10"/>
      <c r="C1992" s="10"/>
    </row>
    <row r="1993" spans="1:3" ht="15.75" customHeight="1">
      <c r="A1993" s="12" t="s">
        <v>836</v>
      </c>
      <c r="B1993" s="10"/>
      <c r="C1993" s="10"/>
    </row>
    <row r="1994" spans="1:3" ht="15.75" customHeight="1">
      <c r="A1994" s="12" t="s">
        <v>851</v>
      </c>
      <c r="B1994" s="10"/>
      <c r="C1994" s="10"/>
    </row>
    <row r="1995" spans="1:3" ht="15.75" customHeight="1">
      <c r="A1995" s="12" t="s">
        <v>832</v>
      </c>
      <c r="B1995" s="10"/>
      <c r="C1995" s="10"/>
    </row>
    <row r="1996" spans="1:3" ht="15.75" customHeight="1">
      <c r="A1996" s="12" t="s">
        <v>828</v>
      </c>
      <c r="B1996" s="10"/>
      <c r="C1996" s="10"/>
    </row>
    <row r="1997" spans="1:3" ht="15.75" customHeight="1">
      <c r="A1997" s="12" t="s">
        <v>826</v>
      </c>
      <c r="B1997" s="10"/>
      <c r="C1997" s="10"/>
    </row>
    <row r="1998" spans="1:3" ht="15.75" customHeight="1">
      <c r="A1998" s="12" t="s">
        <v>832</v>
      </c>
      <c r="B1998" s="10"/>
      <c r="C1998" s="10"/>
    </row>
    <row r="1999" spans="1:3" ht="15.75" customHeight="1">
      <c r="A1999" s="12" t="s">
        <v>824</v>
      </c>
      <c r="B1999" s="10"/>
      <c r="C1999" s="10"/>
    </row>
    <row r="2000" spans="1:3" ht="15.75" customHeight="1">
      <c r="A2000" s="12" t="s">
        <v>831</v>
      </c>
      <c r="B2000" s="10"/>
      <c r="C2000" s="10"/>
    </row>
    <row r="2001" spans="1:3" ht="15.75" customHeight="1">
      <c r="A2001" s="12" t="s">
        <v>831</v>
      </c>
      <c r="B2001" s="10"/>
      <c r="C2001" s="10"/>
    </row>
    <row r="2002" spans="1:3" ht="15.75" customHeight="1">
      <c r="A2002" s="12" t="s">
        <v>850</v>
      </c>
      <c r="B2002" s="10"/>
      <c r="C2002" s="10"/>
    </row>
    <row r="2003" spans="1:3" ht="15.75" customHeight="1">
      <c r="A2003" s="12" t="s">
        <v>837</v>
      </c>
      <c r="B2003" s="10"/>
      <c r="C2003" s="10"/>
    </row>
    <row r="2004" spans="1:3" ht="15.75" customHeight="1">
      <c r="A2004" s="12" t="s">
        <v>840</v>
      </c>
      <c r="B2004" s="10"/>
      <c r="C2004" s="10"/>
    </row>
    <row r="2005" spans="1:3" ht="15.75" customHeight="1">
      <c r="A2005" s="12" t="s">
        <v>849</v>
      </c>
      <c r="B2005" s="10"/>
      <c r="C2005" s="10"/>
    </row>
    <row r="2006" spans="1:3" ht="15.75" customHeight="1">
      <c r="A2006" s="12" t="s">
        <v>842</v>
      </c>
      <c r="B2006" s="10"/>
      <c r="C2006" s="10"/>
    </row>
    <row r="2007" spans="1:3" ht="15.75" customHeight="1">
      <c r="A2007" s="12" t="s">
        <v>840</v>
      </c>
      <c r="B2007" s="10"/>
      <c r="C2007" s="10"/>
    </row>
    <row r="2008" spans="1:3" ht="15.75" customHeight="1">
      <c r="A2008" s="12" t="s">
        <v>830</v>
      </c>
      <c r="B2008" s="10"/>
      <c r="C2008" s="10"/>
    </row>
    <row r="2009" spans="1:3" ht="15.75" customHeight="1">
      <c r="A2009" s="12" t="s">
        <v>844</v>
      </c>
      <c r="B2009" s="10"/>
      <c r="C2009" s="10"/>
    </row>
    <row r="2010" spans="1:3" ht="15.75" customHeight="1">
      <c r="A2010" s="12" t="s">
        <v>837</v>
      </c>
      <c r="B2010" s="10"/>
      <c r="C2010" s="10"/>
    </row>
    <row r="2011" spans="1:3" ht="15.75" customHeight="1">
      <c r="A2011" s="12" t="s">
        <v>841</v>
      </c>
      <c r="B2011" s="10"/>
      <c r="C2011" s="10"/>
    </row>
    <row r="2012" spans="1:3" ht="15.75" customHeight="1">
      <c r="A2012" s="12" t="s">
        <v>845</v>
      </c>
      <c r="B2012" s="10"/>
      <c r="C2012" s="10"/>
    </row>
    <row r="2013" spans="1:3" ht="15.75" customHeight="1">
      <c r="A2013" s="12" t="s">
        <v>842</v>
      </c>
      <c r="B2013" s="10"/>
      <c r="C2013" s="10"/>
    </row>
    <row r="2014" spans="1:3" ht="15.75" customHeight="1">
      <c r="A2014" s="12" t="s">
        <v>837</v>
      </c>
      <c r="B2014" s="10"/>
      <c r="C2014" s="10"/>
    </row>
    <row r="2015" spans="1:3" ht="15.75" customHeight="1">
      <c r="A2015" s="12" t="s">
        <v>820</v>
      </c>
      <c r="B2015" s="10"/>
      <c r="C2015" s="10"/>
    </row>
    <row r="2016" spans="1:3" ht="15.75" customHeight="1">
      <c r="A2016" s="12" t="s">
        <v>837</v>
      </c>
      <c r="B2016" s="10"/>
      <c r="C2016" s="10"/>
    </row>
    <row r="2017" spans="1:3" ht="15.75" customHeight="1">
      <c r="A2017" s="12" t="s">
        <v>825</v>
      </c>
      <c r="B2017" s="10"/>
      <c r="C2017" s="10"/>
    </row>
    <row r="2018" spans="1:3" ht="15.75" customHeight="1">
      <c r="A2018" s="12" t="s">
        <v>850</v>
      </c>
      <c r="B2018" s="10"/>
      <c r="C2018" s="10"/>
    </row>
    <row r="2019" spans="1:3" ht="15.75" customHeight="1">
      <c r="A2019" s="12" t="s">
        <v>827</v>
      </c>
      <c r="B2019" s="10"/>
      <c r="C2019" s="10"/>
    </row>
    <row r="2020" spans="1:3" ht="15.75" customHeight="1">
      <c r="A2020" s="12" t="s">
        <v>828</v>
      </c>
      <c r="B2020" s="10"/>
      <c r="C2020" s="10"/>
    </row>
    <row r="2021" spans="1:3" ht="15.75" customHeight="1">
      <c r="A2021" s="12" t="s">
        <v>835</v>
      </c>
      <c r="B2021" s="10"/>
      <c r="C2021" s="10"/>
    </row>
    <row r="2022" spans="1:3" ht="15.75" customHeight="1">
      <c r="A2022" s="12" t="s">
        <v>824</v>
      </c>
      <c r="B2022" s="10"/>
      <c r="C2022" s="10"/>
    </row>
    <row r="2023" spans="1:3" ht="15.75" customHeight="1">
      <c r="A2023" s="12" t="s">
        <v>832</v>
      </c>
      <c r="B2023" s="10"/>
      <c r="C2023" s="10"/>
    </row>
    <row r="2024" spans="1:3" ht="15.75" customHeight="1">
      <c r="A2024" s="12" t="s">
        <v>820</v>
      </c>
      <c r="B2024" s="10"/>
      <c r="C2024" s="10"/>
    </row>
    <row r="2025" spans="1:3" ht="15.75" customHeight="1">
      <c r="A2025" s="12" t="s">
        <v>832</v>
      </c>
      <c r="B2025" s="10"/>
      <c r="C2025" s="10"/>
    </row>
    <row r="2026" spans="1:3" ht="15.75" customHeight="1">
      <c r="A2026" s="12" t="s">
        <v>831</v>
      </c>
      <c r="B2026" s="10"/>
      <c r="C2026" s="10"/>
    </row>
    <row r="2027" spans="1:3" ht="15.75" customHeight="1">
      <c r="A2027" s="12" t="s">
        <v>827</v>
      </c>
      <c r="B2027" s="10"/>
      <c r="C2027" s="10"/>
    </row>
    <row r="2028" spans="1:3" ht="15.75" customHeight="1">
      <c r="A2028" s="12" t="s">
        <v>837</v>
      </c>
      <c r="B2028" s="10"/>
      <c r="C2028" s="10"/>
    </row>
    <row r="2029" spans="1:3" ht="15.75" customHeight="1">
      <c r="A2029" s="12" t="s">
        <v>837</v>
      </c>
      <c r="B2029" s="10"/>
      <c r="C2029" s="10"/>
    </row>
    <row r="2030" spans="1:3" ht="15.75" customHeight="1">
      <c r="A2030" s="12" t="s">
        <v>826</v>
      </c>
      <c r="B2030" s="10"/>
      <c r="C2030" s="10"/>
    </row>
    <row r="2031" spans="1:3" ht="15.75" customHeight="1">
      <c r="A2031" s="12" t="s">
        <v>837</v>
      </c>
      <c r="B2031" s="10"/>
      <c r="C2031" s="10"/>
    </row>
    <row r="2032" spans="1:3" ht="15.75" customHeight="1">
      <c r="A2032" s="12" t="s">
        <v>818</v>
      </c>
      <c r="B2032" s="10"/>
      <c r="C2032" s="10"/>
    </row>
    <row r="2033" spans="1:3" ht="15.75" customHeight="1">
      <c r="A2033" s="12" t="s">
        <v>823</v>
      </c>
      <c r="B2033" s="10"/>
      <c r="C2033" s="10"/>
    </row>
    <row r="2034" spans="1:3" ht="15.75" customHeight="1">
      <c r="A2034" s="12" t="s">
        <v>832</v>
      </c>
      <c r="B2034" s="10"/>
      <c r="C2034" s="10"/>
    </row>
    <row r="2035" spans="1:3" ht="15.75" customHeight="1">
      <c r="A2035" s="12" t="s">
        <v>838</v>
      </c>
      <c r="B2035" s="10"/>
      <c r="C2035" s="10"/>
    </row>
    <row r="2036" spans="1:3" ht="15.75" customHeight="1">
      <c r="A2036" s="12" t="s">
        <v>834</v>
      </c>
      <c r="B2036" s="10"/>
      <c r="C2036" s="10"/>
    </row>
    <row r="2037" spans="1:3" ht="15.75" customHeight="1">
      <c r="A2037" s="12" t="s">
        <v>825</v>
      </c>
      <c r="B2037" s="10"/>
      <c r="C2037" s="10"/>
    </row>
    <row r="2038" spans="1:3" ht="15.75" customHeight="1">
      <c r="A2038" s="12" t="s">
        <v>824</v>
      </c>
      <c r="B2038" s="10"/>
      <c r="C2038" s="10"/>
    </row>
    <row r="2039" spans="1:3" ht="15.75" customHeight="1">
      <c r="A2039" s="12" t="s">
        <v>837</v>
      </c>
      <c r="B2039" s="10"/>
      <c r="C2039" s="10"/>
    </row>
    <row r="2040" spans="1:3" ht="15.75" customHeight="1">
      <c r="A2040" s="12" t="s">
        <v>825</v>
      </c>
      <c r="B2040" s="10"/>
      <c r="C2040" s="10"/>
    </row>
    <row r="2041" spans="1:3" ht="15.75" customHeight="1">
      <c r="A2041" s="12" t="s">
        <v>823</v>
      </c>
      <c r="B2041" s="10"/>
      <c r="C2041" s="10"/>
    </row>
    <row r="2042" spans="1:3" ht="15.75" customHeight="1">
      <c r="A2042" s="12" t="s">
        <v>818</v>
      </c>
      <c r="B2042" s="10"/>
      <c r="C2042" s="10"/>
    </row>
    <row r="2043" spans="1:3" ht="15.75" customHeight="1">
      <c r="A2043" s="12" t="s">
        <v>837</v>
      </c>
      <c r="B2043" s="10"/>
      <c r="C2043" s="10"/>
    </row>
    <row r="2044" spans="1:3" ht="15.75" customHeight="1">
      <c r="A2044" s="12" t="s">
        <v>826</v>
      </c>
      <c r="B2044" s="10"/>
      <c r="C2044" s="10"/>
    </row>
    <row r="2045" spans="1:3" ht="15.75" customHeight="1">
      <c r="A2045" s="12" t="s">
        <v>834</v>
      </c>
      <c r="B2045" s="10"/>
      <c r="C2045" s="10"/>
    </row>
    <row r="2046" spans="1:3" ht="15.75" customHeight="1">
      <c r="A2046" s="12" t="s">
        <v>823</v>
      </c>
      <c r="B2046" s="10"/>
      <c r="C2046" s="10"/>
    </row>
    <row r="2047" spans="1:3" ht="15.75" customHeight="1">
      <c r="A2047" s="12" t="s">
        <v>826</v>
      </c>
      <c r="B2047" s="10"/>
      <c r="C2047" s="10"/>
    </row>
    <row r="2048" spans="1:3" ht="15.75" customHeight="1">
      <c r="A2048" s="12" t="s">
        <v>844</v>
      </c>
      <c r="B2048" s="10"/>
      <c r="C2048" s="10"/>
    </row>
    <row r="2049" spans="1:3" ht="15.75" customHeight="1">
      <c r="A2049" s="12" t="s">
        <v>824</v>
      </c>
      <c r="B2049" s="10"/>
      <c r="C2049" s="10"/>
    </row>
    <row r="2050" spans="1:3" ht="15.75" customHeight="1">
      <c r="A2050" s="12" t="s">
        <v>841</v>
      </c>
      <c r="B2050" s="10"/>
      <c r="C2050" s="10"/>
    </row>
    <row r="2051" spans="1:3" ht="15.75" customHeight="1">
      <c r="A2051" s="12" t="s">
        <v>826</v>
      </c>
      <c r="B2051" s="10"/>
      <c r="C2051" s="10"/>
    </row>
    <row r="2052" spans="1:3" ht="15.75" customHeight="1">
      <c r="A2052" s="12" t="s">
        <v>832</v>
      </c>
      <c r="B2052" s="10"/>
      <c r="C2052" s="10"/>
    </row>
    <row r="2053" spans="1:3" ht="15.75" customHeight="1">
      <c r="A2053" s="12" t="s">
        <v>821</v>
      </c>
      <c r="B2053" s="10"/>
      <c r="C2053" s="10"/>
    </row>
    <row r="2054" spans="1:3" ht="15.75" customHeight="1">
      <c r="A2054" s="12" t="s">
        <v>852</v>
      </c>
      <c r="B2054" s="10"/>
      <c r="C2054" s="10"/>
    </row>
    <row r="2055" spans="1:3" ht="15.75" customHeight="1">
      <c r="A2055" s="12" t="s">
        <v>830</v>
      </c>
      <c r="B2055" s="10"/>
      <c r="C2055" s="10"/>
    </row>
    <row r="2056" spans="1:3" ht="15.75" customHeight="1">
      <c r="A2056" s="12" t="s">
        <v>837</v>
      </c>
      <c r="B2056" s="10"/>
      <c r="C2056" s="10"/>
    </row>
    <row r="2057" spans="1:3" ht="15.75" customHeight="1">
      <c r="A2057" s="12" t="s">
        <v>837</v>
      </c>
      <c r="B2057" s="10"/>
      <c r="C2057" s="10"/>
    </row>
    <row r="2058" spans="1:3" ht="15.75" customHeight="1">
      <c r="A2058" s="12" t="s">
        <v>843</v>
      </c>
      <c r="B2058" s="10"/>
      <c r="C2058" s="10"/>
    </row>
    <row r="2059" spans="1:3" ht="15.75" customHeight="1">
      <c r="A2059" s="12" t="s">
        <v>837</v>
      </c>
      <c r="B2059" s="10"/>
      <c r="C2059" s="10"/>
    </row>
    <row r="2060" spans="1:3" ht="15.75" customHeight="1">
      <c r="A2060" s="12" t="s">
        <v>834</v>
      </c>
      <c r="B2060" s="10"/>
      <c r="C2060" s="10"/>
    </row>
    <row r="2061" spans="1:3" ht="15.75" customHeight="1">
      <c r="A2061" s="12" t="s">
        <v>853</v>
      </c>
      <c r="B2061" s="10"/>
      <c r="C2061" s="10"/>
    </row>
    <row r="2062" spans="1:3" ht="15.75" customHeight="1">
      <c r="A2062" s="12" t="s">
        <v>822</v>
      </c>
      <c r="B2062" s="10"/>
      <c r="C2062" s="10"/>
    </row>
    <row r="2063" spans="1:3" ht="15.75" customHeight="1">
      <c r="A2063" s="12" t="s">
        <v>835</v>
      </c>
      <c r="B2063" s="10"/>
      <c r="C2063" s="10"/>
    </row>
    <row r="2064" spans="1:3" ht="15.75" customHeight="1">
      <c r="A2064" s="12" t="s">
        <v>832</v>
      </c>
      <c r="B2064" s="10"/>
      <c r="C2064" s="10"/>
    </row>
    <row r="2065" spans="1:3" ht="15.75" customHeight="1">
      <c r="A2065" s="12" t="s">
        <v>848</v>
      </c>
      <c r="B2065" s="10"/>
      <c r="C2065" s="10"/>
    </row>
    <row r="2066" spans="1:3" ht="15.75" customHeight="1">
      <c r="A2066" s="12" t="s">
        <v>837</v>
      </c>
      <c r="B2066" s="10"/>
      <c r="C2066" s="10"/>
    </row>
    <row r="2067" spans="1:3" ht="15.75" customHeight="1">
      <c r="A2067" s="12" t="s">
        <v>826</v>
      </c>
      <c r="B2067" s="10"/>
      <c r="C2067" s="10"/>
    </row>
    <row r="2068" spans="1:3" ht="15.75" customHeight="1">
      <c r="A2068" s="12" t="s">
        <v>837</v>
      </c>
      <c r="B2068" s="10"/>
      <c r="C2068" s="10"/>
    </row>
    <row r="2069" spans="1:3" ht="15.75" customHeight="1">
      <c r="A2069" s="12" t="s">
        <v>841</v>
      </c>
      <c r="B2069" s="10"/>
      <c r="C2069" s="10"/>
    </row>
    <row r="2070" spans="1:3" ht="15.75" customHeight="1">
      <c r="A2070" s="12" t="s">
        <v>837</v>
      </c>
      <c r="B2070" s="10"/>
      <c r="C2070" s="10"/>
    </row>
    <row r="2071" spans="1:3" ht="15.75" customHeight="1">
      <c r="A2071" s="12" t="s">
        <v>837</v>
      </c>
      <c r="B2071" s="10"/>
      <c r="C2071" s="10"/>
    </row>
    <row r="2072" spans="1:3" ht="15.75" customHeight="1">
      <c r="A2072" s="12" t="s">
        <v>825</v>
      </c>
      <c r="B2072" s="10"/>
      <c r="C2072" s="10"/>
    </row>
    <row r="2073" spans="1:3" ht="15.75" customHeight="1">
      <c r="A2073" s="12" t="s">
        <v>818</v>
      </c>
      <c r="B2073" s="10"/>
      <c r="C2073" s="10"/>
    </row>
    <row r="2074" spans="1:3" ht="15.75" customHeight="1">
      <c r="A2074" s="12" t="s">
        <v>834</v>
      </c>
      <c r="B2074" s="10"/>
      <c r="C2074" s="10"/>
    </row>
    <row r="2075" spans="1:3" ht="15.75" customHeight="1">
      <c r="A2075" s="12" t="s">
        <v>820</v>
      </c>
      <c r="B2075" s="10"/>
      <c r="C2075" s="10"/>
    </row>
    <row r="2076" spans="1:3" ht="15.75" customHeight="1">
      <c r="A2076" s="12" t="s">
        <v>827</v>
      </c>
      <c r="B2076" s="10"/>
      <c r="C2076" s="10"/>
    </row>
    <row r="2077" spans="1:3" ht="15.75" customHeight="1">
      <c r="A2077" s="12" t="s">
        <v>830</v>
      </c>
      <c r="B2077" s="10"/>
      <c r="C2077" s="10"/>
    </row>
    <row r="2078" spans="1:3" ht="15.75" customHeight="1">
      <c r="A2078" s="12" t="s">
        <v>853</v>
      </c>
      <c r="B2078" s="10"/>
      <c r="C2078" s="10"/>
    </row>
    <row r="2079" spans="1:3" ht="15.75" customHeight="1">
      <c r="A2079" s="12" t="s">
        <v>852</v>
      </c>
      <c r="B2079" s="10"/>
      <c r="C2079" s="10"/>
    </row>
    <row r="2080" spans="1:3" ht="15.75" customHeight="1">
      <c r="A2080" s="12" t="s">
        <v>837</v>
      </c>
      <c r="B2080" s="10"/>
      <c r="C2080" s="10"/>
    </row>
    <row r="2081" spans="1:3" ht="15.75" customHeight="1">
      <c r="A2081" s="12" t="s">
        <v>832</v>
      </c>
      <c r="B2081" s="10"/>
      <c r="C2081" s="10"/>
    </row>
    <row r="2082" spans="1:3" ht="15.75" customHeight="1">
      <c r="A2082" s="12" t="s">
        <v>847</v>
      </c>
      <c r="B2082" s="10"/>
      <c r="C2082" s="10"/>
    </row>
    <row r="2083" spans="1:3" ht="15.75" customHeight="1">
      <c r="A2083" s="12" t="s">
        <v>824</v>
      </c>
      <c r="B2083" s="10"/>
      <c r="C2083" s="10"/>
    </row>
    <row r="2084" spans="1:3" ht="15.75" customHeight="1">
      <c r="A2084" s="12" t="s">
        <v>823</v>
      </c>
      <c r="B2084" s="10"/>
      <c r="C2084" s="10"/>
    </row>
    <row r="2085" spans="1:3" ht="15.75" customHeight="1">
      <c r="A2085" s="12" t="s">
        <v>836</v>
      </c>
      <c r="B2085" s="10"/>
      <c r="C2085" s="10"/>
    </row>
    <row r="2086" spans="1:3" ht="15.75" customHeight="1">
      <c r="A2086" s="12" t="s">
        <v>848</v>
      </c>
      <c r="B2086" s="10"/>
      <c r="C2086" s="10"/>
    </row>
    <row r="2087" spans="1:3" ht="15.75" customHeight="1">
      <c r="A2087" s="12" t="s">
        <v>830</v>
      </c>
      <c r="B2087" s="10"/>
      <c r="C2087" s="10"/>
    </row>
    <row r="2088" spans="1:3" ht="15.75" customHeight="1">
      <c r="A2088" s="12" t="s">
        <v>836</v>
      </c>
      <c r="B2088" s="10"/>
      <c r="C2088" s="10"/>
    </row>
    <row r="2089" spans="1:3" ht="15.75" customHeight="1">
      <c r="A2089" s="12" t="s">
        <v>830</v>
      </c>
      <c r="B2089" s="10"/>
      <c r="C2089" s="10"/>
    </row>
    <row r="2090" spans="1:3" ht="15.75" customHeight="1">
      <c r="A2090" s="12" t="s">
        <v>840</v>
      </c>
      <c r="B2090" s="10"/>
      <c r="C2090" s="10"/>
    </row>
    <row r="2091" spans="1:3" ht="15.75" customHeight="1">
      <c r="A2091" s="12" t="s">
        <v>829</v>
      </c>
      <c r="B2091" s="10"/>
      <c r="C2091" s="10"/>
    </row>
    <row r="2092" spans="1:3" ht="15.75" customHeight="1">
      <c r="A2092" s="12" t="s">
        <v>823</v>
      </c>
      <c r="B2092" s="10"/>
      <c r="C2092" s="10"/>
    </row>
    <row r="2093" spans="1:3" ht="15.75" customHeight="1">
      <c r="A2093" s="12" t="s">
        <v>836</v>
      </c>
      <c r="B2093" s="10"/>
      <c r="C2093" s="10"/>
    </row>
    <row r="2094" spans="1:3" ht="15.75" customHeight="1">
      <c r="A2094" s="12" t="s">
        <v>837</v>
      </c>
      <c r="B2094" s="10"/>
      <c r="C2094" s="10"/>
    </row>
    <row r="2095" spans="1:3" ht="15.75" customHeight="1">
      <c r="A2095" s="12" t="s">
        <v>847</v>
      </c>
      <c r="B2095" s="10"/>
      <c r="C2095" s="10"/>
    </row>
    <row r="2096" spans="1:3" ht="15.75" customHeight="1">
      <c r="A2096" s="12" t="s">
        <v>841</v>
      </c>
      <c r="B2096" s="10"/>
      <c r="C2096" s="10"/>
    </row>
    <row r="2097" spans="1:3" ht="15.75" customHeight="1">
      <c r="A2097" s="12" t="s">
        <v>827</v>
      </c>
      <c r="B2097" s="10"/>
      <c r="C2097" s="10"/>
    </row>
    <row r="2098" spans="1:3" ht="15.75" customHeight="1">
      <c r="A2098" s="12" t="s">
        <v>824</v>
      </c>
      <c r="B2098" s="10"/>
      <c r="C2098" s="10"/>
    </row>
    <row r="2099" spans="1:3" ht="15.75" customHeight="1">
      <c r="A2099" s="12" t="s">
        <v>822</v>
      </c>
      <c r="B2099" s="10"/>
      <c r="C2099" s="10"/>
    </row>
    <row r="2100" spans="1:3" ht="15.75" customHeight="1">
      <c r="A2100" s="12" t="s">
        <v>837</v>
      </c>
      <c r="B2100" s="10"/>
      <c r="C2100" s="10"/>
    </row>
    <row r="2101" spans="1:3" ht="15.75" customHeight="1">
      <c r="A2101" s="12" t="s">
        <v>824</v>
      </c>
      <c r="B2101" s="10"/>
      <c r="C2101" s="10"/>
    </row>
    <row r="2102" spans="1:3" ht="15.75" customHeight="1">
      <c r="A2102" s="12" t="s">
        <v>837</v>
      </c>
      <c r="B2102" s="10"/>
      <c r="C2102" s="10"/>
    </row>
    <row r="2103" spans="1:3" ht="15.75" customHeight="1">
      <c r="A2103" s="12" t="s">
        <v>837</v>
      </c>
      <c r="B2103" s="10"/>
      <c r="C2103" s="10"/>
    </row>
    <row r="2104" spans="1:3" ht="15.75" customHeight="1">
      <c r="A2104" s="12" t="s">
        <v>846</v>
      </c>
      <c r="B2104" s="10"/>
      <c r="C2104" s="10"/>
    </row>
    <row r="2105" spans="1:3" ht="15.75" customHeight="1">
      <c r="A2105" s="12" t="s">
        <v>838</v>
      </c>
      <c r="B2105" s="10"/>
      <c r="C2105" s="10"/>
    </row>
    <row r="2106" spans="1:3" ht="15.75" customHeight="1">
      <c r="A2106" s="12" t="s">
        <v>829</v>
      </c>
      <c r="B2106" s="10"/>
      <c r="C2106" s="10"/>
    </row>
    <row r="2107" spans="1:3" ht="15.75" customHeight="1">
      <c r="A2107" s="12" t="s">
        <v>834</v>
      </c>
      <c r="B2107" s="10"/>
      <c r="C2107" s="10"/>
    </row>
    <row r="2108" spans="1:3" ht="15.75" customHeight="1">
      <c r="A2108" s="12" t="s">
        <v>837</v>
      </c>
      <c r="B2108" s="10"/>
      <c r="C2108" s="10"/>
    </row>
    <row r="2109" spans="1:3" ht="15.75" customHeight="1">
      <c r="A2109" s="12" t="s">
        <v>838</v>
      </c>
      <c r="B2109" s="10"/>
      <c r="C2109" s="10"/>
    </row>
    <row r="2110" spans="1:3" ht="15.75" customHeight="1">
      <c r="A2110" s="12" t="s">
        <v>830</v>
      </c>
      <c r="B2110" s="10"/>
      <c r="C2110" s="10"/>
    </row>
    <row r="2111" spans="1:3" ht="15.75" customHeight="1">
      <c r="A2111" s="12" t="s">
        <v>827</v>
      </c>
      <c r="B2111" s="10"/>
      <c r="C2111" s="10"/>
    </row>
    <row r="2112" spans="1:3" ht="15.75" customHeight="1">
      <c r="A2112" s="12" t="s">
        <v>840</v>
      </c>
      <c r="B2112" s="10"/>
      <c r="C2112" s="10"/>
    </row>
    <row r="2113" spans="1:3" ht="15.75" customHeight="1">
      <c r="A2113" s="12" t="s">
        <v>831</v>
      </c>
      <c r="B2113" s="10"/>
      <c r="C2113" s="10"/>
    </row>
    <row r="2114" spans="1:3" ht="15.75" customHeight="1">
      <c r="A2114" s="12" t="s">
        <v>834</v>
      </c>
      <c r="B2114" s="10"/>
      <c r="C2114" s="10"/>
    </row>
    <row r="2115" spans="1:3" ht="15.75" customHeight="1">
      <c r="A2115" s="12" t="s">
        <v>830</v>
      </c>
      <c r="B2115" s="10"/>
      <c r="C2115" s="10"/>
    </row>
    <row r="2116" spans="1:3" ht="15.75" customHeight="1">
      <c r="A2116" s="12" t="s">
        <v>829</v>
      </c>
      <c r="B2116" s="10"/>
      <c r="C2116" s="10"/>
    </row>
    <row r="2117" spans="1:3" ht="15.75" customHeight="1">
      <c r="A2117" s="12" t="s">
        <v>833</v>
      </c>
      <c r="B2117" s="10"/>
      <c r="C2117" s="10"/>
    </row>
    <row r="2118" spans="1:3" ht="15.75" customHeight="1">
      <c r="A2118" s="12" t="s">
        <v>830</v>
      </c>
      <c r="B2118" s="10"/>
      <c r="C2118" s="10"/>
    </row>
    <row r="2119" spans="1:3" ht="15.75" customHeight="1">
      <c r="A2119" s="12" t="s">
        <v>847</v>
      </c>
      <c r="B2119" s="10"/>
      <c r="C2119" s="10"/>
    </row>
    <row r="2120" spans="1:3" ht="15.75" customHeight="1">
      <c r="A2120" s="12" t="s">
        <v>847</v>
      </c>
      <c r="B2120" s="10"/>
      <c r="C2120" s="10"/>
    </row>
    <row r="2121" spans="1:3" ht="15.75" customHeight="1">
      <c r="A2121" s="12" t="s">
        <v>838</v>
      </c>
      <c r="B2121" s="10"/>
      <c r="C2121" s="10"/>
    </row>
    <row r="2122" spans="1:3" ht="15.75" customHeight="1">
      <c r="A2122" s="12" t="s">
        <v>844</v>
      </c>
      <c r="B2122" s="10"/>
      <c r="C2122" s="10"/>
    </row>
    <row r="2123" spans="1:3" ht="15.75" customHeight="1">
      <c r="A2123" s="12" t="s">
        <v>832</v>
      </c>
      <c r="B2123" s="10"/>
      <c r="C2123" s="10"/>
    </row>
    <row r="2124" spans="1:3" ht="15.75" customHeight="1">
      <c r="A2124" s="12" t="s">
        <v>848</v>
      </c>
      <c r="B2124" s="10"/>
      <c r="C2124" s="10"/>
    </row>
    <row r="2125" spans="1:3" ht="15.75" customHeight="1">
      <c r="A2125" s="12" t="s">
        <v>822</v>
      </c>
      <c r="B2125" s="10"/>
      <c r="C2125" s="10"/>
    </row>
    <row r="2126" spans="1:3" ht="15.75" customHeight="1">
      <c r="A2126" s="12" t="s">
        <v>827</v>
      </c>
      <c r="B2126" s="10"/>
      <c r="C2126" s="10"/>
    </row>
    <row r="2127" spans="1:3" ht="15.75" customHeight="1">
      <c r="A2127" s="12" t="s">
        <v>822</v>
      </c>
      <c r="B2127" s="10"/>
      <c r="C2127" s="10"/>
    </row>
    <row r="2128" spans="1:3" ht="15.75" customHeight="1">
      <c r="A2128" s="12" t="s">
        <v>832</v>
      </c>
      <c r="B2128" s="10"/>
      <c r="C2128" s="10"/>
    </row>
    <row r="2129" spans="1:3" ht="15.75" customHeight="1">
      <c r="A2129" s="12" t="s">
        <v>820</v>
      </c>
      <c r="B2129" s="10"/>
      <c r="C2129" s="10"/>
    </row>
    <row r="2130" spans="1:3" ht="15.75" customHeight="1">
      <c r="A2130" s="12" t="s">
        <v>821</v>
      </c>
      <c r="B2130" s="10"/>
      <c r="C2130" s="10"/>
    </row>
    <row r="2131" spans="1:3" ht="15.75" customHeight="1">
      <c r="A2131" s="12" t="s">
        <v>824</v>
      </c>
      <c r="B2131" s="10"/>
      <c r="C2131" s="10"/>
    </row>
    <row r="2132" spans="1:3" ht="15.75" customHeight="1">
      <c r="A2132" s="12" t="s">
        <v>834</v>
      </c>
      <c r="B2132" s="10"/>
      <c r="C2132" s="10"/>
    </row>
    <row r="2133" spans="1:3" ht="15.75" customHeight="1">
      <c r="A2133" s="12" t="s">
        <v>837</v>
      </c>
      <c r="B2133" s="10"/>
      <c r="C2133" s="10"/>
    </row>
    <row r="2134" spans="1:3" ht="15.75" customHeight="1">
      <c r="A2134" s="12" t="s">
        <v>849</v>
      </c>
      <c r="B2134" s="10"/>
      <c r="C2134" s="10"/>
    </row>
    <row r="2135" spans="1:3" ht="15.75" customHeight="1">
      <c r="A2135" s="12" t="s">
        <v>818</v>
      </c>
      <c r="B2135" s="10"/>
      <c r="C2135" s="10"/>
    </row>
    <row r="2136" spans="1:3" ht="15.75" customHeight="1">
      <c r="A2136" s="12" t="s">
        <v>824</v>
      </c>
      <c r="B2136" s="10"/>
      <c r="C2136" s="10"/>
    </row>
    <row r="2137" spans="1:3" ht="15.75" customHeight="1">
      <c r="A2137" s="12" t="s">
        <v>841</v>
      </c>
      <c r="B2137" s="10"/>
      <c r="C2137" s="10"/>
    </row>
    <row r="2138" spans="1:3" ht="15.75" customHeight="1">
      <c r="A2138" s="12" t="s">
        <v>835</v>
      </c>
      <c r="B2138" s="10"/>
      <c r="C2138" s="10"/>
    </row>
    <row r="2139" spans="1:3" ht="15.75" customHeight="1">
      <c r="A2139" s="12" t="s">
        <v>823</v>
      </c>
      <c r="B2139" s="10"/>
      <c r="C2139" s="10"/>
    </row>
    <row r="2140" spans="1:3" ht="15.75" customHeight="1">
      <c r="A2140" s="12" t="s">
        <v>837</v>
      </c>
      <c r="B2140" s="10"/>
      <c r="C2140" s="10"/>
    </row>
    <row r="2141" spans="1:3" ht="15.75" customHeight="1">
      <c r="A2141" s="12" t="s">
        <v>834</v>
      </c>
      <c r="B2141" s="10"/>
      <c r="C2141" s="10"/>
    </row>
    <row r="2142" spans="1:3" ht="15.75" customHeight="1">
      <c r="A2142" s="12" t="s">
        <v>827</v>
      </c>
      <c r="B2142" s="10"/>
      <c r="C2142" s="10"/>
    </row>
    <row r="2143" spans="1:3" ht="15.75" customHeight="1">
      <c r="A2143" s="12" t="s">
        <v>835</v>
      </c>
      <c r="B2143" s="10"/>
      <c r="C2143" s="10"/>
    </row>
    <row r="2144" spans="1:3" ht="15.75" customHeight="1">
      <c r="A2144" s="12" t="s">
        <v>837</v>
      </c>
      <c r="B2144" s="10"/>
      <c r="C2144" s="10"/>
    </row>
    <row r="2145" spans="1:3" ht="15.75" customHeight="1">
      <c r="A2145" s="12" t="s">
        <v>847</v>
      </c>
      <c r="B2145" s="10"/>
      <c r="C2145" s="10"/>
    </row>
    <row r="2146" spans="1:3" ht="15.75" customHeight="1">
      <c r="A2146" s="12" t="s">
        <v>837</v>
      </c>
      <c r="B2146" s="10"/>
      <c r="C2146" s="10"/>
    </row>
    <row r="2147" spans="1:3" ht="15.75" customHeight="1">
      <c r="A2147" s="12" t="s">
        <v>831</v>
      </c>
      <c r="B2147" s="10"/>
      <c r="C2147" s="10"/>
    </row>
    <row r="2148" spans="1:3" ht="15.75" customHeight="1">
      <c r="A2148" s="12" t="s">
        <v>832</v>
      </c>
      <c r="B2148" s="10"/>
      <c r="C2148" s="10"/>
    </row>
    <row r="2149" spans="1:3" ht="15.75" customHeight="1">
      <c r="A2149" s="12" t="s">
        <v>820</v>
      </c>
      <c r="B2149" s="10"/>
      <c r="C2149" s="10"/>
    </row>
    <row r="2150" spans="1:3" ht="15.75" customHeight="1">
      <c r="A2150" s="12" t="s">
        <v>837</v>
      </c>
      <c r="B2150" s="10"/>
      <c r="C2150" s="10"/>
    </row>
    <row r="2151" spans="1:3" ht="15.75" customHeight="1">
      <c r="A2151" s="12" t="s">
        <v>824</v>
      </c>
      <c r="B2151" s="10"/>
      <c r="C2151" s="10"/>
    </row>
    <row r="2152" spans="1:3" ht="15.75" customHeight="1">
      <c r="A2152" s="12" t="s">
        <v>846</v>
      </c>
      <c r="B2152" s="10"/>
      <c r="C2152" s="10"/>
    </row>
    <row r="2153" spans="1:3" ht="15.75" customHeight="1">
      <c r="A2153" s="12" t="s">
        <v>818</v>
      </c>
      <c r="B2153" s="10"/>
      <c r="C2153" s="10"/>
    </row>
    <row r="2154" spans="1:3" ht="15.75" customHeight="1">
      <c r="A2154" s="12" t="s">
        <v>844</v>
      </c>
      <c r="B2154" s="10"/>
      <c r="C2154" s="10"/>
    </row>
    <row r="2155" spans="1:3" ht="15.75" customHeight="1">
      <c r="A2155" s="12" t="s">
        <v>831</v>
      </c>
      <c r="B2155" s="10"/>
      <c r="C2155" s="10"/>
    </row>
    <row r="2156" spans="1:3" ht="15.75" customHeight="1">
      <c r="A2156" s="12" t="s">
        <v>837</v>
      </c>
      <c r="B2156" s="10"/>
      <c r="C2156" s="10"/>
    </row>
    <row r="2157" spans="1:3" ht="15.75" customHeight="1">
      <c r="A2157" s="12" t="s">
        <v>825</v>
      </c>
      <c r="B2157" s="10"/>
      <c r="C2157" s="10"/>
    </row>
    <row r="2158" spans="1:3" ht="15.75" customHeight="1">
      <c r="A2158" s="12" t="s">
        <v>827</v>
      </c>
      <c r="B2158" s="10"/>
      <c r="C2158" s="10"/>
    </row>
    <row r="2159" spans="1:3" ht="15.75" customHeight="1">
      <c r="A2159" s="12" t="s">
        <v>838</v>
      </c>
      <c r="B2159" s="10"/>
      <c r="C2159" s="10"/>
    </row>
    <row r="2160" spans="1:3" ht="15.75" customHeight="1">
      <c r="A2160" s="12" t="s">
        <v>835</v>
      </c>
      <c r="B2160" s="10"/>
      <c r="C2160" s="10"/>
    </row>
    <row r="2161" spans="1:3" ht="15.75" customHeight="1">
      <c r="A2161" s="12" t="s">
        <v>832</v>
      </c>
      <c r="B2161" s="10"/>
      <c r="C2161" s="10"/>
    </row>
    <row r="2162" spans="1:3" ht="15.75" customHeight="1">
      <c r="A2162" s="12" t="s">
        <v>853</v>
      </c>
      <c r="B2162" s="10"/>
      <c r="C2162" s="10"/>
    </row>
    <row r="2163" spans="1:3" ht="15.75" customHeight="1">
      <c r="A2163" s="12" t="s">
        <v>821</v>
      </c>
      <c r="B2163" s="10"/>
      <c r="C2163" s="10"/>
    </row>
    <row r="2164" spans="1:3" ht="15.75" customHeight="1">
      <c r="A2164" s="12" t="s">
        <v>837</v>
      </c>
      <c r="B2164" s="10"/>
      <c r="C2164" s="10"/>
    </row>
    <row r="2165" spans="1:3" ht="15.75" customHeight="1">
      <c r="A2165" s="12" t="s">
        <v>837</v>
      </c>
      <c r="B2165" s="10"/>
      <c r="C2165" s="10"/>
    </row>
    <row r="2166" spans="1:3" ht="15.75" customHeight="1">
      <c r="A2166" s="12" t="s">
        <v>834</v>
      </c>
      <c r="B2166" s="10"/>
      <c r="C2166" s="10"/>
    </row>
    <row r="2167" spans="1:3" ht="15.75" customHeight="1">
      <c r="A2167" s="12" t="s">
        <v>824</v>
      </c>
      <c r="B2167" s="10"/>
      <c r="C2167" s="10"/>
    </row>
    <row r="2168" spans="1:3" ht="15.75" customHeight="1">
      <c r="A2168" s="12" t="s">
        <v>832</v>
      </c>
      <c r="B2168" s="10"/>
      <c r="C2168" s="10"/>
    </row>
    <row r="2169" spans="1:3" ht="15.75" customHeight="1">
      <c r="A2169" s="12" t="s">
        <v>842</v>
      </c>
      <c r="B2169" s="10"/>
      <c r="C2169" s="10"/>
    </row>
    <row r="2170" spans="1:3" ht="15.75" customHeight="1">
      <c r="A2170" s="12" t="s">
        <v>844</v>
      </c>
      <c r="B2170" s="10"/>
      <c r="C2170" s="10"/>
    </row>
    <row r="2171" spans="1:3" ht="15.75" customHeight="1">
      <c r="A2171" s="12" t="s">
        <v>836</v>
      </c>
      <c r="B2171" s="10"/>
      <c r="C2171" s="10"/>
    </row>
    <row r="2172" spans="1:3" ht="15.75" customHeight="1">
      <c r="A2172" s="12" t="s">
        <v>827</v>
      </c>
      <c r="B2172" s="10"/>
      <c r="C2172" s="10"/>
    </row>
    <row r="2173" spans="1:3" ht="15.75" customHeight="1">
      <c r="A2173" s="12" t="s">
        <v>837</v>
      </c>
      <c r="B2173" s="10"/>
      <c r="C2173" s="10"/>
    </row>
    <row r="2174" spans="1:3" ht="15.75" customHeight="1">
      <c r="A2174" s="12" t="s">
        <v>852</v>
      </c>
      <c r="B2174" s="10"/>
      <c r="C2174" s="10"/>
    </row>
    <row r="2175" spans="1:3" ht="15.75" customHeight="1">
      <c r="A2175" s="12" t="s">
        <v>820</v>
      </c>
      <c r="B2175" s="10"/>
      <c r="C2175" s="10"/>
    </row>
    <row r="2176" spans="1:3" ht="15.75" customHeight="1">
      <c r="A2176" s="12" t="s">
        <v>835</v>
      </c>
      <c r="B2176" s="10"/>
      <c r="C2176" s="10"/>
    </row>
    <row r="2177" spans="1:3" ht="15.75" customHeight="1">
      <c r="A2177" s="12" t="s">
        <v>830</v>
      </c>
      <c r="B2177" s="10"/>
      <c r="C2177" s="10"/>
    </row>
    <row r="2178" spans="1:3" ht="15.75" customHeight="1">
      <c r="A2178" s="12" t="s">
        <v>837</v>
      </c>
      <c r="B2178" s="10"/>
      <c r="C2178" s="10"/>
    </row>
    <row r="2179" spans="1:3" ht="15.75" customHeight="1">
      <c r="A2179" s="12" t="s">
        <v>852</v>
      </c>
      <c r="B2179" s="10"/>
      <c r="C2179" s="10"/>
    </row>
    <row r="2180" spans="1:3" ht="15.75" customHeight="1">
      <c r="A2180" s="12" t="s">
        <v>829</v>
      </c>
      <c r="B2180" s="10"/>
      <c r="C2180" s="10"/>
    </row>
    <row r="2181" spans="1:3" ht="15.75" customHeight="1">
      <c r="A2181" s="12" t="s">
        <v>820</v>
      </c>
      <c r="B2181" s="10"/>
      <c r="C2181" s="10"/>
    </row>
    <row r="2182" spans="1:3" ht="15.75" customHeight="1">
      <c r="A2182" s="12" t="s">
        <v>837</v>
      </c>
      <c r="B2182" s="10"/>
      <c r="C2182" s="10"/>
    </row>
    <row r="2183" spans="1:3" ht="15.75" customHeight="1">
      <c r="A2183" s="12" t="s">
        <v>850</v>
      </c>
      <c r="B2183" s="10"/>
      <c r="C2183" s="10"/>
    </row>
    <row r="2184" spans="1:3" ht="15.75" customHeight="1">
      <c r="A2184" s="12" t="s">
        <v>847</v>
      </c>
      <c r="B2184" s="10"/>
      <c r="C2184" s="10"/>
    </row>
    <row r="2185" spans="1:3" ht="15.75" customHeight="1">
      <c r="A2185" s="12" t="s">
        <v>851</v>
      </c>
      <c r="B2185" s="10"/>
      <c r="C2185" s="10"/>
    </row>
    <row r="2186" spans="1:3" ht="15.75" customHeight="1">
      <c r="A2186" s="12" t="s">
        <v>825</v>
      </c>
      <c r="B2186" s="10"/>
      <c r="C2186" s="10"/>
    </row>
    <row r="2187" spans="1:3" ht="15.75" customHeight="1">
      <c r="A2187" s="12" t="s">
        <v>826</v>
      </c>
      <c r="B2187" s="10"/>
      <c r="C2187" s="10"/>
    </row>
    <row r="2188" spans="1:3" ht="15.75" customHeight="1">
      <c r="A2188" s="12" t="s">
        <v>828</v>
      </c>
      <c r="B2188" s="10"/>
      <c r="C2188" s="10"/>
    </row>
    <row r="2189" spans="1:3" ht="15.75" customHeight="1">
      <c r="A2189" s="12" t="s">
        <v>846</v>
      </c>
      <c r="B2189" s="10"/>
      <c r="C2189" s="10"/>
    </row>
    <row r="2190" spans="1:3" ht="15.75" customHeight="1">
      <c r="A2190" s="12" t="s">
        <v>830</v>
      </c>
      <c r="B2190" s="10"/>
      <c r="C2190" s="10"/>
    </row>
    <row r="2191" spans="1:3" ht="15.75" customHeight="1">
      <c r="A2191" s="12" t="s">
        <v>825</v>
      </c>
      <c r="B2191" s="10"/>
      <c r="C2191" s="10"/>
    </row>
    <row r="2192" spans="1:3" ht="15.75" customHeight="1">
      <c r="A2192" s="12" t="s">
        <v>826</v>
      </c>
      <c r="B2192" s="10"/>
      <c r="C2192" s="10"/>
    </row>
    <row r="2193" spans="1:3" ht="15.75" customHeight="1">
      <c r="A2193" s="12" t="s">
        <v>847</v>
      </c>
      <c r="B2193" s="10"/>
      <c r="C2193" s="10"/>
    </row>
    <row r="2194" spans="1:3" ht="15.75" customHeight="1">
      <c r="A2194" s="12" t="s">
        <v>837</v>
      </c>
      <c r="B2194" s="10"/>
      <c r="C2194" s="10"/>
    </row>
    <row r="2195" spans="1:3" ht="15.75" customHeight="1">
      <c r="A2195" s="12" t="s">
        <v>842</v>
      </c>
      <c r="B2195" s="10"/>
      <c r="C2195" s="10"/>
    </row>
    <row r="2196" spans="1:3" ht="15.75" customHeight="1">
      <c r="A2196" s="12" t="s">
        <v>825</v>
      </c>
      <c r="B2196" s="10"/>
      <c r="C2196" s="10"/>
    </row>
    <row r="2197" spans="1:3" ht="15.75" customHeight="1">
      <c r="A2197" s="12" t="s">
        <v>831</v>
      </c>
      <c r="B2197" s="10"/>
      <c r="C2197" s="10"/>
    </row>
    <row r="2198" spans="1:3" ht="15.75" customHeight="1">
      <c r="A2198" s="12" t="s">
        <v>851</v>
      </c>
      <c r="B2198" s="10"/>
      <c r="C2198" s="10"/>
    </row>
    <row r="2199" spans="1:3" ht="15.75" customHeight="1">
      <c r="A2199" s="12" t="s">
        <v>824</v>
      </c>
      <c r="B2199" s="10"/>
      <c r="C2199" s="10"/>
    </row>
    <row r="2200" spans="1:3" ht="15.75" customHeight="1">
      <c r="A2200" s="12" t="s">
        <v>833</v>
      </c>
      <c r="B2200" s="10"/>
      <c r="C2200" s="10"/>
    </row>
    <row r="2201" spans="1:3" ht="15.75" customHeight="1">
      <c r="A2201" s="12" t="s">
        <v>834</v>
      </c>
      <c r="B2201" s="10"/>
      <c r="C2201" s="10"/>
    </row>
    <row r="2202" spans="1:3" ht="15.75" customHeight="1">
      <c r="A2202" s="12" t="s">
        <v>837</v>
      </c>
      <c r="B2202" s="10"/>
      <c r="C2202" s="10"/>
    </row>
    <row r="2203" spans="1:3" ht="15.75" customHeight="1">
      <c r="A2203" s="12" t="s">
        <v>843</v>
      </c>
      <c r="B2203" s="10"/>
      <c r="C2203" s="10"/>
    </row>
    <row r="2204" spans="1:3" ht="15.75" customHeight="1">
      <c r="A2204" s="12" t="s">
        <v>818</v>
      </c>
      <c r="B2204" s="10"/>
      <c r="C2204" s="10"/>
    </row>
    <row r="2205" spans="1:3" ht="15.75" customHeight="1">
      <c r="A2205" s="12" t="s">
        <v>839</v>
      </c>
      <c r="B2205" s="10"/>
      <c r="C2205" s="10"/>
    </row>
    <row r="2206" spans="1:3" ht="15.75" customHeight="1">
      <c r="A2206" s="12" t="s">
        <v>852</v>
      </c>
      <c r="B2206" s="10"/>
      <c r="C2206" s="10"/>
    </row>
    <row r="2207" spans="1:3" ht="15.75" customHeight="1">
      <c r="A2207" s="12" t="s">
        <v>821</v>
      </c>
      <c r="B2207" s="10"/>
      <c r="C2207" s="10"/>
    </row>
    <row r="2208" spans="1:3" ht="15.75" customHeight="1">
      <c r="A2208" s="12" t="s">
        <v>853</v>
      </c>
      <c r="B2208" s="10"/>
      <c r="C2208" s="10"/>
    </row>
    <row r="2209" spans="1:3" ht="15.75" customHeight="1">
      <c r="A2209" s="12" t="s">
        <v>824</v>
      </c>
      <c r="B2209" s="10"/>
      <c r="C2209" s="10"/>
    </row>
    <row r="2210" spans="1:3" ht="15.75" customHeight="1">
      <c r="A2210" s="12" t="s">
        <v>845</v>
      </c>
      <c r="B2210" s="10"/>
      <c r="C2210" s="10"/>
    </row>
    <row r="2211" spans="1:3" ht="15.75" customHeight="1">
      <c r="A2211" s="12" t="s">
        <v>837</v>
      </c>
      <c r="B2211" s="10"/>
      <c r="C2211" s="10"/>
    </row>
    <row r="2212" spans="1:3" ht="15.75" customHeight="1">
      <c r="A2212" s="12" t="s">
        <v>837</v>
      </c>
      <c r="B2212" s="10"/>
      <c r="C2212" s="10"/>
    </row>
    <row r="2213" spans="1:3" ht="15.75" customHeight="1">
      <c r="A2213" s="12" t="s">
        <v>832</v>
      </c>
      <c r="B2213" s="10"/>
      <c r="C2213" s="10"/>
    </row>
    <row r="2214" spans="1:3" ht="15.75" customHeight="1">
      <c r="A2214" s="12" t="s">
        <v>834</v>
      </c>
      <c r="B2214" s="10"/>
      <c r="C2214" s="10"/>
    </row>
    <row r="2215" spans="1:3" ht="15.75" customHeight="1">
      <c r="A2215" s="12" t="s">
        <v>825</v>
      </c>
      <c r="B2215" s="10"/>
      <c r="C2215" s="10"/>
    </row>
    <row r="2216" spans="1:3" ht="15.75" customHeight="1">
      <c r="A2216" s="12" t="s">
        <v>838</v>
      </c>
      <c r="B2216" s="10"/>
      <c r="C2216" s="10"/>
    </row>
    <row r="2217" spans="1:3" ht="15.75" customHeight="1">
      <c r="A2217" s="12" t="s">
        <v>827</v>
      </c>
      <c r="B2217" s="10"/>
      <c r="C2217" s="10"/>
    </row>
    <row r="2218" spans="1:3" ht="15.75" customHeight="1">
      <c r="A2218" s="12" t="s">
        <v>820</v>
      </c>
      <c r="B2218" s="10"/>
      <c r="C2218" s="10"/>
    </row>
    <row r="2219" spans="1:3" ht="15.75" customHeight="1">
      <c r="A2219" s="12" t="s">
        <v>837</v>
      </c>
      <c r="B2219" s="10"/>
      <c r="C2219" s="10"/>
    </row>
    <row r="2220" spans="1:3" ht="15.75" customHeight="1">
      <c r="A2220" s="12" t="s">
        <v>824</v>
      </c>
      <c r="B2220" s="10"/>
      <c r="C2220" s="10"/>
    </row>
    <row r="2221" spans="1:3" ht="15.75" customHeight="1">
      <c r="A2221" s="12" t="s">
        <v>845</v>
      </c>
      <c r="B2221" s="10"/>
      <c r="C2221" s="10"/>
    </row>
    <row r="2222" spans="1:3" ht="15.75" customHeight="1">
      <c r="A2222" s="12" t="s">
        <v>845</v>
      </c>
      <c r="B2222" s="10"/>
      <c r="C2222" s="10"/>
    </row>
    <row r="2223" spans="1:3" ht="15.75" customHeight="1">
      <c r="A2223" s="12" t="s">
        <v>830</v>
      </c>
      <c r="B2223" s="10"/>
      <c r="C2223" s="10"/>
    </row>
    <row r="2224" spans="1:3" ht="15.75" customHeight="1">
      <c r="A2224" s="12" t="s">
        <v>830</v>
      </c>
      <c r="B2224" s="10"/>
      <c r="C2224" s="10"/>
    </row>
    <row r="2225" spans="1:3" ht="15.75" customHeight="1">
      <c r="A2225" s="12" t="s">
        <v>830</v>
      </c>
      <c r="B2225" s="10"/>
      <c r="C2225" s="10"/>
    </row>
    <row r="2226" spans="1:3" ht="15.75" customHeight="1">
      <c r="A2226" s="12" t="s">
        <v>844</v>
      </c>
      <c r="B2226" s="10"/>
      <c r="C2226" s="10"/>
    </row>
    <row r="2227" spans="1:3" ht="15.75" customHeight="1">
      <c r="A2227" s="12" t="s">
        <v>837</v>
      </c>
      <c r="B2227" s="10"/>
      <c r="C2227" s="10"/>
    </row>
    <row r="2228" spans="1:3" ht="15.75" customHeight="1">
      <c r="A2228" s="12" t="s">
        <v>822</v>
      </c>
      <c r="B2228" s="10"/>
      <c r="C2228" s="10"/>
    </row>
    <row r="2229" spans="1:3" ht="15.75" customHeight="1">
      <c r="A2229" s="12" t="s">
        <v>839</v>
      </c>
      <c r="B2229" s="10"/>
      <c r="C2229" s="10"/>
    </row>
    <row r="2230" spans="1:3" ht="15.75" customHeight="1">
      <c r="A2230" s="12" t="s">
        <v>826</v>
      </c>
      <c r="B2230" s="10"/>
      <c r="C2230" s="10"/>
    </row>
    <row r="2231" spans="1:3" ht="15.75" customHeight="1">
      <c r="A2231" s="12" t="s">
        <v>837</v>
      </c>
      <c r="B2231" s="10"/>
      <c r="C2231" s="10"/>
    </row>
    <row r="2232" spans="1:3" ht="15.75" customHeight="1">
      <c r="A2232" s="12" t="s">
        <v>845</v>
      </c>
      <c r="B2232" s="10"/>
      <c r="C2232" s="10"/>
    </row>
    <row r="2233" spans="1:3" ht="15.75" customHeight="1">
      <c r="A2233" s="12" t="s">
        <v>837</v>
      </c>
      <c r="B2233" s="10"/>
      <c r="C2233" s="10"/>
    </row>
    <row r="2234" spans="1:3" ht="15.75" customHeight="1">
      <c r="A2234" s="12" t="s">
        <v>840</v>
      </c>
      <c r="B2234" s="10"/>
      <c r="C2234" s="10"/>
    </row>
    <row r="2235" spans="1:3" ht="15.75" customHeight="1">
      <c r="A2235" s="12" t="s">
        <v>845</v>
      </c>
      <c r="B2235" s="10"/>
      <c r="C2235" s="10"/>
    </row>
    <row r="2236" spans="1:3" ht="15.75" customHeight="1">
      <c r="A2236" s="12" t="s">
        <v>824</v>
      </c>
      <c r="B2236" s="10"/>
      <c r="C2236" s="10"/>
    </row>
    <row r="2237" spans="1:3" ht="15.75" customHeight="1">
      <c r="A2237" s="12" t="s">
        <v>827</v>
      </c>
      <c r="B2237" s="10"/>
      <c r="C2237" s="10"/>
    </row>
    <row r="2238" spans="1:3" ht="15.75" customHeight="1">
      <c r="A2238" s="12" t="s">
        <v>841</v>
      </c>
      <c r="B2238" s="10"/>
      <c r="C2238" s="10"/>
    </row>
    <row r="2239" spans="1:3" ht="15.75" customHeight="1">
      <c r="A2239" s="12" t="s">
        <v>826</v>
      </c>
      <c r="B2239" s="10"/>
      <c r="C2239" s="10"/>
    </row>
    <row r="2240" spans="1:3" ht="15.75" customHeight="1">
      <c r="A2240" s="12" t="s">
        <v>838</v>
      </c>
      <c r="B2240" s="10"/>
      <c r="C2240" s="10"/>
    </row>
    <row r="2241" spans="1:3" ht="15.75" customHeight="1">
      <c r="A2241" s="12" t="s">
        <v>832</v>
      </c>
      <c r="B2241" s="10"/>
      <c r="C2241" s="10"/>
    </row>
    <row r="2242" spans="1:3" ht="15.75" customHeight="1">
      <c r="A2242" s="12" t="s">
        <v>828</v>
      </c>
      <c r="B2242" s="10"/>
      <c r="C2242" s="10"/>
    </row>
    <row r="2243" spans="1:3" ht="15.75" customHeight="1">
      <c r="A2243" s="12" t="s">
        <v>820</v>
      </c>
      <c r="B2243" s="10"/>
      <c r="C2243" s="10"/>
    </row>
    <row r="2244" spans="1:3" ht="15.75" customHeight="1">
      <c r="A2244" s="12" t="s">
        <v>837</v>
      </c>
      <c r="B2244" s="10"/>
      <c r="C2244" s="10"/>
    </row>
    <row r="2245" spans="1:3" ht="15.75" customHeight="1">
      <c r="A2245" s="12" t="s">
        <v>839</v>
      </c>
      <c r="B2245" s="10"/>
      <c r="C2245" s="10"/>
    </row>
    <row r="2246" spans="1:3" ht="15.75" customHeight="1">
      <c r="A2246" s="12" t="s">
        <v>824</v>
      </c>
      <c r="B2246" s="10"/>
      <c r="C2246" s="10"/>
    </row>
    <row r="2247" spans="1:3" ht="15.75" customHeight="1">
      <c r="A2247" s="12" t="s">
        <v>832</v>
      </c>
      <c r="B2247" s="10"/>
      <c r="C2247" s="10"/>
    </row>
    <row r="2248" spans="1:3" ht="15.75" customHeight="1">
      <c r="A2248" s="12" t="s">
        <v>836</v>
      </c>
      <c r="B2248" s="10"/>
      <c r="C2248" s="10"/>
    </row>
    <row r="2249" spans="1:3" ht="15.75" customHeight="1">
      <c r="A2249" s="12" t="s">
        <v>833</v>
      </c>
      <c r="B2249" s="10"/>
      <c r="C2249" s="10"/>
    </row>
    <row r="2250" spans="1:3" ht="15.75" customHeight="1">
      <c r="A2250" s="12" t="s">
        <v>851</v>
      </c>
      <c r="B2250" s="10"/>
      <c r="C2250" s="10"/>
    </row>
    <row r="2251" spans="1:3" ht="15.75" customHeight="1">
      <c r="A2251" s="12" t="s">
        <v>837</v>
      </c>
      <c r="B2251" s="10"/>
      <c r="C2251" s="10"/>
    </row>
    <row r="2252" spans="1:3" ht="15.75" customHeight="1">
      <c r="A2252" s="12" t="s">
        <v>824</v>
      </c>
      <c r="B2252" s="10"/>
      <c r="C2252" s="10"/>
    </row>
    <row r="2253" spans="1:3" ht="15.75" customHeight="1">
      <c r="A2253" s="12" t="s">
        <v>837</v>
      </c>
      <c r="B2253" s="10"/>
      <c r="C2253" s="10"/>
    </row>
    <row r="2254" spans="1:3" ht="15.75" customHeight="1">
      <c r="A2254" s="12" t="s">
        <v>843</v>
      </c>
      <c r="B2254" s="10"/>
      <c r="C2254" s="10"/>
    </row>
    <row r="2255" spans="1:3" ht="15.75" customHeight="1">
      <c r="A2255" s="12" t="s">
        <v>832</v>
      </c>
      <c r="B2255" s="10"/>
      <c r="C2255" s="10"/>
    </row>
    <row r="2256" spans="1:3" ht="15.75" customHeight="1">
      <c r="A2256" s="12" t="s">
        <v>835</v>
      </c>
      <c r="B2256" s="10"/>
      <c r="C2256" s="10"/>
    </row>
    <row r="2257" spans="1:3" ht="15.75" customHeight="1">
      <c r="A2257" s="12" t="s">
        <v>853</v>
      </c>
      <c r="B2257" s="10"/>
      <c r="C2257" s="10"/>
    </row>
    <row r="2258" spans="1:3" ht="15.75" customHeight="1">
      <c r="A2258" s="12" t="s">
        <v>847</v>
      </c>
      <c r="B2258" s="10"/>
      <c r="C2258" s="10"/>
    </row>
    <row r="2259" spans="1:3" ht="15.75" customHeight="1">
      <c r="A2259" s="12" t="s">
        <v>839</v>
      </c>
      <c r="B2259" s="10"/>
      <c r="C2259" s="10"/>
    </row>
    <row r="2260" spans="1:3" ht="15.75" customHeight="1">
      <c r="A2260" s="12" t="s">
        <v>837</v>
      </c>
      <c r="B2260" s="10"/>
      <c r="C2260" s="10"/>
    </row>
    <row r="2261" spans="1:3" ht="15.75" customHeight="1">
      <c r="A2261" s="12" t="s">
        <v>835</v>
      </c>
      <c r="B2261" s="10"/>
      <c r="C2261" s="10"/>
    </row>
    <row r="2262" spans="1:3" ht="15.75" customHeight="1">
      <c r="A2262" s="12" t="s">
        <v>834</v>
      </c>
      <c r="B2262" s="10"/>
      <c r="C2262" s="10"/>
    </row>
    <row r="2263" spans="1:3" ht="15.75" customHeight="1">
      <c r="A2263" s="12" t="s">
        <v>840</v>
      </c>
      <c r="B2263" s="10"/>
      <c r="C2263" s="10"/>
    </row>
    <row r="2264" spans="1:3" ht="15.75" customHeight="1">
      <c r="A2264" s="12" t="s">
        <v>836</v>
      </c>
      <c r="B2264" s="10"/>
      <c r="C2264" s="10"/>
    </row>
    <row r="2265" spans="1:3" ht="15.75" customHeight="1">
      <c r="A2265" s="12" t="s">
        <v>826</v>
      </c>
      <c r="B2265" s="10"/>
      <c r="C2265" s="10"/>
    </row>
    <row r="2266" spans="1:3" ht="15.75" customHeight="1">
      <c r="A2266" s="12" t="s">
        <v>849</v>
      </c>
      <c r="B2266" s="10"/>
      <c r="C2266" s="10"/>
    </row>
    <row r="2267" spans="1:3" ht="15.75" customHeight="1">
      <c r="A2267" s="12" t="s">
        <v>850</v>
      </c>
      <c r="B2267" s="10"/>
      <c r="C2267" s="10"/>
    </row>
    <row r="2268" spans="1:3" ht="15.75" customHeight="1">
      <c r="A2268" s="12" t="s">
        <v>837</v>
      </c>
      <c r="B2268" s="10"/>
      <c r="C2268" s="10"/>
    </row>
    <row r="2269" spans="1:3" ht="15.75" customHeight="1">
      <c r="A2269" s="12" t="s">
        <v>843</v>
      </c>
      <c r="B2269" s="10"/>
      <c r="C2269" s="10"/>
    </row>
    <row r="2270" spans="1:3" ht="15.75" customHeight="1">
      <c r="A2270" s="12" t="s">
        <v>830</v>
      </c>
      <c r="B2270" s="10"/>
      <c r="C2270" s="10"/>
    </row>
    <row r="2271" spans="1:3" ht="15.75" customHeight="1">
      <c r="A2271" s="12" t="s">
        <v>842</v>
      </c>
      <c r="B2271" s="10"/>
      <c r="C2271" s="10"/>
    </row>
    <row r="2272" spans="1:3" ht="15.75" customHeight="1">
      <c r="A2272" s="12" t="s">
        <v>846</v>
      </c>
      <c r="B2272" s="10"/>
      <c r="C2272" s="10"/>
    </row>
    <row r="2273" spans="1:3" ht="15.75" customHeight="1">
      <c r="A2273" s="12" t="s">
        <v>850</v>
      </c>
      <c r="B2273" s="10"/>
      <c r="C2273" s="10"/>
    </row>
    <row r="2274" spans="1:3" ht="15.75" customHeight="1">
      <c r="A2274" s="12" t="s">
        <v>837</v>
      </c>
      <c r="B2274" s="10"/>
      <c r="C2274" s="10"/>
    </row>
    <row r="2275" spans="1:3" ht="15.75" customHeight="1">
      <c r="A2275" s="12" t="s">
        <v>837</v>
      </c>
      <c r="B2275" s="10"/>
      <c r="C2275" s="10"/>
    </row>
    <row r="2276" spans="1:3" ht="15.75" customHeight="1">
      <c r="A2276" s="12" t="s">
        <v>844</v>
      </c>
      <c r="B2276" s="10"/>
      <c r="C2276" s="10"/>
    </row>
    <row r="2277" spans="1:3" ht="15.75" customHeight="1">
      <c r="A2277" s="12" t="s">
        <v>825</v>
      </c>
      <c r="B2277" s="10"/>
      <c r="C2277" s="10"/>
    </row>
    <row r="2278" spans="1:3" ht="15.75" customHeight="1">
      <c r="A2278" s="12" t="s">
        <v>847</v>
      </c>
      <c r="B2278" s="10"/>
      <c r="C2278" s="10"/>
    </row>
    <row r="2279" spans="1:3" ht="15.75" customHeight="1">
      <c r="A2279" s="12" t="s">
        <v>828</v>
      </c>
      <c r="B2279" s="10"/>
      <c r="C2279" s="10"/>
    </row>
    <row r="2280" spans="1:3" ht="15.75" customHeight="1">
      <c r="A2280" s="12" t="s">
        <v>837</v>
      </c>
      <c r="B2280" s="10"/>
      <c r="C2280" s="10"/>
    </row>
    <row r="2281" spans="1:3" ht="15.75" customHeight="1">
      <c r="A2281" s="12" t="s">
        <v>834</v>
      </c>
      <c r="B2281" s="10"/>
      <c r="C2281" s="10"/>
    </row>
    <row r="2282" spans="1:3" ht="15.75" customHeight="1">
      <c r="A2282" s="12" t="s">
        <v>824</v>
      </c>
      <c r="B2282" s="10"/>
      <c r="C2282" s="10"/>
    </row>
    <row r="2283" spans="1:3" ht="15.75" customHeight="1">
      <c r="A2283" s="12" t="s">
        <v>836</v>
      </c>
      <c r="B2283" s="10"/>
      <c r="C2283" s="10"/>
    </row>
    <row r="2284" spans="1:3" ht="15.75" customHeight="1">
      <c r="A2284" s="12" t="s">
        <v>830</v>
      </c>
      <c r="B2284" s="10"/>
      <c r="C2284" s="10"/>
    </row>
    <row r="2285" spans="1:3" ht="15.75" customHeight="1">
      <c r="A2285" s="12" t="s">
        <v>829</v>
      </c>
      <c r="B2285" s="10"/>
      <c r="C2285" s="10"/>
    </row>
    <row r="2286" spans="1:3" ht="15.75" customHeight="1">
      <c r="A2286" s="12" t="s">
        <v>832</v>
      </c>
      <c r="B2286" s="10"/>
      <c r="C2286" s="10"/>
    </row>
    <row r="2287" spans="1:3" ht="15.75" customHeight="1">
      <c r="A2287" s="12" t="s">
        <v>822</v>
      </c>
      <c r="B2287" s="10"/>
      <c r="C2287" s="10"/>
    </row>
    <row r="2288" spans="1:3" ht="15.75" customHeight="1">
      <c r="A2288" s="12" t="s">
        <v>846</v>
      </c>
      <c r="B2288" s="10"/>
      <c r="C2288" s="10"/>
    </row>
    <row r="2289" spans="1:3" ht="15.75" customHeight="1">
      <c r="A2289" s="12" t="s">
        <v>843</v>
      </c>
      <c r="B2289" s="10"/>
      <c r="C2289" s="10"/>
    </row>
    <row r="2290" spans="1:3" ht="15.75" customHeight="1">
      <c r="A2290" s="12" t="s">
        <v>822</v>
      </c>
      <c r="B2290" s="10"/>
      <c r="C2290" s="10"/>
    </row>
    <row r="2291" spans="1:3" ht="15.75" customHeight="1">
      <c r="A2291" s="12" t="s">
        <v>827</v>
      </c>
      <c r="B2291" s="10"/>
      <c r="C2291" s="10"/>
    </row>
    <row r="2292" spans="1:3" ht="15.75" customHeight="1">
      <c r="A2292" s="12" t="s">
        <v>837</v>
      </c>
      <c r="B2292" s="10"/>
      <c r="C2292" s="10"/>
    </row>
    <row r="2293" spans="1:3" ht="15.75" customHeight="1">
      <c r="A2293" s="12" t="s">
        <v>837</v>
      </c>
      <c r="B2293" s="10"/>
      <c r="C2293" s="10"/>
    </row>
    <row r="2294" spans="1:3" ht="15.75" customHeight="1">
      <c r="A2294" s="12" t="s">
        <v>832</v>
      </c>
      <c r="B2294" s="10"/>
      <c r="C2294" s="10"/>
    </row>
    <row r="2295" spans="1:3" ht="15.75" customHeight="1">
      <c r="A2295" s="12" t="s">
        <v>830</v>
      </c>
      <c r="B2295" s="10"/>
      <c r="C2295" s="10"/>
    </row>
    <row r="2296" spans="1:3" ht="15.75" customHeight="1">
      <c r="A2296" s="12" t="s">
        <v>820</v>
      </c>
      <c r="B2296" s="10"/>
      <c r="C2296" s="10"/>
    </row>
    <row r="2297" spans="1:3" ht="15.75" customHeight="1">
      <c r="A2297" s="12" t="s">
        <v>826</v>
      </c>
      <c r="B2297" s="10"/>
      <c r="C2297" s="10"/>
    </row>
    <row r="2298" spans="1:3" ht="15.75" customHeight="1">
      <c r="A2298" s="12" t="s">
        <v>832</v>
      </c>
      <c r="B2298" s="10"/>
      <c r="C2298" s="10"/>
    </row>
    <row r="2299" spans="1:3" ht="15.75" customHeight="1">
      <c r="A2299" s="12" t="s">
        <v>826</v>
      </c>
      <c r="B2299" s="10"/>
      <c r="C2299" s="10"/>
    </row>
    <row r="2300" spans="1:3" ht="15.75" customHeight="1">
      <c r="A2300" s="12" t="s">
        <v>843</v>
      </c>
      <c r="B2300" s="10"/>
      <c r="C2300" s="10"/>
    </row>
    <row r="2301" spans="1:3" ht="15.75" customHeight="1">
      <c r="A2301" s="12" t="s">
        <v>842</v>
      </c>
      <c r="B2301" s="10"/>
      <c r="C2301" s="10"/>
    </row>
    <row r="2302" spans="1:3" ht="15.75" customHeight="1">
      <c r="A2302" s="12" t="s">
        <v>844</v>
      </c>
      <c r="B2302" s="10"/>
      <c r="C2302" s="10"/>
    </row>
    <row r="2303" spans="1:3" ht="15.75" customHeight="1">
      <c r="A2303" s="12" t="s">
        <v>824</v>
      </c>
      <c r="B2303" s="10"/>
      <c r="C2303" s="10"/>
    </row>
    <row r="2304" spans="1:3" ht="15.75" customHeight="1">
      <c r="A2304" s="12" t="s">
        <v>827</v>
      </c>
      <c r="B2304" s="10"/>
      <c r="C2304" s="10"/>
    </row>
    <row r="2305" spans="1:3" ht="15.75" customHeight="1">
      <c r="A2305" s="12" t="s">
        <v>830</v>
      </c>
      <c r="B2305" s="10"/>
      <c r="C2305" s="10"/>
    </row>
    <row r="2306" spans="1:3" ht="15.75" customHeight="1">
      <c r="A2306" s="12" t="s">
        <v>852</v>
      </c>
      <c r="B2306" s="10"/>
      <c r="C2306" s="10"/>
    </row>
    <row r="2307" spans="1:3" ht="15.75" customHeight="1">
      <c r="A2307" s="12" t="s">
        <v>820</v>
      </c>
      <c r="B2307" s="10"/>
      <c r="C2307" s="10"/>
    </row>
    <row r="2308" spans="1:3" ht="15.75" customHeight="1">
      <c r="A2308" s="12" t="s">
        <v>828</v>
      </c>
      <c r="B2308" s="10"/>
      <c r="C2308" s="10"/>
    </row>
    <row r="2309" spans="1:3" ht="15.75" customHeight="1">
      <c r="A2309" s="12" t="s">
        <v>837</v>
      </c>
      <c r="B2309" s="10"/>
      <c r="C2309" s="10"/>
    </row>
    <row r="2310" spans="1:3" ht="15.75" customHeight="1">
      <c r="A2310" s="12" t="s">
        <v>844</v>
      </c>
      <c r="B2310" s="10"/>
      <c r="C2310" s="10"/>
    </row>
    <row r="2311" spans="1:3" ht="15.75" customHeight="1">
      <c r="A2311" s="12" t="s">
        <v>834</v>
      </c>
      <c r="B2311" s="10"/>
      <c r="C2311" s="10"/>
    </row>
    <row r="2312" spans="1:3" ht="15.75" customHeight="1">
      <c r="A2312" s="12" t="s">
        <v>842</v>
      </c>
      <c r="B2312" s="10"/>
      <c r="C2312" s="10"/>
    </row>
    <row r="2313" spans="1:3" ht="15.75" customHeight="1">
      <c r="A2313" s="12" t="s">
        <v>820</v>
      </c>
      <c r="B2313" s="10"/>
      <c r="C2313" s="10"/>
    </row>
    <row r="2314" spans="1:3" ht="15.75" customHeight="1">
      <c r="A2314" s="12" t="s">
        <v>833</v>
      </c>
      <c r="B2314" s="10"/>
      <c r="C2314" s="10"/>
    </row>
    <row r="2315" spans="1:3" ht="15.75" customHeight="1">
      <c r="A2315" s="12" t="s">
        <v>837</v>
      </c>
      <c r="B2315" s="10"/>
      <c r="C2315" s="10"/>
    </row>
    <row r="2316" spans="1:3" ht="15.75" customHeight="1">
      <c r="A2316" s="12" t="s">
        <v>850</v>
      </c>
      <c r="B2316" s="10"/>
      <c r="C2316" s="10"/>
    </row>
    <row r="2317" spans="1:3" ht="15.75" customHeight="1">
      <c r="A2317" s="12" t="s">
        <v>837</v>
      </c>
      <c r="B2317" s="10"/>
      <c r="C2317" s="10"/>
    </row>
    <row r="2318" spans="1:3" ht="15.75" customHeight="1">
      <c r="A2318" s="12" t="s">
        <v>842</v>
      </c>
      <c r="B2318" s="10"/>
      <c r="C2318" s="10"/>
    </row>
    <row r="2319" spans="1:3" ht="15.75" customHeight="1">
      <c r="A2319" s="12" t="s">
        <v>837</v>
      </c>
      <c r="B2319" s="10"/>
      <c r="C2319" s="10"/>
    </row>
    <row r="2320" spans="1:3" ht="15.75" customHeight="1">
      <c r="A2320" s="12" t="s">
        <v>853</v>
      </c>
      <c r="B2320" s="10"/>
      <c r="C2320" s="10"/>
    </row>
    <row r="2321" spans="1:3" ht="15.75" customHeight="1">
      <c r="A2321" s="12" t="s">
        <v>832</v>
      </c>
      <c r="B2321" s="10"/>
      <c r="C2321" s="10"/>
    </row>
    <row r="2322" spans="1:3" ht="15.75" customHeight="1">
      <c r="A2322" s="12" t="s">
        <v>839</v>
      </c>
      <c r="B2322" s="10"/>
      <c r="C2322" s="10"/>
    </row>
    <row r="2323" spans="1:3" ht="15.75" customHeight="1">
      <c r="A2323" s="12" t="s">
        <v>827</v>
      </c>
      <c r="B2323" s="10"/>
      <c r="C2323" s="10"/>
    </row>
    <row r="2324" spans="1:3" ht="15.75" customHeight="1">
      <c r="A2324" s="12" t="s">
        <v>834</v>
      </c>
      <c r="B2324" s="10"/>
      <c r="C2324" s="10"/>
    </row>
    <row r="2325" spans="1:3" ht="15.75" customHeight="1">
      <c r="A2325" s="12" t="s">
        <v>839</v>
      </c>
      <c r="B2325" s="10"/>
      <c r="C2325" s="10"/>
    </row>
    <row r="2326" spans="1:3" ht="15.75" customHeight="1">
      <c r="A2326" s="12" t="s">
        <v>824</v>
      </c>
      <c r="B2326" s="10"/>
      <c r="C2326" s="10"/>
    </row>
    <row r="2327" spans="1:3" ht="15.75" customHeight="1">
      <c r="A2327" s="12" t="s">
        <v>837</v>
      </c>
      <c r="B2327" s="10"/>
      <c r="C2327" s="10"/>
    </row>
    <row r="2328" spans="1:3" ht="15.75" customHeight="1">
      <c r="A2328" s="12" t="s">
        <v>837</v>
      </c>
      <c r="B2328" s="10"/>
      <c r="C2328" s="10"/>
    </row>
    <row r="2329" spans="1:3" ht="15.75" customHeight="1">
      <c r="A2329" s="12" t="s">
        <v>826</v>
      </c>
      <c r="B2329" s="10"/>
      <c r="C2329" s="10"/>
    </row>
    <row r="2330" spans="1:3" ht="15.75" customHeight="1">
      <c r="A2330" s="12" t="s">
        <v>832</v>
      </c>
      <c r="B2330" s="10"/>
      <c r="C2330" s="10"/>
    </row>
    <row r="2331" spans="1:3" ht="15.75" customHeight="1">
      <c r="A2331" s="12" t="s">
        <v>841</v>
      </c>
      <c r="B2331" s="10"/>
      <c r="C2331" s="10"/>
    </row>
    <row r="2332" spans="1:3" ht="15.75" customHeight="1">
      <c r="A2332" s="12" t="s">
        <v>832</v>
      </c>
      <c r="B2332" s="10"/>
      <c r="C2332" s="10"/>
    </row>
    <row r="2333" spans="1:3" ht="15.75" customHeight="1">
      <c r="A2333" s="12" t="s">
        <v>852</v>
      </c>
      <c r="B2333" s="10"/>
      <c r="C2333" s="10"/>
    </row>
    <row r="2334" spans="1:3" ht="15.75" customHeight="1">
      <c r="A2334" s="12" t="s">
        <v>843</v>
      </c>
      <c r="B2334" s="10"/>
      <c r="C2334" s="10"/>
    </row>
    <row r="2335" spans="1:3" ht="15.75" customHeight="1">
      <c r="A2335" s="12" t="s">
        <v>822</v>
      </c>
      <c r="B2335" s="10"/>
      <c r="C2335" s="10"/>
    </row>
    <row r="2336" spans="1:3" ht="15.75" customHeight="1">
      <c r="A2336" s="12" t="s">
        <v>848</v>
      </c>
      <c r="B2336" s="10"/>
      <c r="C2336" s="10"/>
    </row>
    <row r="2337" spans="1:3" ht="15.75" customHeight="1">
      <c r="A2337" s="12" t="s">
        <v>824</v>
      </c>
      <c r="B2337" s="10"/>
      <c r="C2337" s="10"/>
    </row>
    <row r="2338" spans="1:3" ht="15.75" customHeight="1">
      <c r="A2338" s="12" t="s">
        <v>822</v>
      </c>
      <c r="B2338" s="10"/>
      <c r="C2338" s="10"/>
    </row>
    <row r="2339" spans="1:3" ht="15.75" customHeight="1">
      <c r="A2339" s="12" t="s">
        <v>833</v>
      </c>
      <c r="B2339" s="10"/>
      <c r="C2339" s="10"/>
    </row>
    <row r="2340" spans="1:3" ht="15.75" customHeight="1">
      <c r="A2340" s="12" t="s">
        <v>824</v>
      </c>
      <c r="B2340" s="10"/>
      <c r="C2340" s="10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G3:H1000"/>
  <sheetViews>
    <sheetView workbookViewId="0"/>
  </sheetViews>
  <sheetFormatPr defaultColWidth="14.44140625" defaultRowHeight="15" customHeight="1"/>
  <cols>
    <col min="1" max="6" width="8.6640625" customWidth="1"/>
    <col min="7" max="7" width="11.5546875" customWidth="1"/>
    <col min="8" max="8" width="16.88671875" customWidth="1"/>
    <col min="9" max="26" width="8.6640625" customWidth="1"/>
  </cols>
  <sheetData>
    <row r="3" spans="7:8" ht="14.4">
      <c r="G3" s="1" t="s">
        <v>854</v>
      </c>
    </row>
    <row r="4" spans="7:8" ht="14.4">
      <c r="G4" s="13" t="s">
        <v>0</v>
      </c>
      <c r="H4" s="14" t="s">
        <v>9</v>
      </c>
    </row>
    <row r="5" spans="7:8" ht="14.4">
      <c r="G5" s="10" t="s">
        <v>11</v>
      </c>
      <c r="H5" s="15">
        <v>79</v>
      </c>
    </row>
    <row r="6" spans="7:8" ht="14.4">
      <c r="G6" s="10" t="s">
        <v>18</v>
      </c>
      <c r="H6" s="15">
        <v>54</v>
      </c>
    </row>
    <row r="7" spans="7:8" ht="14.4">
      <c r="G7" s="10" t="s">
        <v>25</v>
      </c>
      <c r="H7" s="15">
        <v>686</v>
      </c>
    </row>
    <row r="8" spans="7:8" ht="14.4">
      <c r="G8" s="10" t="s">
        <v>32</v>
      </c>
      <c r="H8" s="15">
        <v>137</v>
      </c>
    </row>
    <row r="9" spans="7:8" ht="14.4">
      <c r="G9" s="10" t="s">
        <v>39</v>
      </c>
      <c r="H9" s="15">
        <v>37</v>
      </c>
    </row>
    <row r="10" spans="7:8" ht="14.4">
      <c r="G10" s="10" t="s">
        <v>855</v>
      </c>
      <c r="H10" s="15">
        <v>29</v>
      </c>
    </row>
    <row r="11" spans="7:8" ht="14.4">
      <c r="G11" s="10" t="s">
        <v>46</v>
      </c>
      <c r="H11" s="15">
        <v>465</v>
      </c>
    </row>
    <row r="12" spans="7:8" ht="14.4">
      <c r="G12" s="10" t="s">
        <v>52</v>
      </c>
      <c r="H12" s="15">
        <v>28</v>
      </c>
    </row>
    <row r="13" spans="7:8" ht="14.4">
      <c r="G13" s="10" t="s">
        <v>58</v>
      </c>
      <c r="H13" s="15">
        <v>760</v>
      </c>
    </row>
    <row r="14" spans="7:8" ht="14.4">
      <c r="G14" s="10" t="s">
        <v>856</v>
      </c>
      <c r="H14" s="16"/>
    </row>
    <row r="15" spans="7:8" ht="14.4">
      <c r="G15" s="10" t="s">
        <v>857</v>
      </c>
      <c r="H15" s="16"/>
    </row>
    <row r="16" spans="7:8" ht="14.4">
      <c r="G16" s="10" t="s">
        <v>858</v>
      </c>
      <c r="H16" s="16"/>
    </row>
    <row r="17" spans="7:8" ht="14.4">
      <c r="G17" s="10" t="s">
        <v>859</v>
      </c>
      <c r="H17" s="16"/>
    </row>
    <row r="18" spans="7:8" ht="14.4">
      <c r="G18" s="10" t="s">
        <v>860</v>
      </c>
      <c r="H18" s="16"/>
    </row>
    <row r="21" spans="7:8" ht="15.75" customHeight="1"/>
    <row r="22" spans="7:8" ht="15.75" customHeight="1"/>
    <row r="23" spans="7:8" ht="15.75" customHeight="1"/>
    <row r="24" spans="7:8" ht="15.75" customHeight="1"/>
    <row r="25" spans="7:8" ht="15.75" customHeight="1"/>
    <row r="26" spans="7:8" ht="15.75" customHeight="1"/>
    <row r="27" spans="7:8" ht="15.75" customHeight="1"/>
    <row r="28" spans="7:8" ht="15.75" customHeight="1"/>
    <row r="29" spans="7:8" ht="15.75" customHeight="1"/>
    <row r="30" spans="7:8" ht="15.75" customHeight="1"/>
    <row r="31" spans="7:8" ht="15.75" customHeight="1"/>
    <row r="32" spans="7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/>
  </sheetViews>
  <sheetFormatPr defaultColWidth="14.44140625" defaultRowHeight="15" customHeight="1"/>
  <cols>
    <col min="1" max="1" width="24" customWidth="1"/>
    <col min="2" max="2" width="13.6640625" customWidth="1"/>
    <col min="3" max="3" width="15.109375" customWidth="1"/>
    <col min="4" max="4" width="11.33203125" customWidth="1"/>
    <col min="5" max="5" width="13.88671875" customWidth="1"/>
    <col min="6" max="6" width="16.6640625" customWidth="1"/>
    <col min="7" max="26" width="8.6640625" customWidth="1"/>
  </cols>
  <sheetData>
    <row r="1" spans="1:5" ht="14.4">
      <c r="A1" s="11" t="s">
        <v>861</v>
      </c>
    </row>
    <row r="3" spans="1:5" ht="14.4">
      <c r="A3" s="19" t="s">
        <v>5</v>
      </c>
      <c r="B3" s="21" t="s">
        <v>3</v>
      </c>
      <c r="C3" s="22"/>
      <c r="D3" s="22"/>
      <c r="E3" s="23"/>
    </row>
    <row r="4" spans="1:5" ht="14.4">
      <c r="A4" s="20"/>
      <c r="B4" s="17" t="s">
        <v>14</v>
      </c>
      <c r="C4" s="17" t="s">
        <v>21</v>
      </c>
      <c r="D4" s="17" t="s">
        <v>42</v>
      </c>
      <c r="E4" s="17" t="s">
        <v>28</v>
      </c>
    </row>
    <row r="5" spans="1:5" ht="14.4">
      <c r="A5" s="15" t="s">
        <v>15</v>
      </c>
      <c r="B5" s="15"/>
      <c r="C5" s="15"/>
      <c r="D5" s="15"/>
      <c r="E5" s="15"/>
    </row>
    <row r="6" spans="1:5" ht="14.4">
      <c r="A6" s="15" t="s">
        <v>29</v>
      </c>
      <c r="B6" s="10"/>
      <c r="C6" s="10"/>
      <c r="D6" s="10"/>
      <c r="E6" s="10"/>
    </row>
    <row r="7" spans="1:5" ht="14.4">
      <c r="A7" s="15" t="s">
        <v>36</v>
      </c>
      <c r="B7" s="10"/>
      <c r="C7" s="10"/>
      <c r="D7" s="10"/>
      <c r="E7" s="10"/>
    </row>
    <row r="8" spans="1:5" ht="14.4">
      <c r="A8" s="15" t="s">
        <v>43</v>
      </c>
      <c r="B8" s="10"/>
      <c r="C8" s="10"/>
      <c r="D8" s="10"/>
      <c r="E8" s="10"/>
    </row>
    <row r="9" spans="1:5" ht="14.4">
      <c r="A9" s="15" t="s">
        <v>55</v>
      </c>
      <c r="B9" s="10"/>
      <c r="C9" s="10"/>
      <c r="D9" s="10"/>
      <c r="E9" s="10"/>
    </row>
    <row r="10" spans="1:5" ht="14.4">
      <c r="A10" s="15" t="s">
        <v>49</v>
      </c>
      <c r="B10" s="10"/>
      <c r="C10" s="10"/>
      <c r="D10" s="10"/>
      <c r="E10" s="10"/>
    </row>
    <row r="11" spans="1:5" ht="14.4">
      <c r="A11" s="15" t="s">
        <v>61</v>
      </c>
      <c r="B11" s="10"/>
      <c r="C11" s="10"/>
      <c r="D11" s="10"/>
      <c r="E11" s="10"/>
    </row>
    <row r="12" spans="1:5" ht="14.4">
      <c r="A12" s="15" t="s">
        <v>67</v>
      </c>
      <c r="B12" s="10"/>
      <c r="C12" s="10"/>
      <c r="D12" s="10"/>
      <c r="E12" s="10"/>
    </row>
    <row r="13" spans="1:5" ht="14.4">
      <c r="A13" s="15" t="s">
        <v>82</v>
      </c>
      <c r="B13" s="10"/>
      <c r="C13" s="10"/>
      <c r="D13" s="10"/>
      <c r="E13" s="10"/>
    </row>
    <row r="14" spans="1:5" ht="14.4">
      <c r="A14" s="15" t="s">
        <v>123</v>
      </c>
      <c r="B14" s="10"/>
      <c r="C14" s="10"/>
      <c r="D14" s="10"/>
      <c r="E14" s="10"/>
    </row>
    <row r="15" spans="1:5" ht="14.4">
      <c r="A15" s="15" t="s">
        <v>135</v>
      </c>
      <c r="B15" s="10"/>
      <c r="C15" s="10"/>
      <c r="D15" s="10"/>
      <c r="E15" s="10"/>
    </row>
    <row r="16" spans="1:5" ht="14.4">
      <c r="A16" s="15" t="s">
        <v>217</v>
      </c>
      <c r="B16" s="10"/>
      <c r="C16" s="10"/>
      <c r="D16" s="10"/>
      <c r="E16" s="10"/>
    </row>
    <row r="17" spans="1:5" ht="14.4">
      <c r="B17" s="2"/>
      <c r="C17" s="2"/>
      <c r="D17" s="2"/>
    </row>
    <row r="18" spans="1:5" ht="14.4">
      <c r="E18" s="2"/>
    </row>
    <row r="19" spans="1:5" ht="14.4">
      <c r="A19" s="2"/>
      <c r="E19" s="2"/>
    </row>
    <row r="20" spans="1:5" ht="14.4">
      <c r="A20" s="2"/>
      <c r="E20" s="2"/>
    </row>
    <row r="21" spans="1:5" ht="15.75" customHeight="1">
      <c r="A21" s="2"/>
      <c r="E21" s="2"/>
    </row>
    <row r="22" spans="1:5" ht="15.75" customHeight="1">
      <c r="A22" s="2"/>
      <c r="E22" s="2"/>
    </row>
    <row r="23" spans="1:5" ht="15.75" customHeight="1">
      <c r="A23" s="2"/>
      <c r="E23" s="2"/>
    </row>
    <row r="24" spans="1:5" ht="15.75" customHeight="1">
      <c r="B24" s="2"/>
      <c r="C24" s="2"/>
      <c r="D24" s="2"/>
      <c r="E24" s="2"/>
    </row>
    <row r="25" spans="1:5" ht="15.75" customHeight="1">
      <c r="B25" s="2"/>
      <c r="C25" s="2"/>
      <c r="D25" s="2"/>
      <c r="E25" s="2"/>
    </row>
    <row r="26" spans="1:5" ht="15.75" customHeight="1">
      <c r="B26" s="2"/>
      <c r="C26" s="2"/>
      <c r="D26" s="2"/>
      <c r="E26" s="2"/>
    </row>
    <row r="27" spans="1:5" ht="15.75" customHeight="1">
      <c r="B27" s="2"/>
      <c r="C27" s="2"/>
      <c r="D27" s="2"/>
      <c r="E27" s="2"/>
    </row>
    <row r="28" spans="1:5" ht="15.75" customHeight="1">
      <c r="B28" s="2"/>
      <c r="C28" s="2"/>
      <c r="D28" s="2"/>
      <c r="E28" s="2"/>
    </row>
    <row r="29" spans="1:5" ht="15.75" customHeight="1">
      <c r="B29" s="2"/>
      <c r="C29" s="2"/>
      <c r="D29" s="2"/>
      <c r="E29" s="2"/>
    </row>
    <row r="30" spans="1:5" ht="15.75" customHeight="1">
      <c r="B30" s="2"/>
      <c r="C30" s="2"/>
      <c r="D30" s="2"/>
      <c r="E30" s="2"/>
    </row>
    <row r="31" spans="1:5" ht="15.75" customHeight="1">
      <c r="B31" s="2"/>
      <c r="C31" s="2"/>
      <c r="D31" s="2"/>
      <c r="E31" s="2"/>
    </row>
    <row r="32" spans="1:5" ht="15.75" customHeight="1">
      <c r="B32" s="2"/>
      <c r="C32" s="2"/>
      <c r="D32" s="2"/>
      <c r="E32" s="2"/>
    </row>
    <row r="33" spans="1:5" ht="15.75" customHeight="1">
      <c r="B33" s="2"/>
      <c r="C33" s="2"/>
      <c r="D33" s="2"/>
      <c r="E33" s="2"/>
    </row>
    <row r="34" spans="1:5" ht="15.75" customHeight="1">
      <c r="B34" s="2"/>
      <c r="C34" s="2"/>
      <c r="D34" s="2"/>
      <c r="E34" s="2"/>
    </row>
    <row r="35" spans="1:5" ht="15.75" customHeight="1">
      <c r="B35" s="2"/>
      <c r="C35" s="2"/>
      <c r="D35" s="2"/>
      <c r="E35" s="2"/>
    </row>
    <row r="36" spans="1:5" ht="15.75" customHeight="1">
      <c r="B36" s="2"/>
      <c r="C36" s="2"/>
      <c r="D36" s="2"/>
      <c r="E36" s="2"/>
    </row>
    <row r="37" spans="1:5" ht="15.75" customHeight="1">
      <c r="B37" s="2"/>
      <c r="C37" s="2"/>
      <c r="D37" s="2"/>
      <c r="E37" s="2"/>
    </row>
    <row r="38" spans="1:5" ht="15.75" customHeight="1">
      <c r="B38" s="2"/>
      <c r="C38" s="2"/>
      <c r="D38" s="2"/>
      <c r="E38" s="2"/>
    </row>
    <row r="39" spans="1:5" ht="15.75" customHeight="1">
      <c r="A39" s="2"/>
      <c r="B39" s="2"/>
      <c r="C39" s="2"/>
      <c r="D39" s="2"/>
      <c r="E39" s="2"/>
    </row>
    <row r="40" spans="1:5" ht="15.75" customHeight="1">
      <c r="A40" s="2"/>
      <c r="B40" s="2"/>
      <c r="C40" s="2"/>
      <c r="D40" s="2"/>
      <c r="E40" s="2"/>
    </row>
    <row r="41" spans="1:5" ht="15.75" customHeight="1">
      <c r="A41" s="2"/>
      <c r="B41" s="2"/>
      <c r="C41" s="2"/>
      <c r="D41" s="2"/>
      <c r="E41" s="2"/>
    </row>
    <row r="42" spans="1:5" ht="15.75" customHeight="1">
      <c r="A42" s="2"/>
      <c r="B42" s="2"/>
      <c r="C42" s="2"/>
      <c r="D42" s="2"/>
      <c r="E42" s="2"/>
    </row>
    <row r="43" spans="1:5" ht="15.75" customHeight="1">
      <c r="A43" s="2"/>
      <c r="B43" s="2"/>
      <c r="C43" s="2"/>
      <c r="D43" s="2"/>
      <c r="E43" s="2"/>
    </row>
    <row r="44" spans="1:5" ht="15.75" customHeight="1">
      <c r="A44" s="2"/>
      <c r="B44" s="2"/>
      <c r="C44" s="2"/>
      <c r="D44" s="2"/>
      <c r="E44" s="2"/>
    </row>
    <row r="45" spans="1:5" ht="15.75" customHeight="1">
      <c r="A45" s="2"/>
      <c r="B45" s="2"/>
      <c r="C45" s="2"/>
      <c r="D45" s="2"/>
      <c r="E45" s="2"/>
    </row>
    <row r="46" spans="1:5" ht="15.75" customHeight="1">
      <c r="A46" s="2"/>
      <c r="B46" s="2"/>
      <c r="C46" s="2"/>
      <c r="D46" s="2"/>
      <c r="E46" s="2"/>
    </row>
    <row r="47" spans="1:5" ht="15.75" customHeight="1">
      <c r="A47" s="2"/>
      <c r="B47" s="2"/>
      <c r="C47" s="2"/>
      <c r="D47" s="2"/>
      <c r="E47" s="2"/>
    </row>
    <row r="48" spans="1:5" ht="15.75" customHeight="1">
      <c r="A48" s="2"/>
      <c r="B48" s="2"/>
      <c r="C48" s="2"/>
      <c r="D48" s="2"/>
      <c r="E48" s="2"/>
    </row>
    <row r="49" spans="1:5" ht="15.75" customHeight="1">
      <c r="A49" s="2"/>
      <c r="B49" s="2"/>
      <c r="C49" s="2"/>
      <c r="D49" s="2"/>
      <c r="E49" s="2"/>
    </row>
    <row r="50" spans="1:5" ht="15.75" customHeight="1">
      <c r="A50" s="2"/>
      <c r="B50" s="2"/>
      <c r="C50" s="2"/>
      <c r="D50" s="2"/>
      <c r="E50" s="2"/>
    </row>
    <row r="51" spans="1:5" ht="15.75" customHeight="1">
      <c r="A51" s="2"/>
      <c r="B51" s="2"/>
      <c r="C51" s="2"/>
      <c r="D51" s="2"/>
      <c r="E51" s="2"/>
    </row>
    <row r="52" spans="1:5" ht="15.75" customHeight="1">
      <c r="A52" s="2"/>
      <c r="B52" s="2"/>
      <c r="C52" s="2"/>
      <c r="D52" s="2"/>
      <c r="E52" s="2"/>
    </row>
    <row r="53" spans="1:5" ht="15.75" customHeight="1">
      <c r="A53" s="2"/>
      <c r="B53" s="2"/>
      <c r="C53" s="2"/>
      <c r="D53" s="2"/>
      <c r="E53" s="2"/>
    </row>
    <row r="54" spans="1:5" ht="15.75" customHeight="1">
      <c r="A54" s="2"/>
      <c r="B54" s="2"/>
      <c r="C54" s="2"/>
      <c r="D54" s="2"/>
      <c r="E54" s="2"/>
    </row>
    <row r="55" spans="1:5" ht="15.75" customHeight="1">
      <c r="A55" s="2"/>
      <c r="B55" s="2"/>
      <c r="C55" s="2"/>
      <c r="D55" s="2"/>
      <c r="E55" s="2"/>
    </row>
    <row r="56" spans="1:5" ht="15.75" customHeight="1">
      <c r="A56" s="2"/>
      <c r="B56" s="2"/>
      <c r="C56" s="2"/>
      <c r="D56" s="2"/>
      <c r="E56" s="2"/>
    </row>
    <row r="57" spans="1:5" ht="15.75" customHeight="1">
      <c r="A57" s="2"/>
      <c r="B57" s="2"/>
      <c r="C57" s="2"/>
      <c r="D57" s="2"/>
      <c r="E57" s="2"/>
    </row>
    <row r="58" spans="1:5" ht="15.75" customHeight="1">
      <c r="A58" s="2"/>
      <c r="B58" s="2"/>
      <c r="C58" s="2"/>
      <c r="D58" s="2"/>
      <c r="E58" s="2"/>
    </row>
    <row r="59" spans="1:5" ht="15.75" customHeight="1">
      <c r="A59" s="2"/>
      <c r="B59" s="2"/>
      <c r="C59" s="2"/>
      <c r="D59" s="2"/>
      <c r="E59" s="2"/>
    </row>
    <row r="60" spans="1:5" ht="15.75" customHeight="1">
      <c r="A60" s="2"/>
      <c r="B60" s="2"/>
      <c r="C60" s="2"/>
      <c r="D60" s="2"/>
      <c r="E60" s="2"/>
    </row>
    <row r="61" spans="1:5" ht="15.75" customHeight="1">
      <c r="A61" s="2"/>
      <c r="B61" s="2"/>
      <c r="C61" s="2"/>
      <c r="D61" s="2"/>
      <c r="E61" s="2"/>
    </row>
    <row r="62" spans="1:5" ht="15.75" customHeight="1">
      <c r="A62" s="2"/>
      <c r="B62" s="2"/>
      <c r="C62" s="2"/>
      <c r="D62" s="2"/>
      <c r="E62" s="2"/>
    </row>
    <row r="63" spans="1:5" ht="15.75" customHeight="1">
      <c r="A63" s="2"/>
      <c r="B63" s="2"/>
      <c r="C63" s="2"/>
      <c r="D63" s="2"/>
      <c r="E63" s="2"/>
    </row>
    <row r="64" spans="1:5" ht="15.75" customHeight="1">
      <c r="A64" s="2"/>
      <c r="B64" s="2"/>
      <c r="C64" s="2"/>
      <c r="D64" s="2"/>
      <c r="E64" s="2"/>
    </row>
    <row r="65" spans="1:5" ht="15.75" customHeight="1">
      <c r="A65" s="2"/>
      <c r="B65" s="2"/>
      <c r="C65" s="2"/>
      <c r="D65" s="2"/>
      <c r="E65" s="2"/>
    </row>
    <row r="66" spans="1:5" ht="15.75" customHeight="1">
      <c r="A66" s="2"/>
      <c r="B66" s="2"/>
      <c r="C66" s="2"/>
      <c r="D66" s="2"/>
      <c r="E66" s="2"/>
    </row>
    <row r="67" spans="1:5" ht="15.75" customHeight="1">
      <c r="A67" s="2"/>
      <c r="B67" s="2"/>
      <c r="C67" s="2"/>
      <c r="D67" s="2"/>
      <c r="E67" s="2"/>
    </row>
    <row r="68" spans="1:5" ht="15.75" customHeight="1">
      <c r="A68" s="2"/>
      <c r="B68" s="2"/>
      <c r="C68" s="2"/>
      <c r="D68" s="2"/>
      <c r="E68" s="2"/>
    </row>
    <row r="69" spans="1:5" ht="15.75" customHeight="1">
      <c r="A69" s="2"/>
      <c r="B69" s="2"/>
      <c r="C69" s="2"/>
      <c r="D69" s="2"/>
      <c r="E69" s="2"/>
    </row>
    <row r="70" spans="1:5" ht="15.75" customHeight="1">
      <c r="A70" s="2"/>
      <c r="B70" s="2"/>
      <c r="C70" s="2"/>
      <c r="D70" s="2"/>
      <c r="E70" s="2"/>
    </row>
    <row r="71" spans="1:5" ht="15.75" customHeight="1">
      <c r="A71" s="2"/>
      <c r="B71" s="2"/>
      <c r="C71" s="2"/>
      <c r="D71" s="2"/>
      <c r="E71" s="2"/>
    </row>
    <row r="72" spans="1:5" ht="15.75" customHeight="1">
      <c r="A72" s="2"/>
      <c r="B72" s="2"/>
      <c r="C72" s="2"/>
      <c r="D72" s="2"/>
      <c r="E72" s="2"/>
    </row>
    <row r="73" spans="1:5" ht="15.75" customHeight="1">
      <c r="A73" s="2"/>
      <c r="B73" s="2"/>
      <c r="C73" s="2"/>
      <c r="D73" s="2"/>
      <c r="E73" s="2"/>
    </row>
    <row r="74" spans="1:5" ht="15.75" customHeight="1">
      <c r="A74" s="2"/>
      <c r="B74" s="2"/>
      <c r="C74" s="2"/>
      <c r="D74" s="2"/>
      <c r="E74" s="2"/>
    </row>
    <row r="75" spans="1:5" ht="15.75" customHeight="1">
      <c r="A75" s="2"/>
      <c r="B75" s="2"/>
      <c r="C75" s="2"/>
      <c r="D75" s="2"/>
      <c r="E75" s="2"/>
    </row>
    <row r="76" spans="1:5" ht="15.75" customHeight="1">
      <c r="A76" s="2"/>
      <c r="B76" s="2"/>
      <c r="C76" s="2"/>
      <c r="D76" s="2"/>
      <c r="E76" s="2"/>
    </row>
    <row r="77" spans="1:5" ht="15.75" customHeight="1">
      <c r="A77" s="2"/>
      <c r="B77" s="2"/>
      <c r="C77" s="2"/>
      <c r="D77" s="2"/>
      <c r="E77" s="2"/>
    </row>
    <row r="78" spans="1:5" ht="15.75" customHeight="1">
      <c r="A78" s="2"/>
      <c r="B78" s="2"/>
      <c r="C78" s="2"/>
      <c r="D78" s="2"/>
      <c r="E78" s="2"/>
    </row>
    <row r="79" spans="1:5" ht="15.75" customHeight="1">
      <c r="A79" s="2"/>
      <c r="B79" s="2"/>
      <c r="C79" s="2"/>
      <c r="D79" s="2"/>
      <c r="E79" s="2"/>
    </row>
    <row r="80" spans="1:5" ht="15.75" customHeight="1">
      <c r="A80" s="2"/>
      <c r="B80" s="2"/>
      <c r="C80" s="2"/>
      <c r="D80" s="2"/>
      <c r="E80" s="2"/>
    </row>
    <row r="81" spans="1:5" ht="15.75" customHeight="1">
      <c r="A81" s="2"/>
      <c r="B81" s="2"/>
      <c r="C81" s="2"/>
      <c r="D81" s="2"/>
      <c r="E81" s="2"/>
    </row>
    <row r="82" spans="1:5" ht="15.75" customHeight="1">
      <c r="A82" s="2"/>
      <c r="B82" s="2"/>
      <c r="C82" s="2"/>
      <c r="D82" s="2"/>
      <c r="E82" s="2"/>
    </row>
    <row r="83" spans="1:5" ht="15.75" customHeight="1">
      <c r="A83" s="2"/>
      <c r="B83" s="2"/>
      <c r="C83" s="2"/>
      <c r="D83" s="2"/>
      <c r="E83" s="2"/>
    </row>
    <row r="84" spans="1:5" ht="15.75" customHeight="1">
      <c r="A84" s="2"/>
      <c r="B84" s="2"/>
      <c r="C84" s="2"/>
      <c r="D84" s="2"/>
      <c r="E84" s="2"/>
    </row>
    <row r="85" spans="1:5" ht="15.75" customHeight="1">
      <c r="A85" s="2"/>
      <c r="B85" s="2"/>
      <c r="C85" s="2"/>
      <c r="D85" s="2"/>
      <c r="E85" s="2"/>
    </row>
    <row r="86" spans="1:5" ht="15.75" customHeight="1">
      <c r="A86" s="2"/>
      <c r="B86" s="2"/>
      <c r="C86" s="2"/>
      <c r="D86" s="2"/>
      <c r="E86" s="2"/>
    </row>
    <row r="87" spans="1:5" ht="15.75" customHeight="1">
      <c r="A87" s="2"/>
      <c r="B87" s="2"/>
      <c r="C87" s="2"/>
      <c r="D87" s="2"/>
      <c r="E87" s="2"/>
    </row>
    <row r="88" spans="1:5" ht="15.75" customHeight="1">
      <c r="A88" s="2"/>
      <c r="B88" s="2"/>
      <c r="C88" s="2"/>
      <c r="D88" s="2"/>
      <c r="E88" s="2"/>
    </row>
    <row r="89" spans="1:5" ht="15.75" customHeight="1">
      <c r="A89" s="2"/>
      <c r="B89" s="2"/>
      <c r="C89" s="2"/>
      <c r="D89" s="2"/>
      <c r="E89" s="2"/>
    </row>
    <row r="90" spans="1:5" ht="15.75" customHeight="1">
      <c r="A90" s="2"/>
      <c r="B90" s="2"/>
      <c r="C90" s="2"/>
      <c r="D90" s="2"/>
      <c r="E90" s="2"/>
    </row>
    <row r="91" spans="1:5" ht="15.75" customHeight="1">
      <c r="A91" s="2"/>
      <c r="B91" s="2"/>
      <c r="C91" s="2"/>
      <c r="D91" s="2"/>
      <c r="E91" s="2"/>
    </row>
    <row r="92" spans="1:5" ht="15.75" customHeight="1">
      <c r="A92" s="2"/>
      <c r="B92" s="2"/>
      <c r="C92" s="2"/>
      <c r="D92" s="2"/>
      <c r="E92" s="2"/>
    </row>
    <row r="93" spans="1:5" ht="15.75" customHeight="1">
      <c r="A93" s="2"/>
      <c r="B93" s="2"/>
      <c r="C93" s="2"/>
      <c r="D93" s="2"/>
      <c r="E93" s="2"/>
    </row>
    <row r="94" spans="1:5" ht="15.75" customHeight="1">
      <c r="A94" s="2"/>
      <c r="B94" s="2"/>
      <c r="C94" s="2"/>
      <c r="D94" s="2"/>
      <c r="E94" s="2"/>
    </row>
    <row r="95" spans="1:5" ht="15.75" customHeight="1">
      <c r="A95" s="2"/>
      <c r="B95" s="2"/>
      <c r="C95" s="2"/>
      <c r="D95" s="2"/>
      <c r="E95" s="2"/>
    </row>
    <row r="96" spans="1:5" ht="15.75" customHeight="1">
      <c r="A96" s="2"/>
      <c r="B96" s="2"/>
      <c r="C96" s="2"/>
      <c r="D96" s="2"/>
      <c r="E96" s="2"/>
    </row>
    <row r="97" spans="1:5" ht="15.75" customHeight="1">
      <c r="A97" s="2"/>
      <c r="B97" s="2"/>
      <c r="C97" s="2"/>
      <c r="D97" s="2"/>
      <c r="E97" s="2"/>
    </row>
    <row r="98" spans="1:5" ht="15.75" customHeight="1">
      <c r="A98" s="2"/>
      <c r="B98" s="2"/>
      <c r="C98" s="2"/>
      <c r="D98" s="2"/>
      <c r="E98" s="2"/>
    </row>
    <row r="99" spans="1:5" ht="15.75" customHeight="1">
      <c r="A99" s="2"/>
      <c r="B99" s="2"/>
      <c r="C99" s="2"/>
      <c r="D99" s="2"/>
      <c r="E99" s="2"/>
    </row>
    <row r="100" spans="1:5" ht="15.75" customHeight="1">
      <c r="A100" s="2"/>
      <c r="B100" s="2"/>
      <c r="C100" s="2"/>
      <c r="D100" s="2"/>
      <c r="E100" s="2"/>
    </row>
    <row r="101" spans="1:5" ht="15.75" customHeight="1">
      <c r="A101" s="2"/>
      <c r="B101" s="2"/>
      <c r="C101" s="2"/>
      <c r="D101" s="2"/>
      <c r="E101" s="2"/>
    </row>
    <row r="102" spans="1:5" ht="15.75" customHeight="1">
      <c r="A102" s="2"/>
      <c r="B102" s="2"/>
      <c r="C102" s="2"/>
      <c r="D102" s="2"/>
      <c r="E102" s="2"/>
    </row>
    <row r="103" spans="1:5" ht="15.75" customHeight="1">
      <c r="A103" s="2"/>
      <c r="B103" s="2"/>
      <c r="C103" s="2"/>
      <c r="D103" s="2"/>
      <c r="E103" s="2"/>
    </row>
    <row r="104" spans="1:5" ht="15.75" customHeight="1">
      <c r="A104" s="2"/>
      <c r="B104" s="2"/>
      <c r="C104" s="2"/>
      <c r="D104" s="2"/>
      <c r="E104" s="2"/>
    </row>
    <row r="105" spans="1:5" ht="15.75" customHeight="1">
      <c r="A105" s="2"/>
      <c r="B105" s="2"/>
      <c r="C105" s="2"/>
      <c r="D105" s="2"/>
      <c r="E105" s="2"/>
    </row>
    <row r="106" spans="1:5" ht="15.75" customHeight="1">
      <c r="A106" s="2"/>
      <c r="B106" s="2"/>
      <c r="C106" s="2"/>
      <c r="D106" s="2"/>
      <c r="E106" s="2"/>
    </row>
    <row r="107" spans="1:5" ht="15.75" customHeight="1">
      <c r="A107" s="2"/>
      <c r="B107" s="2"/>
      <c r="C107" s="2"/>
      <c r="D107" s="2"/>
      <c r="E107" s="2"/>
    </row>
    <row r="108" spans="1:5" ht="15.75" customHeight="1">
      <c r="A108" s="2"/>
      <c r="B108" s="2"/>
      <c r="C108" s="2"/>
      <c r="D108" s="2"/>
      <c r="E108" s="2"/>
    </row>
    <row r="109" spans="1:5" ht="15.75" customHeight="1">
      <c r="A109" s="2"/>
      <c r="B109" s="2"/>
      <c r="C109" s="2"/>
      <c r="D109" s="2"/>
      <c r="E109" s="2"/>
    </row>
    <row r="110" spans="1:5" ht="15.75" customHeight="1">
      <c r="A110" s="2"/>
      <c r="B110" s="2"/>
      <c r="C110" s="2"/>
      <c r="D110" s="2"/>
      <c r="E110" s="2"/>
    </row>
    <row r="111" spans="1:5" ht="15.75" customHeight="1">
      <c r="A111" s="2"/>
      <c r="B111" s="2"/>
      <c r="C111" s="2"/>
      <c r="D111" s="2"/>
      <c r="E111" s="2"/>
    </row>
    <row r="112" spans="1:5" ht="15.75" customHeight="1">
      <c r="A112" s="2"/>
      <c r="B112" s="2"/>
      <c r="C112" s="2"/>
      <c r="D112" s="2"/>
      <c r="E112" s="2"/>
    </row>
    <row r="113" spans="1:5" ht="15.75" customHeight="1">
      <c r="A113" s="2"/>
      <c r="B113" s="2"/>
      <c r="C113" s="2"/>
      <c r="D113" s="2"/>
      <c r="E113" s="2"/>
    </row>
    <row r="114" spans="1:5" ht="15.75" customHeight="1">
      <c r="A114" s="2"/>
      <c r="B114" s="2"/>
      <c r="C114" s="2"/>
      <c r="D114" s="2"/>
      <c r="E114" s="2"/>
    </row>
    <row r="115" spans="1:5" ht="15.75" customHeight="1">
      <c r="A115" s="2"/>
      <c r="B115" s="2"/>
      <c r="C115" s="2"/>
      <c r="D115" s="2"/>
      <c r="E115" s="2"/>
    </row>
    <row r="116" spans="1:5" ht="15.75" customHeight="1">
      <c r="A116" s="2"/>
      <c r="B116" s="2"/>
      <c r="C116" s="2"/>
      <c r="D116" s="2"/>
      <c r="E116" s="2"/>
    </row>
    <row r="117" spans="1:5" ht="15.75" customHeight="1">
      <c r="A117" s="2"/>
      <c r="B117" s="2"/>
      <c r="C117" s="2"/>
      <c r="D117" s="2"/>
      <c r="E117" s="2"/>
    </row>
    <row r="118" spans="1:5" ht="15.75" customHeight="1">
      <c r="A118" s="2"/>
      <c r="B118" s="2"/>
      <c r="C118" s="2"/>
      <c r="D118" s="2"/>
      <c r="E118" s="2"/>
    </row>
    <row r="119" spans="1:5" ht="15.75" customHeight="1">
      <c r="A119" s="2"/>
      <c r="B119" s="2"/>
      <c r="C119" s="2"/>
      <c r="D119" s="2"/>
      <c r="E119" s="2"/>
    </row>
    <row r="120" spans="1:5" ht="15.75" customHeight="1">
      <c r="A120" s="2"/>
      <c r="B120" s="2"/>
      <c r="C120" s="2"/>
      <c r="D120" s="2"/>
      <c r="E120" s="2"/>
    </row>
    <row r="121" spans="1:5" ht="15.75" customHeight="1">
      <c r="A121" s="2"/>
      <c r="B121" s="2"/>
      <c r="C121" s="2"/>
      <c r="D121" s="2"/>
      <c r="E121" s="2"/>
    </row>
    <row r="122" spans="1:5" ht="15.75" customHeight="1">
      <c r="A122" s="2"/>
      <c r="B122" s="2"/>
      <c r="C122" s="2"/>
      <c r="D122" s="2"/>
      <c r="E122" s="2"/>
    </row>
    <row r="123" spans="1:5" ht="15.75" customHeight="1">
      <c r="A123" s="2"/>
      <c r="B123" s="2"/>
      <c r="C123" s="2"/>
      <c r="D123" s="2"/>
      <c r="E123" s="2"/>
    </row>
    <row r="124" spans="1:5" ht="15.75" customHeight="1">
      <c r="A124" s="2"/>
      <c r="B124" s="2"/>
      <c r="C124" s="2"/>
      <c r="D124" s="2"/>
      <c r="E124" s="2"/>
    </row>
    <row r="125" spans="1:5" ht="15.75" customHeight="1">
      <c r="A125" s="2"/>
      <c r="B125" s="2"/>
      <c r="C125" s="2"/>
      <c r="D125" s="2"/>
      <c r="E125" s="2"/>
    </row>
    <row r="126" spans="1:5" ht="15.75" customHeight="1">
      <c r="A126" s="2"/>
      <c r="B126" s="2"/>
      <c r="C126" s="2"/>
      <c r="D126" s="2"/>
      <c r="E126" s="2"/>
    </row>
    <row r="127" spans="1:5" ht="15.75" customHeight="1">
      <c r="A127" s="2"/>
      <c r="B127" s="2"/>
      <c r="C127" s="2"/>
      <c r="D127" s="2"/>
      <c r="E127" s="2"/>
    </row>
    <row r="128" spans="1:5" ht="15.75" customHeight="1">
      <c r="A128" s="2"/>
      <c r="B128" s="2"/>
      <c r="C128" s="2"/>
      <c r="D128" s="2"/>
      <c r="E128" s="2"/>
    </row>
    <row r="129" spans="1:5" ht="15.75" customHeight="1">
      <c r="A129" s="2"/>
      <c r="B129" s="2"/>
      <c r="C129" s="2"/>
      <c r="D129" s="2"/>
      <c r="E129" s="2"/>
    </row>
    <row r="130" spans="1:5" ht="15.75" customHeight="1">
      <c r="A130" s="2"/>
      <c r="B130" s="2"/>
      <c r="C130" s="2"/>
      <c r="D130" s="2"/>
      <c r="E130" s="2"/>
    </row>
    <row r="131" spans="1:5" ht="15.75" customHeight="1">
      <c r="A131" s="2"/>
      <c r="B131" s="2"/>
      <c r="C131" s="2"/>
      <c r="D131" s="2"/>
      <c r="E131" s="2"/>
    </row>
    <row r="132" spans="1:5" ht="15.75" customHeight="1">
      <c r="A132" s="2"/>
      <c r="B132" s="2"/>
      <c r="C132" s="2"/>
      <c r="D132" s="2"/>
      <c r="E132" s="2"/>
    </row>
    <row r="133" spans="1:5" ht="15.75" customHeight="1">
      <c r="A133" s="2"/>
      <c r="B133" s="2"/>
      <c r="C133" s="2"/>
      <c r="D133" s="2"/>
      <c r="E133" s="2"/>
    </row>
    <row r="134" spans="1:5" ht="15.75" customHeight="1">
      <c r="A134" s="2"/>
      <c r="B134" s="2"/>
      <c r="C134" s="2"/>
      <c r="D134" s="2"/>
      <c r="E134" s="2"/>
    </row>
    <row r="135" spans="1:5" ht="15.75" customHeight="1">
      <c r="A135" s="2"/>
      <c r="B135" s="2"/>
      <c r="C135" s="2"/>
      <c r="D135" s="2"/>
      <c r="E135" s="2"/>
    </row>
    <row r="136" spans="1:5" ht="15.75" customHeight="1">
      <c r="A136" s="2"/>
      <c r="B136" s="2"/>
      <c r="C136" s="2"/>
      <c r="D136" s="2"/>
      <c r="E136" s="2"/>
    </row>
    <row r="137" spans="1:5" ht="15.75" customHeight="1">
      <c r="A137" s="2"/>
      <c r="B137" s="2"/>
      <c r="C137" s="2"/>
      <c r="D137" s="2"/>
      <c r="E137" s="2"/>
    </row>
    <row r="138" spans="1:5" ht="15.75" customHeight="1">
      <c r="A138" s="2"/>
      <c r="B138" s="2"/>
      <c r="C138" s="2"/>
      <c r="D138" s="2"/>
      <c r="E138" s="2"/>
    </row>
    <row r="139" spans="1:5" ht="15.75" customHeight="1">
      <c r="A139" s="2"/>
      <c r="B139" s="2"/>
      <c r="C139" s="2"/>
      <c r="D139" s="2"/>
      <c r="E139" s="2"/>
    </row>
    <row r="140" spans="1:5" ht="15.75" customHeight="1">
      <c r="A140" s="2"/>
      <c r="B140" s="2"/>
      <c r="C140" s="2"/>
      <c r="D140" s="2"/>
      <c r="E140" s="2"/>
    </row>
    <row r="141" spans="1:5" ht="15.75" customHeight="1">
      <c r="A141" s="2"/>
      <c r="B141" s="2"/>
      <c r="C141" s="2"/>
      <c r="D141" s="2"/>
      <c r="E141" s="2"/>
    </row>
    <row r="142" spans="1:5" ht="15.75" customHeight="1">
      <c r="A142" s="2"/>
      <c r="B142" s="2"/>
      <c r="C142" s="2"/>
      <c r="D142" s="2"/>
      <c r="E142" s="2"/>
    </row>
    <row r="143" spans="1:5" ht="15.75" customHeight="1">
      <c r="A143" s="2"/>
      <c r="B143" s="2"/>
      <c r="C143" s="2"/>
      <c r="D143" s="2"/>
      <c r="E143" s="2"/>
    </row>
    <row r="144" spans="1:5" ht="15.75" customHeight="1">
      <c r="A144" s="2"/>
      <c r="B144" s="2"/>
      <c r="C144" s="2"/>
      <c r="D144" s="2"/>
      <c r="E144" s="2"/>
    </row>
    <row r="145" spans="1:5" ht="15.75" customHeight="1">
      <c r="A145" s="2"/>
      <c r="B145" s="2"/>
      <c r="C145" s="2"/>
      <c r="D145" s="2"/>
      <c r="E145" s="2"/>
    </row>
    <row r="146" spans="1:5" ht="15.75" customHeight="1">
      <c r="A146" s="2"/>
      <c r="B146" s="2"/>
      <c r="C146" s="2"/>
      <c r="D146" s="2"/>
      <c r="E146" s="2"/>
    </row>
    <row r="147" spans="1:5" ht="15.75" customHeight="1">
      <c r="A147" s="2"/>
      <c r="B147" s="2"/>
      <c r="C147" s="2"/>
      <c r="D147" s="2"/>
      <c r="E147" s="2"/>
    </row>
    <row r="148" spans="1:5" ht="15.75" customHeight="1">
      <c r="A148" s="2"/>
      <c r="B148" s="2"/>
      <c r="C148" s="2"/>
      <c r="D148" s="2"/>
      <c r="E148" s="2"/>
    </row>
    <row r="149" spans="1:5" ht="15.75" customHeight="1">
      <c r="A149" s="2"/>
      <c r="B149" s="2"/>
      <c r="C149" s="2"/>
      <c r="D149" s="2"/>
      <c r="E149" s="2"/>
    </row>
    <row r="150" spans="1:5" ht="15.75" customHeight="1">
      <c r="A150" s="2"/>
      <c r="B150" s="2"/>
      <c r="C150" s="2"/>
      <c r="D150" s="2"/>
      <c r="E150" s="2"/>
    </row>
    <row r="151" spans="1:5" ht="15.75" customHeight="1">
      <c r="A151" s="2"/>
      <c r="B151" s="2"/>
      <c r="C151" s="2"/>
      <c r="D151" s="2"/>
      <c r="E151" s="2"/>
    </row>
    <row r="152" spans="1:5" ht="15.75" customHeight="1">
      <c r="A152" s="2"/>
      <c r="B152" s="2"/>
      <c r="C152" s="2"/>
      <c r="D152" s="2"/>
      <c r="E152" s="2"/>
    </row>
    <row r="153" spans="1:5" ht="15.75" customHeight="1">
      <c r="A153" s="2"/>
      <c r="B153" s="2"/>
      <c r="C153" s="2"/>
      <c r="D153" s="2"/>
      <c r="E153" s="2"/>
    </row>
    <row r="154" spans="1:5" ht="15.75" customHeight="1">
      <c r="A154" s="2"/>
      <c r="B154" s="2"/>
      <c r="C154" s="2"/>
      <c r="D154" s="2"/>
      <c r="E154" s="2"/>
    </row>
    <row r="155" spans="1:5" ht="15.75" customHeight="1">
      <c r="A155" s="2"/>
      <c r="B155" s="2"/>
      <c r="C155" s="2"/>
      <c r="D155" s="2"/>
      <c r="E155" s="2"/>
    </row>
    <row r="156" spans="1:5" ht="15.75" customHeight="1">
      <c r="A156" s="2"/>
      <c r="B156" s="2"/>
      <c r="C156" s="2"/>
      <c r="D156" s="2"/>
      <c r="E156" s="2"/>
    </row>
    <row r="157" spans="1:5" ht="15.75" customHeight="1">
      <c r="A157" s="2"/>
      <c r="B157" s="2"/>
      <c r="C157" s="2"/>
      <c r="D157" s="2"/>
      <c r="E157" s="2"/>
    </row>
    <row r="158" spans="1:5" ht="15.75" customHeight="1">
      <c r="A158" s="2"/>
      <c r="B158" s="2"/>
      <c r="C158" s="2"/>
      <c r="D158" s="2"/>
      <c r="E158" s="2"/>
    </row>
    <row r="159" spans="1:5" ht="15.75" customHeight="1">
      <c r="A159" s="2"/>
      <c r="B159" s="2"/>
      <c r="C159" s="2"/>
      <c r="D159" s="2"/>
      <c r="E159" s="2"/>
    </row>
    <row r="160" spans="1:5" ht="15.75" customHeight="1">
      <c r="A160" s="2"/>
      <c r="B160" s="2"/>
      <c r="C160" s="2"/>
      <c r="D160" s="2"/>
      <c r="E160" s="2"/>
    </row>
    <row r="161" spans="1:5" ht="15.75" customHeight="1">
      <c r="A161" s="2"/>
      <c r="B161" s="2"/>
      <c r="C161" s="2"/>
      <c r="D161" s="2"/>
      <c r="E161" s="2"/>
    </row>
    <row r="162" spans="1:5" ht="15.75" customHeight="1">
      <c r="A162" s="2"/>
      <c r="B162" s="2"/>
      <c r="C162" s="2"/>
      <c r="D162" s="2"/>
      <c r="E162" s="2"/>
    </row>
    <row r="163" spans="1:5" ht="15.75" customHeight="1">
      <c r="A163" s="2"/>
      <c r="B163" s="2"/>
      <c r="C163" s="2"/>
      <c r="D163" s="2"/>
      <c r="E163" s="2"/>
    </row>
    <row r="164" spans="1:5" ht="15.75" customHeight="1">
      <c r="A164" s="2"/>
      <c r="B164" s="2"/>
      <c r="C164" s="2"/>
      <c r="D164" s="2"/>
      <c r="E164" s="2"/>
    </row>
    <row r="165" spans="1:5" ht="15.75" customHeight="1">
      <c r="A165" s="2"/>
      <c r="B165" s="2"/>
      <c r="C165" s="2"/>
      <c r="D165" s="2"/>
      <c r="E165" s="2"/>
    </row>
    <row r="166" spans="1:5" ht="15.75" customHeight="1">
      <c r="A166" s="2"/>
      <c r="B166" s="2"/>
      <c r="C166" s="2"/>
      <c r="D166" s="2"/>
      <c r="E166" s="2"/>
    </row>
    <row r="167" spans="1:5" ht="15.75" customHeight="1">
      <c r="A167" s="2"/>
      <c r="B167" s="2"/>
      <c r="C167" s="2"/>
      <c r="D167" s="2"/>
      <c r="E167" s="2"/>
    </row>
    <row r="168" spans="1:5" ht="15.75" customHeight="1">
      <c r="A168" s="2"/>
      <c r="B168" s="2"/>
      <c r="C168" s="2"/>
      <c r="D168" s="2"/>
      <c r="E168" s="2"/>
    </row>
    <row r="169" spans="1:5" ht="15.75" customHeight="1">
      <c r="A169" s="2"/>
      <c r="B169" s="2"/>
      <c r="C169" s="2"/>
      <c r="D169" s="2"/>
      <c r="E169" s="2"/>
    </row>
    <row r="170" spans="1:5" ht="15.75" customHeight="1">
      <c r="A170" s="2"/>
      <c r="B170" s="2"/>
      <c r="C170" s="2"/>
      <c r="D170" s="2"/>
      <c r="E170" s="2"/>
    </row>
    <row r="171" spans="1:5" ht="15.75" customHeight="1">
      <c r="A171" s="2"/>
      <c r="B171" s="2"/>
      <c r="C171" s="2"/>
      <c r="D171" s="2"/>
      <c r="E171" s="2"/>
    </row>
    <row r="172" spans="1:5" ht="15.75" customHeight="1">
      <c r="A172" s="2"/>
      <c r="B172" s="2"/>
      <c r="C172" s="2"/>
      <c r="D172" s="2"/>
      <c r="E172" s="2"/>
    </row>
    <row r="173" spans="1:5" ht="15.75" customHeight="1">
      <c r="A173" s="2"/>
      <c r="B173" s="2"/>
      <c r="C173" s="2"/>
      <c r="D173" s="2"/>
      <c r="E173" s="2"/>
    </row>
    <row r="174" spans="1:5" ht="15.75" customHeight="1">
      <c r="A174" s="2"/>
      <c r="B174" s="2"/>
      <c r="C174" s="2"/>
      <c r="D174" s="2"/>
      <c r="E174" s="2"/>
    </row>
    <row r="175" spans="1:5" ht="15.75" customHeight="1">
      <c r="A175" s="2"/>
      <c r="B175" s="2"/>
      <c r="C175" s="2"/>
      <c r="D175" s="2"/>
      <c r="E175" s="2"/>
    </row>
    <row r="176" spans="1:5" ht="15.75" customHeight="1">
      <c r="A176" s="2"/>
      <c r="B176" s="2"/>
      <c r="C176" s="2"/>
      <c r="D176" s="2"/>
      <c r="E176" s="2"/>
    </row>
    <row r="177" spans="1:5" ht="15.75" customHeight="1">
      <c r="A177" s="2"/>
      <c r="B177" s="2"/>
      <c r="C177" s="2"/>
      <c r="D177" s="2"/>
      <c r="E177" s="2"/>
    </row>
    <row r="178" spans="1:5" ht="15.75" customHeight="1">
      <c r="A178" s="2"/>
      <c r="B178" s="2"/>
      <c r="C178" s="2"/>
      <c r="D178" s="2"/>
      <c r="E178" s="2"/>
    </row>
    <row r="179" spans="1:5" ht="15.75" customHeight="1">
      <c r="A179" s="2"/>
      <c r="B179" s="2"/>
      <c r="C179" s="2"/>
      <c r="D179" s="2"/>
      <c r="E179" s="2"/>
    </row>
    <row r="180" spans="1:5" ht="15.75" customHeight="1">
      <c r="A180" s="2"/>
      <c r="B180" s="2"/>
      <c r="C180" s="2"/>
      <c r="D180" s="2"/>
      <c r="E180" s="2"/>
    </row>
    <row r="181" spans="1:5" ht="15.75" customHeight="1">
      <c r="A181" s="2"/>
      <c r="B181" s="2"/>
      <c r="C181" s="2"/>
      <c r="D181" s="2"/>
      <c r="E181" s="2"/>
    </row>
    <row r="182" spans="1:5" ht="15.75" customHeight="1">
      <c r="A182" s="2"/>
      <c r="B182" s="2"/>
      <c r="C182" s="2"/>
      <c r="D182" s="2"/>
      <c r="E182" s="2"/>
    </row>
    <row r="183" spans="1:5" ht="15.75" customHeight="1">
      <c r="A183" s="2"/>
      <c r="B183" s="2"/>
      <c r="C183" s="2"/>
      <c r="D183" s="2"/>
      <c r="E183" s="2"/>
    </row>
    <row r="184" spans="1:5" ht="15.75" customHeight="1">
      <c r="A184" s="2"/>
      <c r="B184" s="2"/>
      <c r="C184" s="2"/>
      <c r="D184" s="2"/>
      <c r="E184" s="2"/>
    </row>
    <row r="185" spans="1:5" ht="15.75" customHeight="1">
      <c r="A185" s="2"/>
      <c r="B185" s="2"/>
      <c r="C185" s="2"/>
      <c r="D185" s="2"/>
      <c r="E185" s="2"/>
    </row>
    <row r="186" spans="1:5" ht="15.75" customHeight="1">
      <c r="A186" s="2"/>
      <c r="B186" s="2"/>
      <c r="C186" s="2"/>
      <c r="D186" s="2"/>
      <c r="E186" s="2"/>
    </row>
    <row r="187" spans="1:5" ht="15.75" customHeight="1">
      <c r="A187" s="2"/>
      <c r="B187" s="2"/>
      <c r="C187" s="2"/>
      <c r="D187" s="2"/>
      <c r="E187" s="2"/>
    </row>
    <row r="188" spans="1:5" ht="15.75" customHeight="1">
      <c r="A188" s="2"/>
      <c r="B188" s="2"/>
      <c r="C188" s="2"/>
      <c r="D188" s="2"/>
      <c r="E188" s="2"/>
    </row>
    <row r="189" spans="1:5" ht="15.75" customHeight="1">
      <c r="A189" s="2"/>
      <c r="B189" s="2"/>
      <c r="C189" s="2"/>
      <c r="D189" s="2"/>
      <c r="E189" s="2"/>
    </row>
    <row r="190" spans="1:5" ht="15.75" customHeight="1">
      <c r="A190" s="2"/>
      <c r="B190" s="2"/>
      <c r="C190" s="2"/>
      <c r="D190" s="2"/>
      <c r="E190" s="2"/>
    </row>
    <row r="191" spans="1:5" ht="15.75" customHeight="1">
      <c r="A191" s="2"/>
      <c r="B191" s="2"/>
      <c r="C191" s="2"/>
      <c r="D191" s="2"/>
      <c r="E191" s="2"/>
    </row>
    <row r="192" spans="1:5" ht="15.75" customHeight="1">
      <c r="A192" s="2"/>
      <c r="B192" s="2"/>
      <c r="C192" s="2"/>
      <c r="D192" s="2"/>
      <c r="E192" s="2"/>
    </row>
    <row r="193" spans="1:5" ht="15.75" customHeight="1">
      <c r="A193" s="2"/>
      <c r="B193" s="2"/>
      <c r="C193" s="2"/>
      <c r="D193" s="2"/>
      <c r="E193" s="2"/>
    </row>
    <row r="194" spans="1:5" ht="15.75" customHeight="1">
      <c r="A194" s="2"/>
      <c r="B194" s="2"/>
      <c r="C194" s="2"/>
      <c r="D194" s="2"/>
      <c r="E194" s="2"/>
    </row>
    <row r="195" spans="1:5" ht="15.75" customHeight="1">
      <c r="A195" s="2"/>
      <c r="B195" s="2"/>
      <c r="C195" s="2"/>
      <c r="D195" s="2"/>
      <c r="E195" s="2"/>
    </row>
    <row r="196" spans="1:5" ht="15.75" customHeight="1">
      <c r="A196" s="2"/>
      <c r="B196" s="2"/>
      <c r="C196" s="2"/>
      <c r="D196" s="2"/>
      <c r="E196" s="2"/>
    </row>
    <row r="197" spans="1:5" ht="15.75" customHeight="1">
      <c r="A197" s="2"/>
      <c r="B197" s="2"/>
      <c r="C197" s="2"/>
      <c r="D197" s="2"/>
      <c r="E197" s="2"/>
    </row>
    <row r="198" spans="1:5" ht="15.75" customHeight="1">
      <c r="A198" s="2"/>
      <c r="B198" s="2"/>
      <c r="C198" s="2"/>
      <c r="D198" s="2"/>
      <c r="E198" s="2"/>
    </row>
    <row r="199" spans="1:5" ht="15.75" customHeight="1">
      <c r="A199" s="2"/>
      <c r="B199" s="2"/>
      <c r="C199" s="2"/>
      <c r="D199" s="2"/>
      <c r="E199" s="2"/>
    </row>
    <row r="200" spans="1:5" ht="15.75" customHeight="1">
      <c r="A200" s="2"/>
      <c r="B200" s="2"/>
      <c r="C200" s="2"/>
      <c r="D200" s="2"/>
      <c r="E200" s="2"/>
    </row>
    <row r="201" spans="1:5" ht="15.75" customHeight="1">
      <c r="A201" s="2"/>
      <c r="B201" s="2"/>
      <c r="C201" s="2"/>
      <c r="D201" s="2"/>
      <c r="E201" s="2"/>
    </row>
    <row r="202" spans="1:5" ht="15.75" customHeight="1">
      <c r="A202" s="2"/>
      <c r="B202" s="2"/>
      <c r="C202" s="2"/>
      <c r="D202" s="2"/>
      <c r="E202" s="2"/>
    </row>
    <row r="203" spans="1:5" ht="15.75" customHeight="1">
      <c r="A203" s="2"/>
      <c r="B203" s="2"/>
      <c r="C203" s="2"/>
      <c r="D203" s="2"/>
      <c r="E203" s="2"/>
    </row>
    <row r="204" spans="1:5" ht="15.75" customHeight="1">
      <c r="A204" s="2"/>
      <c r="B204" s="2"/>
      <c r="C204" s="2"/>
      <c r="D204" s="2"/>
      <c r="E204" s="2"/>
    </row>
    <row r="205" spans="1:5" ht="15.75" customHeight="1">
      <c r="A205" s="2"/>
      <c r="B205" s="2"/>
      <c r="C205" s="2"/>
      <c r="D205" s="2"/>
      <c r="E205" s="2"/>
    </row>
    <row r="206" spans="1:5" ht="15.75" customHeight="1">
      <c r="A206" s="2"/>
      <c r="B206" s="2"/>
      <c r="C206" s="2"/>
      <c r="D206" s="2"/>
      <c r="E206" s="2"/>
    </row>
    <row r="207" spans="1:5" ht="15.75" customHeight="1">
      <c r="A207" s="2"/>
      <c r="B207" s="2"/>
      <c r="C207" s="2"/>
      <c r="D207" s="2"/>
      <c r="E207" s="2"/>
    </row>
    <row r="208" spans="1:5" ht="15.75" customHeight="1">
      <c r="A208" s="2"/>
      <c r="B208" s="2"/>
      <c r="C208" s="2"/>
      <c r="D208" s="2"/>
      <c r="E208" s="2"/>
    </row>
    <row r="209" spans="1:5" ht="15.75" customHeight="1">
      <c r="A209" s="2"/>
      <c r="B209" s="2"/>
      <c r="C209" s="2"/>
      <c r="D209" s="2"/>
      <c r="E209" s="2"/>
    </row>
    <row r="210" spans="1:5" ht="15.75" customHeight="1">
      <c r="A210" s="2"/>
      <c r="B210" s="2"/>
      <c r="C210" s="2"/>
      <c r="D210" s="2"/>
      <c r="E210" s="2"/>
    </row>
    <row r="211" spans="1:5" ht="15.75" customHeight="1">
      <c r="A211" s="2"/>
      <c r="B211" s="2"/>
      <c r="C211" s="2"/>
      <c r="D211" s="2"/>
      <c r="E211" s="2"/>
    </row>
    <row r="212" spans="1:5" ht="15.75" customHeight="1">
      <c r="A212" s="2"/>
      <c r="B212" s="2"/>
      <c r="C212" s="2"/>
      <c r="D212" s="2"/>
      <c r="E212" s="2"/>
    </row>
    <row r="213" spans="1:5" ht="15.75" customHeight="1">
      <c r="A213" s="2"/>
      <c r="B213" s="2"/>
      <c r="C213" s="2"/>
      <c r="D213" s="2"/>
      <c r="E213" s="2"/>
    </row>
    <row r="214" spans="1:5" ht="15.75" customHeight="1">
      <c r="A214" s="2"/>
      <c r="B214" s="2"/>
      <c r="C214" s="2"/>
      <c r="D214" s="2"/>
      <c r="E214" s="2"/>
    </row>
    <row r="215" spans="1:5" ht="15.75" customHeight="1">
      <c r="A215" s="2"/>
      <c r="B215" s="2"/>
      <c r="C215" s="2"/>
      <c r="D215" s="2"/>
      <c r="E215" s="2"/>
    </row>
    <row r="216" spans="1:5" ht="15.75" customHeight="1">
      <c r="A216" s="2"/>
      <c r="B216" s="2"/>
      <c r="C216" s="2"/>
      <c r="D216" s="2"/>
      <c r="E216" s="2"/>
    </row>
    <row r="217" spans="1:5" ht="15.75" customHeight="1">
      <c r="A217" s="2"/>
      <c r="B217" s="2"/>
      <c r="C217" s="2"/>
      <c r="D217" s="2"/>
      <c r="E217" s="2"/>
    </row>
    <row r="218" spans="1:5" ht="15.75" customHeight="1">
      <c r="A218" s="2"/>
      <c r="B218" s="2"/>
      <c r="C218" s="2"/>
      <c r="D218" s="2"/>
      <c r="E218" s="2"/>
    </row>
    <row r="219" spans="1:5" ht="15.75" customHeight="1">
      <c r="A219" s="2"/>
      <c r="B219" s="2"/>
      <c r="C219" s="2"/>
      <c r="D219" s="2"/>
      <c r="E219" s="2"/>
    </row>
    <row r="220" spans="1:5" ht="15.75" customHeight="1">
      <c r="A220" s="2"/>
      <c r="B220" s="2"/>
      <c r="C220" s="2"/>
      <c r="D220" s="2"/>
      <c r="E220" s="2"/>
    </row>
    <row r="221" spans="1:5" ht="15.75" customHeight="1"/>
    <row r="222" spans="1:5" ht="15.75" customHeight="1"/>
    <row r="223" spans="1:5" ht="15.75" customHeight="1"/>
    <row r="224" spans="1:5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3:A4"/>
    <mergeCell ref="B3:E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1000"/>
  <sheetViews>
    <sheetView workbookViewId="0"/>
  </sheetViews>
  <sheetFormatPr defaultColWidth="14.44140625" defaultRowHeight="15" customHeight="1"/>
  <cols>
    <col min="1" max="1" width="24.88671875" customWidth="1"/>
    <col min="2" max="2" width="17.109375" customWidth="1"/>
    <col min="3" max="3" width="15" customWidth="1"/>
    <col min="4" max="6" width="8.6640625" customWidth="1"/>
    <col min="7" max="7" width="22.6640625" customWidth="1"/>
    <col min="8" max="8" width="18.109375" customWidth="1"/>
    <col min="9" max="9" width="18.6640625" customWidth="1"/>
    <col min="10" max="26" width="8.6640625" customWidth="1"/>
  </cols>
  <sheetData>
    <row r="2" spans="1:9" ht="14.4">
      <c r="A2" s="1" t="s">
        <v>862</v>
      </c>
    </row>
    <row r="3" spans="1:9" ht="14.4">
      <c r="A3" s="1" t="s">
        <v>863</v>
      </c>
    </row>
    <row r="4" spans="1:9" ht="14.4">
      <c r="A4" s="24" t="s">
        <v>864</v>
      </c>
      <c r="B4" s="22"/>
      <c r="C4" s="23"/>
      <c r="G4" s="24" t="s">
        <v>865</v>
      </c>
      <c r="H4" s="22"/>
      <c r="I4" s="23"/>
    </row>
    <row r="5" spans="1:9" ht="14.4">
      <c r="A5" s="14" t="s">
        <v>866</v>
      </c>
      <c r="B5" s="14" t="s">
        <v>5</v>
      </c>
      <c r="C5" s="14" t="s">
        <v>9</v>
      </c>
      <c r="G5" s="14" t="s">
        <v>866</v>
      </c>
      <c r="H5" s="14" t="s">
        <v>5</v>
      </c>
      <c r="I5" s="14" t="s">
        <v>9</v>
      </c>
    </row>
    <row r="6" spans="1:9" ht="14.4">
      <c r="A6" s="15" t="s">
        <v>867</v>
      </c>
      <c r="B6" s="15"/>
      <c r="C6" s="15"/>
      <c r="G6" s="15" t="s">
        <v>867</v>
      </c>
      <c r="H6" s="15"/>
      <c r="I6" s="15"/>
    </row>
    <row r="7" spans="1:9" ht="14.4">
      <c r="A7" s="15" t="s">
        <v>868</v>
      </c>
      <c r="B7" s="15"/>
      <c r="C7" s="15"/>
      <c r="G7" s="15" t="s">
        <v>868</v>
      </c>
      <c r="H7" s="15"/>
      <c r="I7" s="15"/>
    </row>
    <row r="8" spans="1:9" ht="14.4">
      <c r="A8" s="15" t="s">
        <v>869</v>
      </c>
      <c r="B8" s="15"/>
      <c r="C8" s="15"/>
      <c r="G8" s="15" t="s">
        <v>869</v>
      </c>
      <c r="H8" s="15"/>
      <c r="I8" s="15"/>
    </row>
    <row r="9" spans="1:9" ht="14.4">
      <c r="A9" s="15" t="s">
        <v>870</v>
      </c>
      <c r="B9" s="15"/>
      <c r="C9" s="15"/>
      <c r="G9" s="15" t="s">
        <v>871</v>
      </c>
      <c r="H9" s="15"/>
      <c r="I9" s="15"/>
    </row>
    <row r="10" spans="1:9" ht="14.4">
      <c r="A10" s="15" t="s">
        <v>872</v>
      </c>
      <c r="B10" s="15"/>
      <c r="C10" s="15"/>
      <c r="G10" s="15" t="s">
        <v>872</v>
      </c>
      <c r="H10" s="15"/>
      <c r="I10" s="15"/>
    </row>
    <row r="11" spans="1:9" ht="14.4">
      <c r="A11" s="15" t="s">
        <v>873</v>
      </c>
      <c r="B11" s="15"/>
      <c r="C11" s="15"/>
      <c r="G11" s="15" t="s">
        <v>873</v>
      </c>
      <c r="H11" s="15"/>
      <c r="I11" s="15"/>
    </row>
    <row r="12" spans="1:9" ht="14.4">
      <c r="A12" s="15" t="s">
        <v>874</v>
      </c>
      <c r="B12" s="15"/>
      <c r="C12" s="15"/>
      <c r="G12" s="15" t="s">
        <v>874</v>
      </c>
      <c r="H12" s="15"/>
      <c r="I12" s="15"/>
    </row>
    <row r="13" spans="1:9" ht="14.4">
      <c r="A13" s="15" t="s">
        <v>875</v>
      </c>
      <c r="B13" s="15"/>
      <c r="C13" s="15"/>
      <c r="G13" s="15" t="s">
        <v>875</v>
      </c>
      <c r="H13" s="15"/>
      <c r="I13" s="15"/>
    </row>
    <row r="14" spans="1:9" ht="14.4">
      <c r="A14" s="15" t="s">
        <v>876</v>
      </c>
      <c r="B14" s="15"/>
      <c r="C14" s="15"/>
      <c r="G14" s="15" t="s">
        <v>877</v>
      </c>
      <c r="H14" s="15"/>
      <c r="I14" s="15"/>
    </row>
    <row r="15" spans="1:9" ht="14.4">
      <c r="A15" s="15" t="s">
        <v>874</v>
      </c>
      <c r="B15" s="15"/>
      <c r="C15" s="15"/>
      <c r="G15" s="15" t="s">
        <v>874</v>
      </c>
      <c r="H15" s="15"/>
      <c r="I15" s="15"/>
    </row>
    <row r="16" spans="1:9" ht="14.4">
      <c r="A16" s="15" t="s">
        <v>878</v>
      </c>
      <c r="B16" s="15"/>
      <c r="C16" s="15"/>
      <c r="G16" s="15" t="s">
        <v>878</v>
      </c>
      <c r="H16" s="15"/>
      <c r="I16" s="15"/>
    </row>
    <row r="17" spans="1:9" ht="14.4">
      <c r="A17" s="15" t="s">
        <v>879</v>
      </c>
      <c r="B17" s="15"/>
      <c r="C17" s="15"/>
      <c r="G17" s="15" t="s">
        <v>879</v>
      </c>
      <c r="H17" s="15"/>
      <c r="I17" s="15"/>
    </row>
    <row r="18" spans="1:9" ht="14.4">
      <c r="A18" s="15" t="s">
        <v>880</v>
      </c>
      <c r="B18" s="15"/>
      <c r="C18" s="15"/>
      <c r="G18" s="15" t="s">
        <v>880</v>
      </c>
      <c r="H18" s="15"/>
      <c r="I18" s="15"/>
    </row>
    <row r="19" spans="1:9" ht="14.4">
      <c r="A19" s="15" t="s">
        <v>881</v>
      </c>
      <c r="B19" s="15"/>
      <c r="C19" s="15"/>
      <c r="G19" s="15" t="s">
        <v>881</v>
      </c>
      <c r="H19" s="15"/>
      <c r="I19" s="15"/>
    </row>
    <row r="20" spans="1:9" ht="14.4">
      <c r="A20" s="15" t="s">
        <v>882</v>
      </c>
      <c r="B20" s="15"/>
      <c r="C20" s="15"/>
      <c r="G20" s="15" t="s">
        <v>882</v>
      </c>
      <c r="H20" s="15"/>
      <c r="I20" s="15"/>
    </row>
    <row r="21" spans="1:9" ht="15.75" customHeight="1">
      <c r="A21" s="15" t="s">
        <v>883</v>
      </c>
      <c r="B21" s="15"/>
      <c r="C21" s="15"/>
      <c r="G21" s="15" t="s">
        <v>883</v>
      </c>
      <c r="H21" s="15"/>
      <c r="I21" s="15"/>
    </row>
    <row r="22" spans="1:9" ht="15.75" customHeight="1">
      <c r="A22" s="15" t="s">
        <v>884</v>
      </c>
      <c r="B22" s="15"/>
      <c r="C22" s="15"/>
      <c r="G22" s="15" t="s">
        <v>884</v>
      </c>
      <c r="H22" s="15"/>
      <c r="I22" s="15"/>
    </row>
    <row r="23" spans="1:9" ht="15.75" customHeight="1">
      <c r="A23" s="15" t="s">
        <v>885</v>
      </c>
      <c r="B23" s="15"/>
      <c r="C23" s="15"/>
      <c r="G23" s="15" t="s">
        <v>885</v>
      </c>
      <c r="H23" s="15"/>
      <c r="I23" s="15"/>
    </row>
    <row r="24" spans="1:9" ht="15.75" customHeight="1">
      <c r="A24" s="15" t="s">
        <v>886</v>
      </c>
      <c r="B24" s="15"/>
      <c r="C24" s="15"/>
      <c r="G24" s="15" t="s">
        <v>886</v>
      </c>
      <c r="H24" s="15"/>
      <c r="I24" s="15"/>
    </row>
    <row r="25" spans="1:9" ht="15.75" customHeight="1">
      <c r="A25" s="15" t="s">
        <v>887</v>
      </c>
      <c r="B25" s="15"/>
      <c r="C25" s="15"/>
      <c r="G25" s="15" t="s">
        <v>887</v>
      </c>
      <c r="H25" s="15"/>
      <c r="I25" s="15"/>
    </row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4:C4"/>
    <mergeCell ref="G4:I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workbookViewId="0"/>
  </sheetViews>
  <sheetFormatPr defaultColWidth="14.44140625" defaultRowHeight="15" customHeight="1"/>
  <cols>
    <col min="1" max="1" width="20.5546875" customWidth="1"/>
    <col min="2" max="2" width="12.33203125" customWidth="1"/>
    <col min="3" max="3" width="19.44140625" customWidth="1"/>
    <col min="4" max="4" width="15.109375" customWidth="1"/>
    <col min="5" max="5" width="14.88671875" customWidth="1"/>
    <col min="6" max="6" width="9.109375" customWidth="1"/>
    <col min="7" max="26" width="8.6640625" customWidth="1"/>
  </cols>
  <sheetData>
    <row r="1" spans="1:5" ht="14.4">
      <c r="A1" s="18" t="s">
        <v>888</v>
      </c>
      <c r="C1" s="1" t="s">
        <v>889</v>
      </c>
    </row>
    <row r="2" spans="1:5" ht="14.4">
      <c r="C2" s="1" t="s">
        <v>890</v>
      </c>
    </row>
    <row r="3" spans="1:5" ht="14.4">
      <c r="C3" s="1" t="s">
        <v>891</v>
      </c>
    </row>
    <row r="6" spans="1:5" ht="14.4">
      <c r="C6" s="18" t="s">
        <v>888</v>
      </c>
      <c r="D6" s="18" t="s">
        <v>2</v>
      </c>
    </row>
    <row r="7" spans="1:5" ht="14.4">
      <c r="C7" s="16"/>
      <c r="D7" s="10"/>
    </row>
    <row r="11" spans="1:5" ht="14.4">
      <c r="C11" s="1" t="s">
        <v>892</v>
      </c>
    </row>
    <row r="12" spans="1:5" ht="14.4">
      <c r="C12" s="18" t="s">
        <v>888</v>
      </c>
      <c r="D12" s="18" t="s">
        <v>5</v>
      </c>
      <c r="E12" s="18" t="s">
        <v>9</v>
      </c>
    </row>
    <row r="13" spans="1:5" ht="14.4">
      <c r="C13" s="16"/>
      <c r="D13" s="16"/>
      <c r="E13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Text to columns</vt:lpstr>
      <vt:lpstr>Excercise 1</vt:lpstr>
      <vt:lpstr>Excercise2 </vt:lpstr>
      <vt:lpstr>Excercise 3</vt:lpstr>
      <vt:lpstr>Excercise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 Kumari</dc:creator>
  <cp:lastModifiedBy>vaibhav umbarkar</cp:lastModifiedBy>
  <dcterms:created xsi:type="dcterms:W3CDTF">2024-04-30T08:19:59Z</dcterms:created>
  <dcterms:modified xsi:type="dcterms:W3CDTF">2025-09-21T18:09:11Z</dcterms:modified>
</cp:coreProperties>
</file>