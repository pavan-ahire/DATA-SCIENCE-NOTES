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vaibhav umbarkar\Downloads\"/>
    </mc:Choice>
  </mc:AlternateContent>
  <xr:revisionPtr revIDLastSave="0" documentId="13_ncr:1_{BF6A1957-29D1-407B-A08B-0C98413926C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Excercise 1" sheetId="1" r:id="rId1"/>
    <sheet name="Excercise 2" sheetId="2" r:id="rId2"/>
    <sheet name="Excercise 3" sheetId="3" r:id="rId3"/>
    <sheet name="Excercise 4" sheetId="4" r:id="rId4"/>
    <sheet name="Excersice 5" sheetId="5" r:id="rId5"/>
    <sheet name="Excersice 6" sheetId="6" r:id="rId6"/>
    <sheet name="Excercise 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1" roundtripDataChecksum="3QE4NapJzekJiIi4Xi+6JgKt7sEymbIU6/yS030ptuY="/>
    </ext>
  </extLst>
</workbook>
</file>

<file path=xl/calcChain.xml><?xml version="1.0" encoding="utf-8"?>
<calcChain xmlns="http://schemas.openxmlformats.org/spreadsheetml/2006/main">
  <c r="E13" i="7" l="1"/>
  <c r="E14" i="7"/>
  <c r="E15" i="7"/>
  <c r="E16" i="7"/>
  <c r="E17" i="7"/>
  <c r="E18" i="7"/>
  <c r="E12" i="7"/>
  <c r="G11" i="6"/>
  <c r="G12" i="6"/>
  <c r="G13" i="6"/>
  <c r="G14" i="6"/>
  <c r="G15" i="6"/>
  <c r="G16" i="6"/>
  <c r="G17" i="6"/>
  <c r="G10" i="6"/>
  <c r="F11" i="6"/>
  <c r="F12" i="6"/>
  <c r="F13" i="6"/>
  <c r="F14" i="6"/>
  <c r="F15" i="6"/>
  <c r="F16" i="6"/>
  <c r="F17" i="6"/>
  <c r="F10" i="6"/>
  <c r="F26" i="5"/>
  <c r="F27" i="5"/>
  <c r="F28" i="5"/>
  <c r="F29" i="5"/>
  <c r="F30" i="5"/>
  <c r="F31" i="5"/>
  <c r="F32" i="5"/>
  <c r="F33" i="5"/>
  <c r="F34" i="5"/>
  <c r="F25" i="5"/>
  <c r="E26" i="5"/>
  <c r="E27" i="5"/>
  <c r="E28" i="5"/>
  <c r="E29" i="5"/>
  <c r="E30" i="5"/>
  <c r="E31" i="5"/>
  <c r="E32" i="5"/>
  <c r="E33" i="5"/>
  <c r="E34" i="5"/>
  <c r="E25" i="5"/>
  <c r="E3" i="4"/>
  <c r="E4" i="4"/>
  <c r="E5" i="4"/>
  <c r="E6" i="4"/>
  <c r="E7" i="4"/>
  <c r="E8" i="4"/>
  <c r="E9" i="4"/>
  <c r="E10" i="4"/>
  <c r="E11" i="4"/>
  <c r="E2" i="4"/>
  <c r="D3" i="4"/>
  <c r="D4" i="4"/>
  <c r="D5" i="4"/>
  <c r="D6" i="4"/>
  <c r="D7" i="4"/>
  <c r="D8" i="4"/>
  <c r="D9" i="4"/>
  <c r="D10" i="4"/>
  <c r="D11" i="4"/>
  <c r="D2" i="4"/>
  <c r="F10" i="3"/>
  <c r="E10" i="3"/>
  <c r="D10" i="3"/>
  <c r="I6" i="3"/>
  <c r="I7" i="3"/>
  <c r="I8" i="3"/>
  <c r="I9" i="3"/>
  <c r="I5" i="3"/>
  <c r="H6" i="3"/>
  <c r="H7" i="3"/>
  <c r="H8" i="3"/>
  <c r="H9" i="3"/>
  <c r="H5" i="3"/>
  <c r="G6" i="3"/>
  <c r="G7" i="3"/>
  <c r="G8" i="3"/>
  <c r="G9" i="3"/>
  <c r="G5" i="3"/>
  <c r="I10" i="2"/>
  <c r="I11" i="2"/>
  <c r="I12" i="2"/>
  <c r="I13" i="2"/>
  <c r="I9" i="2"/>
  <c r="H10" i="2"/>
  <c r="H11" i="2"/>
  <c r="H12" i="2"/>
  <c r="H13" i="2"/>
  <c r="H9" i="2"/>
  <c r="G10" i="2"/>
  <c r="G11" i="2"/>
  <c r="G12" i="2"/>
  <c r="G13" i="2"/>
  <c r="G9" i="2"/>
  <c r="F10" i="2"/>
  <c r="F11" i="2"/>
  <c r="F12" i="2"/>
  <c r="F13" i="2"/>
  <c r="F9" i="2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<sst xmlns="http://schemas.openxmlformats.org/spreadsheetml/2006/main" count="184" uniqueCount="140">
  <si>
    <t>Employee Name</t>
  </si>
  <si>
    <t>Sales Amount</t>
  </si>
  <si>
    <t>Bonus</t>
  </si>
  <si>
    <t>John</t>
  </si>
  <si>
    <t>$4500</t>
  </si>
  <si>
    <t>Emily</t>
  </si>
  <si>
    <t>$7000</t>
  </si>
  <si>
    <r>
      <rPr>
        <sz val="11"/>
        <color theme="1"/>
        <rFont val="Calibri"/>
      </rPr>
      <t>You have data of Employees and their sales calculate</t>
    </r>
    <r>
      <rPr>
        <b/>
        <sz val="11"/>
        <color theme="1"/>
        <rFont val="Calibri"/>
      </rPr>
      <t xml:space="preserve"> 10% bonus</t>
    </r>
    <r>
      <rPr>
        <sz val="11"/>
        <color theme="1"/>
        <rFont val="Calibri"/>
      </rPr>
      <t xml:space="preserve"> for each employees</t>
    </r>
  </si>
  <si>
    <t>Michael</t>
  </si>
  <si>
    <t>$3000</t>
  </si>
  <si>
    <t>Sarah</t>
  </si>
  <si>
    <t>$5500</t>
  </si>
  <si>
    <t>David</t>
  </si>
  <si>
    <t>$800</t>
  </si>
  <si>
    <t>Sophia</t>
  </si>
  <si>
    <t>$9500</t>
  </si>
  <si>
    <t>Liam</t>
  </si>
  <si>
    <t>$4000</t>
  </si>
  <si>
    <t>Emma</t>
  </si>
  <si>
    <t>$6200</t>
  </si>
  <si>
    <t>Benjamin</t>
  </si>
  <si>
    <t>$1500</t>
  </si>
  <si>
    <t>Olivia</t>
  </si>
  <si>
    <t>$4800</t>
  </si>
  <si>
    <t>Use a text function to extract the first name and last name separately from the "Student Name" column.</t>
  </si>
  <si>
    <t>Separate the first name and last name to create a new column "First Name", "Last Name".</t>
  </si>
  <si>
    <t>Calculate the average score for each student.</t>
  </si>
  <si>
    <t>Use a logical function to determine if a student's average score is above or equal to 85. If yes, label them as "Pass", otherwise label them as "Fail".</t>
  </si>
  <si>
    <t>Complete the following:</t>
  </si>
  <si>
    <t>Student Name</t>
  </si>
  <si>
    <t>Exam 1 Score</t>
  </si>
  <si>
    <t>Exam 2 Score</t>
  </si>
  <si>
    <t>Exam 3 Score</t>
  </si>
  <si>
    <t>Exam 4 Score</t>
  </si>
  <si>
    <t>First Name</t>
  </si>
  <si>
    <t>Last Name</t>
  </si>
  <si>
    <t>Average Score</t>
  </si>
  <si>
    <t>Result</t>
  </si>
  <si>
    <t>John Doe</t>
  </si>
  <si>
    <t>Alice Smith</t>
  </si>
  <si>
    <t>Bob Johnson</t>
  </si>
  <si>
    <t>Sarah Lee</t>
  </si>
  <si>
    <t>Emily Brown</t>
  </si>
  <si>
    <t>S. No</t>
  </si>
  <si>
    <t>Account Head</t>
  </si>
  <si>
    <t>Actual Expenditure</t>
  </si>
  <si>
    <t>Average of last three years</t>
  </si>
  <si>
    <t>Estimate for 2020-21</t>
  </si>
  <si>
    <t>% increase over 2017-18</t>
  </si>
  <si>
    <t xml:space="preserve">2017-18 </t>
  </si>
  <si>
    <t xml:space="preserve">2018-19 </t>
  </si>
  <si>
    <t>2019-20</t>
  </si>
  <si>
    <t>Salaries</t>
  </si>
  <si>
    <t>Travel Expenses</t>
  </si>
  <si>
    <t>Medical Charges</t>
  </si>
  <si>
    <t>Office Expenses</t>
  </si>
  <si>
    <t>Advt., Sales &amp; Publicity Expenses</t>
  </si>
  <si>
    <t>Total :</t>
  </si>
  <si>
    <t>1) Calculate the Average of last  3 years</t>
  </si>
  <si>
    <t>2) Calculate the estimate for 2020-21</t>
  </si>
  <si>
    <t>Estimate for 2020-21=Average+0.15×Average</t>
  </si>
  <si>
    <t>3) Calculate  the percent increase over 2017-18</t>
  </si>
  <si>
    <r>
      <rPr>
        <sz val="15"/>
        <color rgb="FF0D0D0D"/>
        <rFont val="Times New Roman"/>
      </rPr>
      <t>Increase=</t>
    </r>
    <r>
      <rPr>
        <sz val="14"/>
        <color rgb="FF0D0D0D"/>
        <rFont val="Times New Roman"/>
      </rPr>
      <t>Estimate for 2020-21−Expenditure for 2017-18/Expenditure for 2017-18​×100</t>
    </r>
  </si>
  <si>
    <t>Product ID</t>
  </si>
  <si>
    <t>Product Name</t>
  </si>
  <si>
    <t>Category</t>
  </si>
  <si>
    <t>Brand</t>
  </si>
  <si>
    <t>Model</t>
  </si>
  <si>
    <t>Apple iPhone 12 Pro Max</t>
  </si>
  <si>
    <t>Electronics</t>
  </si>
  <si>
    <t>1)  Separate the Brand Name with Model name Using text functions</t>
  </si>
  <si>
    <t>Samsung Galaxy Watch 4</t>
  </si>
  <si>
    <t>Sony PlayStation 5</t>
  </si>
  <si>
    <t>Nike Air Zoom Pegasus 38</t>
  </si>
  <si>
    <t>Footwear</t>
  </si>
  <si>
    <t>Adidas Ultraboost 21</t>
  </si>
  <si>
    <t>HP Pavilion Laptop</t>
  </si>
  <si>
    <t>Canon EOS Rebel T7i</t>
  </si>
  <si>
    <t>Bose QuietComfort 35 II</t>
  </si>
  <si>
    <t>Levi's 501 Original Fit</t>
  </si>
  <si>
    <t>Clothing</t>
  </si>
  <si>
    <t>Calvin Klein Men's Shirt</t>
  </si>
  <si>
    <t>Customer ID</t>
  </si>
  <si>
    <t>Customer Name</t>
  </si>
  <si>
    <t>Email</t>
  </si>
  <si>
    <t>john.doe@example.com</t>
  </si>
  <si>
    <t>alice.smith@example.org</t>
  </si>
  <si>
    <t>bob.johnson@example.com</t>
  </si>
  <si>
    <t>sarah.lee@example.net</t>
  </si>
  <si>
    <t>emily.brown@example.org</t>
  </si>
  <si>
    <t>Michael Anderson</t>
  </si>
  <si>
    <t>michael.anderson@example.com</t>
  </si>
  <si>
    <t>Olivia Garcia</t>
  </si>
  <si>
    <t>olivia.garcia@example.net</t>
  </si>
  <si>
    <t>David Martinez</t>
  </si>
  <si>
    <t>david.martinez@example.org</t>
  </si>
  <si>
    <t>Sophia Wilson</t>
  </si>
  <si>
    <t>sophia.wilson@example.com</t>
  </si>
  <si>
    <t>Ethan Taylor</t>
  </si>
  <si>
    <t>ethan.taylor@example.net</t>
  </si>
  <si>
    <t>Create a new column and Use a logical function to categorize customers based on their email domains:</t>
  </si>
  <si>
    <t>"Personal" if the domain is "example.com".</t>
  </si>
  <si>
    <t>"Organization" if the domain is "example.org".</t>
  </si>
  <si>
    <t>"Network" if the domain is "example.net".</t>
  </si>
  <si>
    <t>"Other" for any other domain.</t>
  </si>
  <si>
    <t>The table below contains details of high school students names and ages, use IF formula to complete columns F and G</t>
  </si>
  <si>
    <t>If the student's age is 18 or above, he/she is eligible for a driver's license and below 18 not eligible.</t>
  </si>
  <si>
    <t>If the student is younger than 18 years old he/she is a minor. for Minor return "Minor" and non minor = "Adult" anwswer in column G</t>
  </si>
  <si>
    <t>Column F</t>
  </si>
  <si>
    <t>Column G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</si>
  <si>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</si>
  <si>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</si>
  <si>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</si>
  <si>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</si>
  <si>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</si>
  <si>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</si>
  <si>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</si>
  <si>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</si>
  <si>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</si>
  <si>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</si>
  <si>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</si>
  <si>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</si>
  <si>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</si>
  <si>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</si>
  <si>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</si>
  <si>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</si>
  <si>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</si>
  <si>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</si>
  <si>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</si>
  <si>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</si>
  <si>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</si>
  <si>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</si>
  <si>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</si>
  <si>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</si>
  <si>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</si>
  <si>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</si>
  <si>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</si>
  <si>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</si>
  <si>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category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</si>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</sst>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9"/>
      <color rgb="FF0D0D0D"/>
      <name val="Quattrocento Sans"/>
    </font>
    <font>
      <sz val="9"/>
      <color rgb="FF0D0D0D"/>
      <name val="Quattrocento Sans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D0D0D"/>
      <name val="Quattrocento Sans"/>
    </font>
    <font>
      <b/>
      <sz val="11"/>
      <color theme="1"/>
      <name val="Calibri"/>
    </font>
    <font>
      <sz val="11"/>
      <name val="Calibri"/>
    </font>
    <font>
      <sz val="15"/>
      <color rgb="FF0D0D0D"/>
      <name val="Times New Roman"/>
    </font>
    <font>
      <sz val="11"/>
      <color rgb="FFFFFFFF"/>
      <name val="Ui-monospace"/>
    </font>
    <font>
      <b/>
      <sz val="11"/>
      <color rgb="FF0E101A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4"/>
      <color rgb="FF0D0D0D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right" wrapText="1"/>
    </xf>
    <xf numFmtId="0" fontId="3" fillId="4" borderId="4" xfId="0" applyFont="1" applyFill="1" applyBorder="1"/>
    <xf numFmtId="0" fontId="3" fillId="4" borderId="5" xfId="0" applyFont="1" applyFill="1" applyBorder="1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/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vertical="center" wrapText="1"/>
    </xf>
    <xf numFmtId="0" fontId="9" fillId="3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10" fillId="0" borderId="0" xfId="0" applyFont="1"/>
    <xf numFmtId="0" fontId="11" fillId="0" borderId="1" xfId="0" applyFont="1" applyBorder="1"/>
    <xf numFmtId="0" fontId="12" fillId="0" borderId="7" xfId="0" applyFont="1" applyBorder="1"/>
    <xf numFmtId="0" fontId="3" fillId="0" borderId="1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4" borderId="1" xfId="0" applyFont="1" applyFill="1" applyBorder="1"/>
    <xf numFmtId="9" fontId="3" fillId="0" borderId="1" xfId="0" applyNumberFormat="1" applyFont="1" applyBorder="1" applyAlignment="1">
      <alignment horizontal="right"/>
    </xf>
    <xf numFmtId="0" fontId="6" fillId="0" borderId="1" xfId="0" applyFont="1" applyBorder="1"/>
    <xf numFmtId="3" fontId="3" fillId="0" borderId="1" xfId="0" applyNumberFormat="1" applyFont="1" applyBorder="1" applyAlignment="1">
      <alignment horizontal="right"/>
    </xf>
    <xf numFmtId="10" fontId="3" fillId="0" borderId="0" xfId="0" applyNumberFormat="1" applyFont="1"/>
    <xf numFmtId="0" fontId="6" fillId="0" borderId="6" xfId="0" applyFont="1" applyBorder="1" applyAlignment="1">
      <alignment horizontal="center" vertical="center"/>
    </xf>
    <xf numFmtId="0" fontId="7" fillId="0" borderId="10" xfId="0" applyFont="1" applyBorder="1"/>
    <xf numFmtId="0" fontId="6" fillId="0" borderId="7" xfId="0" applyFont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3" fillId="0" borderId="0" xfId="0" applyFont="1"/>
    <xf numFmtId="0" fontId="0" fillId="0" borderId="0" xfId="0"/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0D0D"/>
        <name val="Quattrocento Sans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0D0D"/>
        <name val="Quattrocento Sans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0D0D"/>
        <name val="Quattrocento Sans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0D0D"/>
        <name val="Quattrocento Sans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55B08-6302-41BA-BA59-52DD34DB9485}" name="Table1" displayName="Table1" ref="B24:F34" totalsRowShown="0" headerRowDxfId="0" tableBorderDxfId="4">
  <autoFilter ref="B24:F34" xr:uid="{38955B08-6302-41BA-BA59-52DD34DB9485}"/>
  <tableColumns count="5">
    <tableColumn id="1" xr3:uid="{724A64E2-DDE3-4503-948A-A235DD3058E6}" name="Customer ID" dataDxfId="3"/>
    <tableColumn id="2" xr3:uid="{D4B2DD60-4A94-4A3B-807B-900CD0E37469}" name="Customer Name" dataDxfId="2"/>
    <tableColumn id="3" xr3:uid="{2248CF73-E8B3-4240-9D59-9AC3AADDD144}" name="Email" dataDxfId="1"/>
    <tableColumn id="4" xr3:uid="{3D705E93-2647-43A8-BA0A-4999D386D999}" name="Domain">
      <calculatedColumnFormula>RIGHT(D25,LEN(D25) - FIND("@",D25))</calculatedColumnFormula>
    </tableColumn>
    <tableColumn id="5" xr3:uid="{51255B3F-D81C-4EE4-B598-8DEB959D1082}" name="category">
      <calculatedColumnFormula>IF(Table1[[#This Row],[Domain]]="example.com","Personal",IF(Table1[[#This Row],[Domain]]="example.org","Organization",IF(Table1[[#This Row],[Domain]]="example.net","Network","Other")))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C2" sqref="C2:C11"/>
    </sheetView>
  </sheetViews>
  <sheetFormatPr defaultColWidth="14.44140625" defaultRowHeight="15" customHeight="1"/>
  <cols>
    <col min="1" max="1" width="14.33203125" customWidth="1"/>
    <col min="2" max="2" width="12.109375" customWidth="1"/>
    <col min="3" max="26" width="8.6640625" customWidth="1"/>
  </cols>
  <sheetData>
    <row r="1" spans="1:6" ht="14.4">
      <c r="A1" s="1" t="s">
        <v>0</v>
      </c>
      <c r="B1" s="1" t="s">
        <v>1</v>
      </c>
      <c r="C1" s="1" t="s">
        <v>2</v>
      </c>
    </row>
    <row r="2" spans="1:6" ht="14.4">
      <c r="A2" s="2" t="s">
        <v>3</v>
      </c>
      <c r="B2" s="2" t="s">
        <v>4</v>
      </c>
      <c r="C2" s="3">
        <f>SUBSTITUTE(B2,"$"," ") * 0.1</f>
        <v>450</v>
      </c>
    </row>
    <row r="3" spans="1:6" ht="14.4">
      <c r="A3" s="2" t="s">
        <v>5</v>
      </c>
      <c r="B3" s="2" t="s">
        <v>6</v>
      </c>
      <c r="C3" s="3">
        <f t="shared" ref="C3:C11" si="0">SUBSTITUTE(B3,"$"," ") * 0.1</f>
        <v>700</v>
      </c>
      <c r="F3" s="4" t="s">
        <v>7</v>
      </c>
    </row>
    <row r="4" spans="1:6" ht="14.4">
      <c r="A4" s="2" t="s">
        <v>8</v>
      </c>
      <c r="B4" s="2" t="s">
        <v>9</v>
      </c>
      <c r="C4" s="3">
        <f t="shared" si="0"/>
        <v>300</v>
      </c>
    </row>
    <row r="5" spans="1:6" ht="14.4">
      <c r="A5" s="2" t="s">
        <v>10</v>
      </c>
      <c r="B5" s="2" t="s">
        <v>11</v>
      </c>
      <c r="C5" s="3">
        <f t="shared" si="0"/>
        <v>550</v>
      </c>
    </row>
    <row r="6" spans="1:6" ht="14.4">
      <c r="A6" s="2" t="s">
        <v>12</v>
      </c>
      <c r="B6" s="2" t="s">
        <v>13</v>
      </c>
      <c r="C6" s="3">
        <f t="shared" si="0"/>
        <v>80</v>
      </c>
    </row>
    <row r="7" spans="1:6" ht="14.4">
      <c r="A7" s="2" t="s">
        <v>14</v>
      </c>
      <c r="B7" s="2" t="s">
        <v>15</v>
      </c>
      <c r="C7" s="3">
        <f t="shared" si="0"/>
        <v>950</v>
      </c>
    </row>
    <row r="8" spans="1:6" ht="14.4">
      <c r="A8" s="2" t="s">
        <v>16</v>
      </c>
      <c r="B8" s="2" t="s">
        <v>17</v>
      </c>
      <c r="C8" s="3">
        <f t="shared" si="0"/>
        <v>400</v>
      </c>
    </row>
    <row r="9" spans="1:6" ht="14.4">
      <c r="A9" s="2" t="s">
        <v>18</v>
      </c>
      <c r="B9" s="2" t="s">
        <v>19</v>
      </c>
      <c r="C9" s="3">
        <f t="shared" si="0"/>
        <v>620</v>
      </c>
    </row>
    <row r="10" spans="1:6" ht="14.4">
      <c r="A10" s="2" t="s">
        <v>20</v>
      </c>
      <c r="B10" s="2" t="s">
        <v>21</v>
      </c>
      <c r="C10" s="3">
        <f t="shared" si="0"/>
        <v>150</v>
      </c>
    </row>
    <row r="11" spans="1:6" ht="14.4">
      <c r="A11" s="2" t="s">
        <v>22</v>
      </c>
      <c r="B11" s="2" t="s">
        <v>23</v>
      </c>
      <c r="C11" s="3">
        <f t="shared" si="0"/>
        <v>480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I9" sqref="I9:I13"/>
    </sheetView>
  </sheetViews>
  <sheetFormatPr defaultColWidth="14.44140625" defaultRowHeight="15" customHeight="1"/>
  <cols>
    <col min="1" max="1" width="13.109375" customWidth="1"/>
    <col min="2" max="3" width="10.44140625" customWidth="1"/>
    <col min="4" max="4" width="10" customWidth="1"/>
    <col min="5" max="5" width="8.6640625" customWidth="1"/>
    <col min="6" max="6" width="13.44140625" customWidth="1"/>
    <col min="7" max="7" width="15.88671875" customWidth="1"/>
    <col min="8" max="8" width="13.109375" customWidth="1"/>
    <col min="9" max="9" width="12.5546875" customWidth="1"/>
    <col min="10" max="10" width="12.109375" customWidth="1"/>
    <col min="11" max="25" width="8.6640625" customWidth="1"/>
  </cols>
  <sheetData>
    <row r="1" spans="1:10" ht="15.6">
      <c r="A1" s="5" t="s">
        <v>24</v>
      </c>
      <c r="B1" s="6"/>
      <c r="C1" s="6"/>
      <c r="D1" s="6"/>
      <c r="E1" s="6"/>
      <c r="F1" s="6"/>
      <c r="G1" s="6"/>
      <c r="H1" s="6"/>
      <c r="I1" s="6"/>
      <c r="J1" s="6"/>
    </row>
    <row r="2" spans="1:10" ht="15.6">
      <c r="A2" s="5" t="s">
        <v>25</v>
      </c>
      <c r="B2" s="6"/>
      <c r="C2" s="6"/>
      <c r="D2" s="6"/>
      <c r="E2" s="6"/>
      <c r="F2" s="6"/>
      <c r="G2" s="6"/>
      <c r="H2" s="6"/>
      <c r="I2" s="6"/>
      <c r="J2" s="6"/>
    </row>
    <row r="3" spans="1:10" ht="15.6">
      <c r="A3" s="5" t="s">
        <v>26</v>
      </c>
      <c r="B3" s="6"/>
      <c r="C3" s="6"/>
      <c r="D3" s="6"/>
      <c r="E3" s="6"/>
      <c r="F3" s="6"/>
      <c r="G3" s="6"/>
      <c r="H3" s="6"/>
      <c r="I3" s="6"/>
      <c r="J3" s="6"/>
    </row>
    <row r="4" spans="1:10" ht="15.6">
      <c r="A4" s="5" t="s">
        <v>27</v>
      </c>
      <c r="B4" s="6"/>
      <c r="C4" s="6"/>
      <c r="D4" s="6"/>
      <c r="E4" s="6"/>
      <c r="F4" s="6"/>
      <c r="G4" s="6"/>
      <c r="H4" s="6"/>
      <c r="I4" s="6"/>
      <c r="J4" s="6"/>
    </row>
    <row r="5" spans="1:10" ht="14.4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14.4">
      <c r="A6" s="6" t="s">
        <v>28</v>
      </c>
      <c r="B6" s="6"/>
      <c r="C6" s="6"/>
      <c r="D6" s="6"/>
      <c r="E6" s="6"/>
      <c r="F6" s="6"/>
      <c r="G6" s="6"/>
      <c r="H6" s="6"/>
      <c r="I6" s="6"/>
      <c r="J6" s="6"/>
    </row>
    <row r="7" spans="1:10" ht="14.4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24">
      <c r="A8" s="7" t="s">
        <v>29</v>
      </c>
      <c r="B8" s="7" t="s">
        <v>30</v>
      </c>
      <c r="C8" s="7" t="s">
        <v>31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  <c r="I8" s="8" t="s">
        <v>37</v>
      </c>
      <c r="J8" s="6"/>
    </row>
    <row r="9" spans="1:10" ht="14.4">
      <c r="A9" s="9" t="s">
        <v>38</v>
      </c>
      <c r="B9" s="10">
        <v>85</v>
      </c>
      <c r="C9" s="10">
        <v>90</v>
      </c>
      <c r="D9" s="10">
        <v>88</v>
      </c>
      <c r="E9" s="10">
        <v>92</v>
      </c>
      <c r="F9" s="11" t="str">
        <f>LEFT(A9,FIND(" ",A9))</f>
        <v xml:space="preserve">John </v>
      </c>
      <c r="G9" s="11" t="str">
        <f>RIGHT(A9,LEN(A9) - FIND(" ",A9))</f>
        <v>Doe</v>
      </c>
      <c r="H9" s="11">
        <f>AVERAGE(B9,C9,D9,E9)</f>
        <v>88.75</v>
      </c>
      <c r="I9" s="12" t="str">
        <f>IF(H9&gt;=85,"Pass","Fail")</f>
        <v>Pass</v>
      </c>
      <c r="J9" s="6"/>
    </row>
    <row r="10" spans="1:10" ht="14.4">
      <c r="A10" s="9" t="s">
        <v>39</v>
      </c>
      <c r="B10" s="10">
        <v>78</v>
      </c>
      <c r="C10" s="10">
        <v>82</v>
      </c>
      <c r="D10" s="10">
        <v>79</v>
      </c>
      <c r="E10" s="10">
        <v>85</v>
      </c>
      <c r="F10" s="11" t="str">
        <f t="shared" ref="F10:F13" si="0">LEFT(A10,FIND(" ",A10))</f>
        <v xml:space="preserve">Alice </v>
      </c>
      <c r="G10" s="11" t="str">
        <f t="shared" ref="G10:G13" si="1">RIGHT(A10,LEN(A10) - FIND(" ",A10))</f>
        <v>Smith</v>
      </c>
      <c r="H10" s="11">
        <f t="shared" ref="H10:H13" si="2">AVERAGE(B10,C10,D10,E10)</f>
        <v>81</v>
      </c>
      <c r="I10" s="12" t="str">
        <f t="shared" ref="I10:I13" si="3">IF(H10&gt;=85,"Pass","Fail")</f>
        <v>Fail</v>
      </c>
      <c r="J10" s="6"/>
    </row>
    <row r="11" spans="1:10" ht="14.4">
      <c r="A11" s="9" t="s">
        <v>40</v>
      </c>
      <c r="B11" s="10">
        <v>92</v>
      </c>
      <c r="C11" s="10">
        <v>88</v>
      </c>
      <c r="D11" s="10">
        <v>95</v>
      </c>
      <c r="E11" s="10">
        <v>90</v>
      </c>
      <c r="F11" s="11" t="str">
        <f t="shared" si="0"/>
        <v xml:space="preserve">Bob </v>
      </c>
      <c r="G11" s="11" t="str">
        <f t="shared" si="1"/>
        <v>Johnson</v>
      </c>
      <c r="H11" s="11">
        <f t="shared" si="2"/>
        <v>91.25</v>
      </c>
      <c r="I11" s="12" t="str">
        <f t="shared" si="3"/>
        <v>Pass</v>
      </c>
      <c r="J11" s="6"/>
    </row>
    <row r="12" spans="1:10" ht="14.4">
      <c r="A12" s="9" t="s">
        <v>41</v>
      </c>
      <c r="B12" s="10">
        <v>80</v>
      </c>
      <c r="C12" s="10">
        <v>85</v>
      </c>
      <c r="D12" s="10">
        <v>83</v>
      </c>
      <c r="E12" s="10">
        <v>88</v>
      </c>
      <c r="F12" s="11" t="str">
        <f t="shared" si="0"/>
        <v xml:space="preserve">Sarah </v>
      </c>
      <c r="G12" s="11" t="str">
        <f t="shared" si="1"/>
        <v>Lee</v>
      </c>
      <c r="H12" s="11">
        <f t="shared" si="2"/>
        <v>84</v>
      </c>
      <c r="I12" s="12" t="str">
        <f t="shared" si="3"/>
        <v>Fail</v>
      </c>
      <c r="J12" s="6"/>
    </row>
    <row r="13" spans="1:10" ht="14.4">
      <c r="A13" s="9" t="s">
        <v>42</v>
      </c>
      <c r="B13" s="10">
        <v>75</v>
      </c>
      <c r="C13" s="10">
        <v>78</v>
      </c>
      <c r="D13" s="10">
        <v>80</v>
      </c>
      <c r="E13" s="10">
        <v>82</v>
      </c>
      <c r="F13" s="11" t="str">
        <f t="shared" si="0"/>
        <v xml:space="preserve">Emily </v>
      </c>
      <c r="G13" s="11" t="str">
        <f t="shared" si="1"/>
        <v>Brown</v>
      </c>
      <c r="H13" s="11">
        <f t="shared" si="2"/>
        <v>78.75</v>
      </c>
      <c r="I13" s="12" t="str">
        <f t="shared" si="3"/>
        <v>Fail</v>
      </c>
      <c r="J13" s="6"/>
    </row>
    <row r="14" spans="1:10" ht="14.4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4">
      <c r="A15" s="6"/>
      <c r="B15" s="6"/>
      <c r="C15" s="6"/>
      <c r="D15" s="6"/>
      <c r="E15" s="6"/>
      <c r="F15" s="6"/>
      <c r="G15" s="6"/>
      <c r="H15" s="6"/>
      <c r="I15" s="6"/>
      <c r="J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1000"/>
  <sheetViews>
    <sheetView workbookViewId="0">
      <selection activeCell="F10" sqref="F10"/>
    </sheetView>
  </sheetViews>
  <sheetFormatPr defaultColWidth="14.44140625" defaultRowHeight="15" customHeight="1"/>
  <cols>
    <col min="1" max="2" width="8.6640625" customWidth="1"/>
    <col min="3" max="3" width="30.6640625" customWidth="1"/>
    <col min="4" max="6" width="18.109375" customWidth="1"/>
    <col min="7" max="7" width="25" customWidth="1"/>
    <col min="8" max="8" width="19.109375" customWidth="1"/>
    <col min="9" max="9" width="22.44140625" customWidth="1"/>
    <col min="10" max="26" width="8.6640625" customWidth="1"/>
  </cols>
  <sheetData>
    <row r="3" spans="2:9" ht="14.4">
      <c r="B3" s="32" t="s">
        <v>43</v>
      </c>
      <c r="C3" s="32" t="s">
        <v>44</v>
      </c>
      <c r="D3" s="34" t="s">
        <v>45</v>
      </c>
      <c r="E3" s="35"/>
      <c r="F3" s="36"/>
      <c r="G3" s="32" t="s">
        <v>46</v>
      </c>
      <c r="H3" s="32" t="s">
        <v>47</v>
      </c>
      <c r="I3" s="32" t="s">
        <v>48</v>
      </c>
    </row>
    <row r="4" spans="2:9" ht="14.4">
      <c r="B4" s="33"/>
      <c r="C4" s="33"/>
      <c r="D4" s="13" t="s">
        <v>49</v>
      </c>
      <c r="E4" s="13" t="s">
        <v>50</v>
      </c>
      <c r="F4" s="13" t="s">
        <v>51</v>
      </c>
      <c r="G4" s="33"/>
      <c r="H4" s="33"/>
      <c r="I4" s="33"/>
    </row>
    <row r="5" spans="2:9" ht="14.4">
      <c r="B5" s="14">
        <v>1</v>
      </c>
      <c r="C5" s="14" t="s">
        <v>52</v>
      </c>
      <c r="D5" s="14">
        <v>800000</v>
      </c>
      <c r="E5" s="14">
        <v>830000</v>
      </c>
      <c r="F5" s="14">
        <v>850000</v>
      </c>
      <c r="G5" s="15">
        <f>AVERAGE(D5,E5,F5)</f>
        <v>826666.66666666663</v>
      </c>
      <c r="H5" s="15">
        <f>G5+0.15*G5</f>
        <v>950666.66666666663</v>
      </c>
      <c r="I5" s="15">
        <f>H5-D5/D5*100</f>
        <v>950566.66666666663</v>
      </c>
    </row>
    <row r="6" spans="2:9" ht="14.4">
      <c r="B6" s="14">
        <v>2</v>
      </c>
      <c r="C6" s="14" t="s">
        <v>53</v>
      </c>
      <c r="D6" s="14">
        <v>70000</v>
      </c>
      <c r="E6" s="14">
        <v>90000</v>
      </c>
      <c r="F6" s="14">
        <v>100000</v>
      </c>
      <c r="G6" s="15">
        <f t="shared" ref="G6:G10" si="0">AVERAGE(D6,E6,F6)</f>
        <v>86666.666666666672</v>
      </c>
      <c r="H6" s="15">
        <f t="shared" ref="H6:H9" si="1">G6+0.15*G6</f>
        <v>99666.666666666672</v>
      </c>
      <c r="I6" s="15">
        <f t="shared" ref="I6:I9" si="2">H6-D6/D6*100</f>
        <v>99566.666666666672</v>
      </c>
    </row>
    <row r="7" spans="2:9" ht="14.4">
      <c r="B7" s="14">
        <v>3</v>
      </c>
      <c r="C7" s="14" t="s">
        <v>54</v>
      </c>
      <c r="D7" s="14">
        <v>60000</v>
      </c>
      <c r="E7" s="14">
        <v>70000</v>
      </c>
      <c r="F7" s="14">
        <v>75000</v>
      </c>
      <c r="G7" s="15">
        <f t="shared" si="0"/>
        <v>68333.333333333328</v>
      </c>
      <c r="H7" s="15">
        <f t="shared" si="1"/>
        <v>78583.333333333328</v>
      </c>
      <c r="I7" s="15">
        <f t="shared" si="2"/>
        <v>78483.333333333328</v>
      </c>
    </row>
    <row r="8" spans="2:9" ht="14.4">
      <c r="B8" s="14">
        <v>4</v>
      </c>
      <c r="C8" s="14" t="s">
        <v>55</v>
      </c>
      <c r="D8" s="14">
        <v>110000</v>
      </c>
      <c r="E8" s="14">
        <v>130000</v>
      </c>
      <c r="F8" s="14">
        <v>170000</v>
      </c>
      <c r="G8" s="15">
        <f t="shared" si="0"/>
        <v>136666.66666666666</v>
      </c>
      <c r="H8" s="15">
        <f t="shared" si="1"/>
        <v>157166.66666666666</v>
      </c>
      <c r="I8" s="15">
        <f t="shared" si="2"/>
        <v>157066.66666666666</v>
      </c>
    </row>
    <row r="9" spans="2:9" ht="14.4">
      <c r="B9" s="14">
        <v>5</v>
      </c>
      <c r="C9" s="14" t="s">
        <v>56</v>
      </c>
      <c r="D9" s="14">
        <v>8000</v>
      </c>
      <c r="E9" s="14">
        <v>9000</v>
      </c>
      <c r="F9" s="14">
        <v>12000</v>
      </c>
      <c r="G9" s="15">
        <f t="shared" si="0"/>
        <v>9666.6666666666661</v>
      </c>
      <c r="H9" s="15">
        <f t="shared" si="1"/>
        <v>11116.666666666666</v>
      </c>
      <c r="I9" s="15">
        <f t="shared" si="2"/>
        <v>11016.666666666666</v>
      </c>
    </row>
    <row r="10" spans="2:9" ht="14.4">
      <c r="B10" s="14"/>
      <c r="C10" s="14" t="s">
        <v>57</v>
      </c>
      <c r="D10" s="15">
        <f>SUM(D5:D9)</f>
        <v>1048000</v>
      </c>
      <c r="E10" s="15">
        <f>SUM(E5:E9)</f>
        <v>1129000</v>
      </c>
      <c r="F10" s="15">
        <f>SUM(F5:F9)</f>
        <v>1207000</v>
      </c>
      <c r="G10" s="15"/>
      <c r="H10" s="15"/>
      <c r="I10" s="15"/>
    </row>
    <row r="13" spans="2:9" ht="14.4">
      <c r="C13" s="16" t="s">
        <v>58</v>
      </c>
    </row>
    <row r="14" spans="2:9" ht="14.4">
      <c r="C14" s="16" t="s">
        <v>59</v>
      </c>
    </row>
    <row r="15" spans="2:9" ht="19.2">
      <c r="C15" s="17" t="s">
        <v>60</v>
      </c>
    </row>
    <row r="16" spans="2:9" ht="14.4">
      <c r="C16" s="4" t="s">
        <v>61</v>
      </c>
    </row>
    <row r="17" spans="3:3" ht="19.2">
      <c r="C17" s="17" t="s">
        <v>62</v>
      </c>
    </row>
    <row r="21" spans="3:3" ht="15.75" customHeight="1"/>
    <row r="22" spans="3:3" ht="15.75" customHeight="1"/>
    <row r="23" spans="3:3" ht="15.75" customHeight="1"/>
    <row r="24" spans="3:3" ht="15.75" customHeight="1"/>
    <row r="25" spans="3:3" ht="15.75" customHeight="1"/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I3:I4"/>
    <mergeCell ref="B3:B4"/>
    <mergeCell ref="C3:C4"/>
    <mergeCell ref="D3:F3"/>
    <mergeCell ref="G3:G4"/>
    <mergeCell ref="H3:H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zoomScale="85" zoomScaleNormal="85" workbookViewId="0">
      <selection activeCell="E2" sqref="E2:E11"/>
    </sheetView>
  </sheetViews>
  <sheetFormatPr defaultColWidth="14.44140625" defaultRowHeight="15" customHeight="1"/>
  <cols>
    <col min="1" max="1" width="16.109375" customWidth="1"/>
    <col min="2" max="2" width="27.6640625" customWidth="1"/>
    <col min="3" max="26" width="19" customWidth="1"/>
  </cols>
  <sheetData>
    <row r="1" spans="1:6" ht="21" customHeight="1">
      <c r="A1" s="18" t="s">
        <v>63</v>
      </c>
      <c r="B1" s="18" t="s">
        <v>64</v>
      </c>
      <c r="C1" s="18" t="s">
        <v>65</v>
      </c>
      <c r="D1" s="18" t="s">
        <v>66</v>
      </c>
      <c r="E1" s="18" t="s">
        <v>67</v>
      </c>
    </row>
    <row r="2" spans="1:6" ht="28.5" customHeight="1">
      <c r="A2" s="2">
        <v>1</v>
      </c>
      <c r="B2" s="2" t="s">
        <v>68</v>
      </c>
      <c r="C2" s="2" t="s">
        <v>69</v>
      </c>
      <c r="D2" s="19" t="str">
        <f>LEFT(B2,FIND(" ",B2))</f>
        <v xml:space="preserve">Apple </v>
      </c>
      <c r="E2" s="19" t="str">
        <f>RIGHT(B2,LEN(B2) - FIND(" ",B2))</f>
        <v>iPhone 12 Pro Max</v>
      </c>
      <c r="F2" s="4" t="s">
        <v>70</v>
      </c>
    </row>
    <row r="3" spans="1:6" ht="25.5" customHeight="1">
      <c r="A3" s="2">
        <v>2</v>
      </c>
      <c r="B3" s="2" t="s">
        <v>71</v>
      </c>
      <c r="C3" s="2" t="s">
        <v>69</v>
      </c>
      <c r="D3" s="19" t="str">
        <f t="shared" ref="D3:D11" si="0">LEFT(B3,FIND(" ",B3))</f>
        <v xml:space="preserve">Samsung </v>
      </c>
      <c r="E3" s="19" t="str">
        <f t="shared" ref="E3:E11" si="1">RIGHT(B3,LEN(B3) - FIND(" ",B3))</f>
        <v>Galaxy Watch 4</v>
      </c>
    </row>
    <row r="4" spans="1:6" ht="29.25" customHeight="1">
      <c r="A4" s="2">
        <v>3</v>
      </c>
      <c r="B4" s="2" t="s">
        <v>72</v>
      </c>
      <c r="C4" s="2" t="s">
        <v>69</v>
      </c>
      <c r="D4" s="19" t="str">
        <f t="shared" si="0"/>
        <v xml:space="preserve">Sony </v>
      </c>
      <c r="E4" s="19" t="str">
        <f t="shared" si="1"/>
        <v>PlayStation 5</v>
      </c>
    </row>
    <row r="5" spans="1:6" ht="29.25" customHeight="1">
      <c r="A5" s="2">
        <v>4</v>
      </c>
      <c r="B5" s="2" t="s">
        <v>73</v>
      </c>
      <c r="C5" s="2" t="s">
        <v>74</v>
      </c>
      <c r="D5" s="19" t="str">
        <f t="shared" si="0"/>
        <v xml:space="preserve">Nike </v>
      </c>
      <c r="E5" s="19" t="str">
        <f t="shared" si="1"/>
        <v>Air Zoom Pegasus 38</v>
      </c>
    </row>
    <row r="6" spans="1:6" ht="29.25" customHeight="1">
      <c r="A6" s="2">
        <v>5</v>
      </c>
      <c r="B6" s="2" t="s">
        <v>75</v>
      </c>
      <c r="C6" s="2" t="s">
        <v>74</v>
      </c>
      <c r="D6" s="19" t="str">
        <f t="shared" si="0"/>
        <v xml:space="preserve">Adidas </v>
      </c>
      <c r="E6" s="19" t="str">
        <f t="shared" si="1"/>
        <v>Ultraboost 21</v>
      </c>
    </row>
    <row r="7" spans="1:6" ht="29.25" customHeight="1">
      <c r="A7" s="2">
        <v>6</v>
      </c>
      <c r="B7" s="2" t="s">
        <v>76</v>
      </c>
      <c r="C7" s="2" t="s">
        <v>69</v>
      </c>
      <c r="D7" s="19" t="str">
        <f t="shared" si="0"/>
        <v xml:space="preserve">HP </v>
      </c>
      <c r="E7" s="19" t="str">
        <f t="shared" si="1"/>
        <v>Pavilion Laptop</v>
      </c>
    </row>
    <row r="8" spans="1:6" ht="29.25" customHeight="1">
      <c r="A8" s="2">
        <v>7</v>
      </c>
      <c r="B8" s="2" t="s">
        <v>77</v>
      </c>
      <c r="C8" s="2" t="s">
        <v>69</v>
      </c>
      <c r="D8" s="19" t="str">
        <f t="shared" si="0"/>
        <v xml:space="preserve">Canon </v>
      </c>
      <c r="E8" s="19" t="str">
        <f t="shared" si="1"/>
        <v>EOS Rebel T7i</v>
      </c>
    </row>
    <row r="9" spans="1:6" ht="29.25" customHeight="1">
      <c r="A9" s="2">
        <v>8</v>
      </c>
      <c r="B9" s="2" t="s">
        <v>78</v>
      </c>
      <c r="C9" s="2" t="s">
        <v>69</v>
      </c>
      <c r="D9" s="19" t="str">
        <f t="shared" si="0"/>
        <v xml:space="preserve">Bose </v>
      </c>
      <c r="E9" s="19" t="str">
        <f t="shared" si="1"/>
        <v>QuietComfort 35 II</v>
      </c>
    </row>
    <row r="10" spans="1:6" ht="29.25" customHeight="1">
      <c r="A10" s="2">
        <v>9</v>
      </c>
      <c r="B10" s="2" t="s">
        <v>79</v>
      </c>
      <c r="C10" s="2" t="s">
        <v>80</v>
      </c>
      <c r="D10" s="19" t="str">
        <f t="shared" si="0"/>
        <v xml:space="preserve">Levi's </v>
      </c>
      <c r="E10" s="19" t="str">
        <f t="shared" si="1"/>
        <v>501 Original Fit</v>
      </c>
    </row>
    <row r="11" spans="1:6" ht="29.25" customHeight="1">
      <c r="A11" s="2">
        <v>10</v>
      </c>
      <c r="B11" s="2" t="s">
        <v>81</v>
      </c>
      <c r="C11" s="2" t="s">
        <v>80</v>
      </c>
      <c r="D11" s="19" t="str">
        <f t="shared" si="0"/>
        <v xml:space="preserve">Calvin </v>
      </c>
      <c r="E11" s="19" t="str">
        <f t="shared" si="1"/>
        <v>Klein Men's Shirt</v>
      </c>
    </row>
    <row r="12" spans="1:6" ht="29.25" customHeight="1"/>
    <row r="13" spans="1:6" ht="29.25" customHeight="1"/>
    <row r="14" spans="1:6" ht="29.25" customHeight="1"/>
    <row r="15" spans="1:6" ht="29.25" customHeight="1"/>
    <row r="16" spans="1:6" ht="29.25" customHeight="1"/>
    <row r="17" ht="29.25" customHeight="1"/>
    <row r="18" ht="29.25" customHeight="1"/>
    <row r="19" ht="29.25" customHeight="1"/>
    <row r="20" ht="29.25" customHeight="1"/>
    <row r="21" ht="29.25" customHeight="1"/>
    <row r="22" ht="29.25" customHeight="1"/>
    <row r="23" ht="29.25" customHeight="1"/>
    <row r="24" ht="29.25" customHeight="1"/>
    <row r="25" ht="29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  <row r="40" ht="29.25" customHeight="1"/>
    <row r="41" ht="29.25" customHeight="1"/>
    <row r="42" ht="29.25" customHeight="1"/>
    <row r="43" ht="29.25" customHeight="1"/>
    <row r="44" ht="29.25" customHeight="1"/>
    <row r="45" ht="29.25" customHeight="1"/>
    <row r="46" ht="29.25" customHeight="1"/>
    <row r="47" ht="29.25" customHeight="1"/>
    <row r="48" ht="29.25" customHeight="1"/>
    <row r="49" ht="29.25" customHeight="1"/>
    <row r="50" ht="29.25" customHeight="1"/>
    <row r="51" ht="29.25" customHeight="1"/>
    <row r="52" ht="29.25" customHeight="1"/>
    <row r="53" ht="29.25" customHeight="1"/>
    <row r="54" ht="29.25" customHeight="1"/>
    <row r="55" ht="29.25" customHeight="1"/>
    <row r="56" ht="29.25" customHeight="1"/>
    <row r="57" ht="29.25" customHeight="1"/>
    <row r="58" ht="29.25" customHeight="1"/>
    <row r="59" ht="29.25" customHeight="1"/>
    <row r="60" ht="29.25" customHeight="1"/>
    <row r="61" ht="29.25" customHeight="1"/>
    <row r="62" ht="29.25" customHeight="1"/>
    <row r="63" ht="29.25" customHeight="1"/>
    <row r="64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  <row r="105" ht="29.25" customHeight="1"/>
    <row r="106" ht="29.25" customHeight="1"/>
    <row r="107" ht="29.25" customHeight="1"/>
    <row r="108" ht="29.25" customHeight="1"/>
    <row r="109" ht="29.25" customHeight="1"/>
    <row r="110" ht="29.25" customHeight="1"/>
    <row r="111" ht="29.25" customHeight="1"/>
    <row r="112" ht="29.25" customHeight="1"/>
    <row r="113" ht="29.25" customHeight="1"/>
    <row r="114" ht="29.25" customHeight="1"/>
    <row r="115" ht="29.25" customHeight="1"/>
    <row r="116" ht="29.25" customHeight="1"/>
    <row r="117" ht="29.25" customHeight="1"/>
    <row r="118" ht="29.25" customHeight="1"/>
    <row r="119" ht="29.25" customHeight="1"/>
    <row r="120" ht="29.25" customHeight="1"/>
    <row r="121" ht="29.25" customHeight="1"/>
    <row r="122" ht="29.25" customHeight="1"/>
    <row r="123" ht="29.25" customHeight="1"/>
    <row r="124" ht="29.25" customHeight="1"/>
    <row r="125" ht="29.25" customHeight="1"/>
    <row r="126" ht="29.25" customHeight="1"/>
    <row r="127" ht="29.25" customHeight="1"/>
    <row r="128" ht="29.25" customHeight="1"/>
    <row r="129" ht="29.25" customHeight="1"/>
    <row r="130" ht="29.25" customHeight="1"/>
    <row r="131" ht="29.25" customHeight="1"/>
    <row r="132" ht="29.25" customHeight="1"/>
    <row r="133" ht="29.25" customHeight="1"/>
    <row r="134" ht="29.25" customHeight="1"/>
    <row r="135" ht="29.25" customHeight="1"/>
    <row r="136" ht="29.25" customHeight="1"/>
    <row r="137" ht="29.25" customHeight="1"/>
    <row r="138" ht="29.25" customHeight="1"/>
    <row r="139" ht="29.25" customHeight="1"/>
    <row r="140" ht="29.25" customHeight="1"/>
    <row r="141" ht="29.25" customHeight="1"/>
    <row r="142" ht="29.25" customHeight="1"/>
    <row r="143" ht="29.25" customHeight="1"/>
    <row r="144" ht="29.25" customHeight="1"/>
    <row r="145" ht="29.25" customHeight="1"/>
    <row r="146" ht="29.25" customHeight="1"/>
    <row r="147" ht="29.25" customHeight="1"/>
    <row r="148" ht="29.25" customHeight="1"/>
    <row r="149" ht="29.25" customHeight="1"/>
    <row r="150" ht="29.25" customHeight="1"/>
    <row r="151" ht="29.25" customHeight="1"/>
    <row r="152" ht="29.25" customHeight="1"/>
    <row r="153" ht="29.25" customHeight="1"/>
    <row r="154" ht="29.25" customHeight="1"/>
    <row r="155" ht="29.25" customHeight="1"/>
    <row r="156" ht="29.25" customHeight="1"/>
    <row r="157" ht="29.25" customHeight="1"/>
    <row r="158" ht="29.25" customHeight="1"/>
    <row r="159" ht="29.25" customHeight="1"/>
    <row r="160" ht="29.25" customHeight="1"/>
    <row r="161" ht="29.25" customHeight="1"/>
    <row r="162" ht="29.25" customHeight="1"/>
    <row r="163" ht="29.25" customHeight="1"/>
    <row r="164" ht="29.25" customHeight="1"/>
    <row r="165" ht="29.25" customHeight="1"/>
    <row r="166" ht="29.25" customHeight="1"/>
    <row r="167" ht="29.25" customHeight="1"/>
    <row r="168" ht="29.25" customHeight="1"/>
    <row r="169" ht="29.25" customHeight="1"/>
    <row r="170" ht="29.25" customHeight="1"/>
    <row r="171" ht="29.25" customHeight="1"/>
    <row r="172" ht="29.25" customHeight="1"/>
    <row r="173" ht="29.25" customHeight="1"/>
    <row r="174" ht="29.25" customHeight="1"/>
    <row r="175" ht="29.25" customHeight="1"/>
    <row r="176" ht="29.25" customHeight="1"/>
    <row r="177" ht="29.25" customHeight="1"/>
    <row r="178" ht="29.25" customHeight="1"/>
    <row r="179" ht="29.25" customHeight="1"/>
    <row r="180" ht="29.25" customHeight="1"/>
    <row r="181" ht="29.25" customHeight="1"/>
    <row r="182" ht="29.25" customHeight="1"/>
    <row r="183" ht="29.2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  <row r="494" ht="29.25" customHeight="1"/>
    <row r="495" ht="29.25" customHeight="1"/>
    <row r="496" ht="29.25" customHeight="1"/>
    <row r="497" ht="29.25" customHeight="1"/>
    <row r="498" ht="29.25" customHeight="1"/>
    <row r="499" ht="29.25" customHeight="1"/>
    <row r="500" ht="29.25" customHeight="1"/>
    <row r="501" ht="29.25" customHeight="1"/>
    <row r="502" ht="29.25" customHeight="1"/>
    <row r="503" ht="29.25" customHeight="1"/>
    <row r="504" ht="29.25" customHeight="1"/>
    <row r="505" ht="29.25" customHeight="1"/>
    <row r="506" ht="29.25" customHeight="1"/>
    <row r="507" ht="29.25" customHeight="1"/>
    <row r="508" ht="29.25" customHeight="1"/>
    <row r="509" ht="29.25" customHeight="1"/>
    <row r="510" ht="29.25" customHeight="1"/>
    <row r="511" ht="29.25" customHeight="1"/>
    <row r="512" ht="29.25" customHeight="1"/>
    <row r="513" ht="29.25" customHeight="1"/>
    <row r="514" ht="29.25" customHeight="1"/>
    <row r="515" ht="29.25" customHeight="1"/>
    <row r="516" ht="29.25" customHeight="1"/>
    <row r="517" ht="29.25" customHeight="1"/>
    <row r="518" ht="29.25" customHeight="1"/>
    <row r="519" ht="29.25" customHeight="1"/>
    <row r="520" ht="29.25" customHeight="1"/>
    <row r="521" ht="29.25" customHeight="1"/>
    <row r="522" ht="29.25" customHeight="1"/>
    <row r="523" ht="29.25" customHeight="1"/>
    <row r="524" ht="29.25" customHeight="1"/>
    <row r="525" ht="29.25" customHeight="1"/>
    <row r="526" ht="29.25" customHeight="1"/>
    <row r="527" ht="29.25" customHeight="1"/>
    <row r="528" ht="29.25" customHeight="1"/>
    <row r="529" ht="29.25" customHeight="1"/>
    <row r="530" ht="29.25" customHeight="1"/>
    <row r="531" ht="29.25" customHeight="1"/>
    <row r="532" ht="29.25" customHeight="1"/>
    <row r="533" ht="29.25" customHeight="1"/>
    <row r="534" ht="29.25" customHeight="1"/>
    <row r="535" ht="29.25" customHeight="1"/>
    <row r="536" ht="29.25" customHeight="1"/>
    <row r="537" ht="29.25" customHeight="1"/>
    <row r="538" ht="29.25" customHeight="1"/>
    <row r="539" ht="29.25" customHeight="1"/>
    <row r="540" ht="29.25" customHeight="1"/>
    <row r="541" ht="29.25" customHeight="1"/>
    <row r="542" ht="29.25" customHeight="1"/>
    <row r="543" ht="29.25" customHeight="1"/>
    <row r="544" ht="29.25" customHeight="1"/>
    <row r="545" ht="29.25" customHeight="1"/>
    <row r="546" ht="29.25" customHeight="1"/>
    <row r="547" ht="29.25" customHeight="1"/>
    <row r="548" ht="29.25" customHeight="1"/>
    <row r="549" ht="29.25" customHeight="1"/>
    <row r="550" ht="29.25" customHeight="1"/>
    <row r="551" ht="29.25" customHeight="1"/>
    <row r="552" ht="29.25" customHeight="1"/>
    <row r="553" ht="29.25" customHeight="1"/>
    <row r="554" ht="29.25" customHeight="1"/>
    <row r="555" ht="29.25" customHeight="1"/>
    <row r="556" ht="29.25" customHeight="1"/>
    <row r="557" ht="29.25" customHeight="1"/>
    <row r="558" ht="29.25" customHeight="1"/>
    <row r="559" ht="29.25" customHeight="1"/>
    <row r="560" ht="29.25" customHeight="1"/>
    <row r="561" ht="29.25" customHeight="1"/>
    <row r="562" ht="29.25" customHeight="1"/>
    <row r="563" ht="29.25" customHeight="1"/>
    <row r="564" ht="29.25" customHeight="1"/>
    <row r="565" ht="29.25" customHeight="1"/>
    <row r="566" ht="29.25" customHeight="1"/>
    <row r="567" ht="29.25" customHeight="1"/>
    <row r="568" ht="29.25" customHeight="1"/>
    <row r="569" ht="29.25" customHeight="1"/>
    <row r="570" ht="29.25" customHeight="1"/>
    <row r="571" ht="29.25" customHeight="1"/>
    <row r="572" ht="29.25" customHeight="1"/>
    <row r="573" ht="29.25" customHeight="1"/>
    <row r="574" ht="29.25" customHeight="1"/>
    <row r="575" ht="29.25" customHeight="1"/>
    <row r="576" ht="29.25" customHeight="1"/>
    <row r="577" ht="29.25" customHeight="1"/>
    <row r="578" ht="29.25" customHeight="1"/>
    <row r="579" ht="29.25" customHeight="1"/>
    <row r="580" ht="29.25" customHeight="1"/>
    <row r="581" ht="29.25" customHeight="1"/>
    <row r="582" ht="29.25" customHeight="1"/>
    <row r="583" ht="29.25" customHeight="1"/>
    <row r="584" ht="29.25" customHeight="1"/>
    <row r="585" ht="29.25" customHeight="1"/>
    <row r="586" ht="29.25" customHeight="1"/>
    <row r="587" ht="29.25" customHeight="1"/>
    <row r="588" ht="29.25" customHeight="1"/>
    <row r="589" ht="29.25" customHeight="1"/>
    <row r="590" ht="29.25" customHeight="1"/>
    <row r="591" ht="29.25" customHeight="1"/>
    <row r="592" ht="29.25" customHeight="1"/>
    <row r="593" ht="29.25" customHeight="1"/>
    <row r="594" ht="29.25" customHeight="1"/>
    <row r="595" ht="29.25" customHeight="1"/>
    <row r="596" ht="29.25" customHeight="1"/>
    <row r="597" ht="29.25" customHeight="1"/>
    <row r="598" ht="29.25" customHeight="1"/>
    <row r="599" ht="29.25" customHeight="1"/>
    <row r="600" ht="29.25" customHeight="1"/>
    <row r="601" ht="29.25" customHeight="1"/>
    <row r="602" ht="29.25" customHeight="1"/>
    <row r="603" ht="29.25" customHeight="1"/>
    <row r="604" ht="29.25" customHeight="1"/>
    <row r="605" ht="29.25" customHeight="1"/>
    <row r="606" ht="29.25" customHeight="1"/>
    <row r="607" ht="29.25" customHeight="1"/>
    <row r="608" ht="29.25" customHeight="1"/>
    <row r="609" ht="29.25" customHeight="1"/>
    <row r="610" ht="29.25" customHeight="1"/>
    <row r="611" ht="29.25" customHeight="1"/>
    <row r="612" ht="29.25" customHeight="1"/>
    <row r="613" ht="29.25" customHeight="1"/>
    <row r="614" ht="29.25" customHeight="1"/>
    <row r="615" ht="29.25" customHeight="1"/>
    <row r="616" ht="29.25" customHeight="1"/>
    <row r="617" ht="29.25" customHeight="1"/>
    <row r="618" ht="29.25" customHeight="1"/>
    <row r="619" ht="29.25" customHeight="1"/>
    <row r="620" ht="29.25" customHeight="1"/>
    <row r="621" ht="29.25" customHeight="1"/>
    <row r="622" ht="29.25" customHeight="1"/>
    <row r="623" ht="29.25" customHeight="1"/>
    <row r="624" ht="29.25" customHeight="1"/>
    <row r="625" ht="29.25" customHeight="1"/>
    <row r="626" ht="29.25" customHeight="1"/>
    <row r="627" ht="29.25" customHeight="1"/>
    <row r="628" ht="29.25" customHeight="1"/>
    <row r="629" ht="29.25" customHeight="1"/>
    <row r="630" ht="29.25" customHeight="1"/>
    <row r="631" ht="29.25" customHeight="1"/>
    <row r="632" ht="29.25" customHeight="1"/>
    <row r="633" ht="29.25" customHeight="1"/>
    <row r="634" ht="29.25" customHeight="1"/>
    <row r="635" ht="29.25" customHeight="1"/>
    <row r="636" ht="29.25" customHeight="1"/>
    <row r="637" ht="29.25" customHeight="1"/>
    <row r="638" ht="29.25" customHeight="1"/>
    <row r="639" ht="29.25" customHeight="1"/>
    <row r="640" ht="29.25" customHeight="1"/>
    <row r="641" ht="29.25" customHeight="1"/>
    <row r="642" ht="29.25" customHeight="1"/>
    <row r="643" ht="29.25" customHeight="1"/>
    <row r="644" ht="29.25" customHeight="1"/>
    <row r="645" ht="29.25" customHeight="1"/>
    <row r="646" ht="29.25" customHeight="1"/>
    <row r="647" ht="29.25" customHeight="1"/>
    <row r="648" ht="29.25" customHeight="1"/>
    <row r="649" ht="29.25" customHeight="1"/>
    <row r="650" ht="29.25" customHeight="1"/>
    <row r="651" ht="29.25" customHeight="1"/>
    <row r="652" ht="29.25" customHeight="1"/>
    <row r="653" ht="29.25" customHeight="1"/>
    <row r="654" ht="29.25" customHeight="1"/>
    <row r="655" ht="29.25" customHeight="1"/>
    <row r="656" ht="29.25" customHeight="1"/>
    <row r="657" ht="29.25" customHeight="1"/>
    <row r="658" ht="29.25" customHeight="1"/>
    <row r="659" ht="29.25" customHeight="1"/>
    <row r="660" ht="29.25" customHeight="1"/>
    <row r="661" ht="29.25" customHeight="1"/>
    <row r="662" ht="29.25" customHeight="1"/>
    <row r="663" ht="29.25" customHeight="1"/>
    <row r="664" ht="29.25" customHeight="1"/>
    <row r="665" ht="29.25" customHeight="1"/>
    <row r="666" ht="29.25" customHeight="1"/>
    <row r="667" ht="29.25" customHeight="1"/>
    <row r="668" ht="29.25" customHeight="1"/>
    <row r="669" ht="29.25" customHeight="1"/>
    <row r="670" ht="29.25" customHeight="1"/>
    <row r="671" ht="29.25" customHeight="1"/>
    <row r="672" ht="29.25" customHeight="1"/>
    <row r="673" ht="29.25" customHeight="1"/>
    <row r="674" ht="29.25" customHeight="1"/>
    <row r="675" ht="29.25" customHeight="1"/>
    <row r="676" ht="29.25" customHeight="1"/>
    <row r="677" ht="29.25" customHeight="1"/>
    <row r="678" ht="29.25" customHeight="1"/>
    <row r="679" ht="29.25" customHeight="1"/>
    <row r="680" ht="29.25" customHeight="1"/>
    <row r="681" ht="29.25" customHeight="1"/>
    <row r="682" ht="29.25" customHeight="1"/>
    <row r="683" ht="29.25" customHeight="1"/>
    <row r="684" ht="29.25" customHeight="1"/>
    <row r="685" ht="29.25" customHeight="1"/>
    <row r="686" ht="29.25" customHeight="1"/>
    <row r="687" ht="29.25" customHeight="1"/>
    <row r="688" ht="29.25" customHeight="1"/>
    <row r="689" ht="29.25" customHeight="1"/>
    <row r="690" ht="29.25" customHeight="1"/>
    <row r="691" ht="29.25" customHeight="1"/>
    <row r="692" ht="29.25" customHeight="1"/>
    <row r="693" ht="29.25" customHeight="1"/>
    <row r="694" ht="29.25" customHeight="1"/>
    <row r="695" ht="29.25" customHeight="1"/>
    <row r="696" ht="29.25" customHeight="1"/>
    <row r="697" ht="29.25" customHeight="1"/>
    <row r="698" ht="29.25" customHeight="1"/>
    <row r="699" ht="29.25" customHeight="1"/>
    <row r="700" ht="29.25" customHeight="1"/>
    <row r="701" ht="29.25" customHeight="1"/>
    <row r="702" ht="29.25" customHeight="1"/>
    <row r="703" ht="29.25" customHeight="1"/>
    <row r="704" ht="29.25" customHeight="1"/>
    <row r="705" ht="29.25" customHeight="1"/>
    <row r="706" ht="29.25" customHeight="1"/>
    <row r="707" ht="29.25" customHeight="1"/>
    <row r="708" ht="29.25" customHeight="1"/>
    <row r="709" ht="29.25" customHeight="1"/>
    <row r="710" ht="29.25" customHeight="1"/>
    <row r="711" ht="29.25" customHeight="1"/>
    <row r="712" ht="29.25" customHeight="1"/>
    <row r="713" ht="29.25" customHeight="1"/>
    <row r="714" ht="29.25" customHeight="1"/>
    <row r="715" ht="29.25" customHeight="1"/>
    <row r="716" ht="29.25" customHeight="1"/>
    <row r="717" ht="29.25" customHeight="1"/>
    <row r="718" ht="29.25" customHeight="1"/>
    <row r="719" ht="29.25" customHeight="1"/>
    <row r="720" ht="29.25" customHeight="1"/>
    <row r="721" ht="29.25" customHeight="1"/>
    <row r="722" ht="29.25" customHeight="1"/>
    <row r="723" ht="29.25" customHeight="1"/>
    <row r="724" ht="29.25" customHeight="1"/>
    <row r="725" ht="29.25" customHeight="1"/>
    <row r="726" ht="29.25" customHeight="1"/>
    <row r="727" ht="29.25" customHeight="1"/>
    <row r="728" ht="29.25" customHeight="1"/>
    <row r="729" ht="29.25" customHeight="1"/>
    <row r="730" ht="29.25" customHeight="1"/>
    <row r="731" ht="29.25" customHeight="1"/>
    <row r="732" ht="29.25" customHeight="1"/>
    <row r="733" ht="29.25" customHeight="1"/>
    <row r="734" ht="29.25" customHeight="1"/>
    <row r="735" ht="29.25" customHeight="1"/>
    <row r="736" ht="29.25" customHeight="1"/>
    <row r="737" ht="29.25" customHeight="1"/>
    <row r="738" ht="29.25" customHeight="1"/>
    <row r="739" ht="29.25" customHeight="1"/>
    <row r="740" ht="29.25" customHeight="1"/>
    <row r="741" ht="29.25" customHeight="1"/>
    <row r="742" ht="29.25" customHeight="1"/>
    <row r="743" ht="29.25" customHeight="1"/>
    <row r="744" ht="29.25" customHeight="1"/>
    <row r="745" ht="29.25" customHeight="1"/>
    <row r="746" ht="29.25" customHeight="1"/>
    <row r="747" ht="29.25" customHeight="1"/>
    <row r="748" ht="29.25" customHeight="1"/>
    <row r="749" ht="29.25" customHeight="1"/>
    <row r="750" ht="29.25" customHeight="1"/>
    <row r="751" ht="29.25" customHeight="1"/>
    <row r="752" ht="29.25" customHeight="1"/>
    <row r="753" ht="29.25" customHeight="1"/>
    <row r="754" ht="29.25" customHeight="1"/>
    <row r="755" ht="29.25" customHeight="1"/>
    <row r="756" ht="29.25" customHeight="1"/>
    <row r="757" ht="29.25" customHeight="1"/>
    <row r="758" ht="29.25" customHeight="1"/>
    <row r="759" ht="29.25" customHeight="1"/>
    <row r="760" ht="29.25" customHeight="1"/>
    <row r="761" ht="29.25" customHeight="1"/>
    <row r="762" ht="29.25" customHeight="1"/>
    <row r="763" ht="29.25" customHeight="1"/>
    <row r="764" ht="29.25" customHeight="1"/>
    <row r="765" ht="29.25" customHeight="1"/>
    <row r="766" ht="29.25" customHeight="1"/>
    <row r="767" ht="29.25" customHeight="1"/>
    <row r="768" ht="29.25" customHeight="1"/>
    <row r="769" ht="29.25" customHeight="1"/>
    <row r="770" ht="29.25" customHeight="1"/>
    <row r="771" ht="29.25" customHeight="1"/>
    <row r="772" ht="29.25" customHeight="1"/>
    <row r="773" ht="29.25" customHeight="1"/>
    <row r="774" ht="29.25" customHeight="1"/>
    <row r="775" ht="29.25" customHeight="1"/>
    <row r="776" ht="29.25" customHeight="1"/>
    <row r="777" ht="29.25" customHeight="1"/>
    <row r="778" ht="29.25" customHeight="1"/>
    <row r="779" ht="29.25" customHeight="1"/>
    <row r="780" ht="29.25" customHeight="1"/>
    <row r="781" ht="29.25" customHeight="1"/>
    <row r="782" ht="29.25" customHeight="1"/>
    <row r="783" ht="29.25" customHeight="1"/>
    <row r="784" ht="29.25" customHeight="1"/>
    <row r="785" ht="29.25" customHeight="1"/>
    <row r="786" ht="29.25" customHeight="1"/>
    <row r="787" ht="29.25" customHeight="1"/>
    <row r="788" ht="29.25" customHeight="1"/>
    <row r="789" ht="29.25" customHeight="1"/>
    <row r="790" ht="29.25" customHeight="1"/>
    <row r="791" ht="29.25" customHeight="1"/>
    <row r="792" ht="29.25" customHeight="1"/>
    <row r="793" ht="29.25" customHeight="1"/>
    <row r="794" ht="29.25" customHeight="1"/>
    <row r="795" ht="29.25" customHeight="1"/>
    <row r="796" ht="29.25" customHeight="1"/>
    <row r="797" ht="29.25" customHeight="1"/>
    <row r="798" ht="29.25" customHeight="1"/>
    <row r="799" ht="29.25" customHeight="1"/>
    <row r="800" ht="29.25" customHeight="1"/>
    <row r="801" ht="29.25" customHeight="1"/>
    <row r="802" ht="29.25" customHeight="1"/>
    <row r="803" ht="29.25" customHeight="1"/>
    <row r="804" ht="29.25" customHeight="1"/>
    <row r="805" ht="29.25" customHeight="1"/>
    <row r="806" ht="29.25" customHeight="1"/>
    <row r="807" ht="29.25" customHeight="1"/>
    <row r="808" ht="29.25" customHeight="1"/>
    <row r="809" ht="29.25" customHeight="1"/>
    <row r="810" ht="29.25" customHeight="1"/>
    <row r="811" ht="29.25" customHeight="1"/>
    <row r="812" ht="29.25" customHeight="1"/>
    <row r="813" ht="29.25" customHeight="1"/>
    <row r="814" ht="29.25" customHeight="1"/>
    <row r="815" ht="29.25" customHeight="1"/>
    <row r="816" ht="29.25" customHeight="1"/>
    <row r="817" ht="29.25" customHeight="1"/>
    <row r="818" ht="29.25" customHeight="1"/>
    <row r="819" ht="29.25" customHeight="1"/>
    <row r="820" ht="29.25" customHeight="1"/>
    <row r="821" ht="29.25" customHeight="1"/>
    <row r="822" ht="29.25" customHeight="1"/>
    <row r="823" ht="29.25" customHeight="1"/>
    <row r="824" ht="29.25" customHeight="1"/>
    <row r="825" ht="29.25" customHeight="1"/>
    <row r="826" ht="29.25" customHeight="1"/>
    <row r="827" ht="29.25" customHeight="1"/>
    <row r="828" ht="29.25" customHeight="1"/>
    <row r="829" ht="29.25" customHeight="1"/>
    <row r="830" ht="29.25" customHeight="1"/>
    <row r="831" ht="29.25" customHeight="1"/>
    <row r="832" ht="29.25" customHeight="1"/>
    <row r="833" ht="29.25" customHeight="1"/>
    <row r="834" ht="29.25" customHeight="1"/>
    <row r="835" ht="29.25" customHeight="1"/>
    <row r="836" ht="29.25" customHeight="1"/>
    <row r="837" ht="29.25" customHeight="1"/>
    <row r="838" ht="29.25" customHeight="1"/>
    <row r="839" ht="29.25" customHeight="1"/>
    <row r="840" ht="29.25" customHeight="1"/>
    <row r="841" ht="29.25" customHeight="1"/>
    <row r="842" ht="29.25" customHeight="1"/>
    <row r="843" ht="29.25" customHeight="1"/>
    <row r="844" ht="29.25" customHeight="1"/>
    <row r="845" ht="29.25" customHeight="1"/>
    <row r="846" ht="29.25" customHeight="1"/>
    <row r="847" ht="29.25" customHeight="1"/>
    <row r="848" ht="29.25" customHeight="1"/>
    <row r="849" ht="29.25" customHeight="1"/>
    <row r="850" ht="29.25" customHeight="1"/>
    <row r="851" ht="29.25" customHeight="1"/>
    <row r="852" ht="29.25" customHeight="1"/>
    <row r="853" ht="29.25" customHeight="1"/>
    <row r="854" ht="29.25" customHeight="1"/>
    <row r="855" ht="29.25" customHeight="1"/>
    <row r="856" ht="29.25" customHeight="1"/>
    <row r="857" ht="29.25" customHeight="1"/>
    <row r="858" ht="29.25" customHeight="1"/>
    <row r="859" ht="29.25" customHeight="1"/>
    <row r="860" ht="29.25" customHeight="1"/>
    <row r="861" ht="29.25" customHeight="1"/>
    <row r="862" ht="29.25" customHeight="1"/>
    <row r="863" ht="29.25" customHeight="1"/>
    <row r="864" ht="29.25" customHeight="1"/>
    <row r="865" ht="29.25" customHeight="1"/>
    <row r="866" ht="29.25" customHeight="1"/>
    <row r="867" ht="29.25" customHeight="1"/>
    <row r="868" ht="29.25" customHeight="1"/>
    <row r="869" ht="29.25" customHeight="1"/>
    <row r="870" ht="29.25" customHeight="1"/>
    <row r="871" ht="29.25" customHeight="1"/>
    <row r="872" ht="29.25" customHeight="1"/>
    <row r="873" ht="29.25" customHeight="1"/>
    <row r="874" ht="29.25" customHeight="1"/>
    <row r="875" ht="29.25" customHeight="1"/>
    <row r="876" ht="29.25" customHeight="1"/>
    <row r="877" ht="29.25" customHeight="1"/>
    <row r="878" ht="29.25" customHeight="1"/>
    <row r="879" ht="29.25" customHeight="1"/>
    <row r="880" ht="29.25" customHeight="1"/>
    <row r="881" ht="29.25" customHeight="1"/>
    <row r="882" ht="29.25" customHeight="1"/>
    <row r="883" ht="29.25" customHeight="1"/>
    <row r="884" ht="29.25" customHeight="1"/>
    <row r="885" ht="29.25" customHeight="1"/>
    <row r="886" ht="29.25" customHeight="1"/>
    <row r="887" ht="29.25" customHeight="1"/>
    <row r="888" ht="29.25" customHeight="1"/>
    <row r="889" ht="29.25" customHeight="1"/>
    <row r="890" ht="29.25" customHeight="1"/>
    <row r="891" ht="29.25" customHeight="1"/>
    <row r="892" ht="29.25" customHeight="1"/>
    <row r="893" ht="29.25" customHeight="1"/>
    <row r="894" ht="29.25" customHeight="1"/>
    <row r="895" ht="29.25" customHeight="1"/>
    <row r="896" ht="29.25" customHeight="1"/>
    <row r="897" ht="29.25" customHeight="1"/>
    <row r="898" ht="29.25" customHeight="1"/>
    <row r="899" ht="29.25" customHeight="1"/>
    <row r="900" ht="29.25" customHeight="1"/>
    <row r="901" ht="29.25" customHeight="1"/>
    <row r="902" ht="29.25" customHeight="1"/>
    <row r="903" ht="29.25" customHeight="1"/>
    <row r="904" ht="29.25" customHeight="1"/>
    <row r="905" ht="29.25" customHeight="1"/>
    <row r="906" ht="29.25" customHeight="1"/>
    <row r="907" ht="29.25" customHeight="1"/>
    <row r="908" ht="29.25" customHeight="1"/>
    <row r="909" ht="29.25" customHeight="1"/>
    <row r="910" ht="29.25" customHeight="1"/>
    <row r="911" ht="29.25" customHeight="1"/>
    <row r="912" ht="29.25" customHeight="1"/>
    <row r="913" ht="29.25" customHeight="1"/>
    <row r="914" ht="29.25" customHeight="1"/>
    <row r="915" ht="29.25" customHeight="1"/>
    <row r="916" ht="29.25" customHeight="1"/>
    <row r="917" ht="29.25" customHeight="1"/>
    <row r="918" ht="29.25" customHeight="1"/>
    <row r="919" ht="29.25" customHeight="1"/>
    <row r="920" ht="29.25" customHeight="1"/>
    <row r="921" ht="29.25" customHeight="1"/>
    <row r="922" ht="29.25" customHeight="1"/>
    <row r="923" ht="29.25" customHeight="1"/>
    <row r="924" ht="29.25" customHeight="1"/>
    <row r="925" ht="29.25" customHeight="1"/>
    <row r="926" ht="29.25" customHeight="1"/>
    <row r="927" ht="29.25" customHeight="1"/>
    <row r="928" ht="29.25" customHeight="1"/>
    <row r="929" ht="29.25" customHeight="1"/>
    <row r="930" ht="29.25" customHeight="1"/>
    <row r="931" ht="29.25" customHeight="1"/>
    <row r="932" ht="29.25" customHeight="1"/>
    <row r="933" ht="29.25" customHeight="1"/>
    <row r="934" ht="29.25" customHeight="1"/>
    <row r="935" ht="29.25" customHeight="1"/>
    <row r="936" ht="29.25" customHeight="1"/>
    <row r="937" ht="29.25" customHeight="1"/>
    <row r="938" ht="29.25" customHeight="1"/>
    <row r="939" ht="29.25" customHeight="1"/>
    <row r="940" ht="29.25" customHeight="1"/>
    <row r="941" ht="29.25" customHeight="1"/>
    <row r="942" ht="29.25" customHeight="1"/>
    <row r="943" ht="29.25" customHeight="1"/>
    <row r="944" ht="29.25" customHeight="1"/>
    <row r="945" ht="29.25" customHeight="1"/>
    <row r="946" ht="29.25" customHeight="1"/>
    <row r="947" ht="29.25" customHeight="1"/>
    <row r="948" ht="29.25" customHeight="1"/>
    <row r="949" ht="29.25" customHeight="1"/>
    <row r="950" ht="29.25" customHeight="1"/>
    <row r="951" ht="29.25" customHeight="1"/>
    <row r="952" ht="29.25" customHeight="1"/>
    <row r="953" ht="29.25" customHeight="1"/>
    <row r="954" ht="29.25" customHeight="1"/>
    <row r="955" ht="29.25" customHeight="1"/>
    <row r="956" ht="29.25" customHeight="1"/>
    <row r="957" ht="29.25" customHeight="1"/>
    <row r="958" ht="29.25" customHeight="1"/>
    <row r="959" ht="29.25" customHeight="1"/>
    <row r="960" ht="29.25" customHeight="1"/>
    <row r="961" ht="29.25" customHeight="1"/>
    <row r="962" ht="29.25" customHeight="1"/>
    <row r="963" ht="29.25" customHeight="1"/>
    <row r="964" ht="29.25" customHeight="1"/>
    <row r="965" ht="29.25" customHeight="1"/>
    <row r="966" ht="29.25" customHeight="1"/>
    <row r="967" ht="29.25" customHeight="1"/>
    <row r="968" ht="29.25" customHeight="1"/>
    <row r="969" ht="29.25" customHeight="1"/>
    <row r="970" ht="29.25" customHeight="1"/>
    <row r="971" ht="29.25" customHeight="1"/>
    <row r="972" ht="29.25" customHeight="1"/>
    <row r="973" ht="29.25" customHeight="1"/>
    <row r="974" ht="29.25" customHeight="1"/>
    <row r="975" ht="29.25" customHeight="1"/>
    <row r="976" ht="29.25" customHeight="1"/>
    <row r="977" ht="29.25" customHeight="1"/>
    <row r="978" ht="29.25" customHeight="1"/>
    <row r="979" ht="29.25" customHeight="1"/>
    <row r="980" ht="29.25" customHeight="1"/>
    <row r="981" ht="29.25" customHeight="1"/>
    <row r="982" ht="29.25" customHeight="1"/>
    <row r="983" ht="29.25" customHeight="1"/>
    <row r="984" ht="29.25" customHeight="1"/>
    <row r="985" ht="29.25" customHeight="1"/>
    <row r="986" ht="29.25" customHeight="1"/>
    <row r="987" ht="29.25" customHeight="1"/>
    <row r="988" ht="29.25" customHeight="1"/>
    <row r="989" ht="29.25" customHeight="1"/>
    <row r="990" ht="29.25" customHeight="1"/>
    <row r="991" ht="29.25" customHeight="1"/>
    <row r="992" ht="29.25" customHeight="1"/>
    <row r="993" ht="29.25" customHeight="1"/>
    <row r="994" ht="29.25" customHeight="1"/>
    <row r="995" ht="29.25" customHeight="1"/>
    <row r="996" ht="29.25" customHeight="1"/>
    <row r="997" ht="29.25" customHeight="1"/>
    <row r="998" ht="29.25" customHeight="1"/>
    <row r="999" ht="29.25" customHeight="1"/>
    <row r="1000" ht="29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opLeftCell="A21" workbookViewId="0">
      <selection activeCell="E11" sqref="E11"/>
    </sheetView>
  </sheetViews>
  <sheetFormatPr defaultColWidth="14.44140625" defaultRowHeight="15" customHeight="1"/>
  <cols>
    <col min="1" max="1" width="14.6640625" customWidth="1"/>
    <col min="2" max="2" width="20.5546875" customWidth="1"/>
    <col min="3" max="3" width="30.6640625" customWidth="1"/>
    <col min="4" max="4" width="21" customWidth="1"/>
    <col min="5" max="5" width="17.44140625" customWidth="1"/>
    <col min="6" max="6" width="17.5546875" customWidth="1"/>
    <col min="7" max="26" width="8.6640625" customWidth="1"/>
  </cols>
  <sheetData>
    <row r="1" spans="1:5" ht="14.4">
      <c r="A1" s="18" t="s">
        <v>82</v>
      </c>
      <c r="B1" s="18" t="s">
        <v>83</v>
      </c>
      <c r="C1" s="18" t="s">
        <v>84</v>
      </c>
      <c r="E1" s="39"/>
    </row>
    <row r="2" spans="1:5" ht="14.4">
      <c r="A2" s="2">
        <v>1</v>
      </c>
      <c r="B2" s="2" t="s">
        <v>38</v>
      </c>
      <c r="C2" s="2" t="s">
        <v>85</v>
      </c>
      <c r="D2" s="20"/>
    </row>
    <row r="3" spans="1:5" ht="14.4">
      <c r="A3" s="2">
        <v>2</v>
      </c>
      <c r="B3" s="2" t="s">
        <v>39</v>
      </c>
      <c r="C3" s="2" t="s">
        <v>86</v>
      </c>
    </row>
    <row r="4" spans="1:5" ht="14.4">
      <c r="A4" s="2">
        <v>3</v>
      </c>
      <c r="B4" s="2" t="s">
        <v>40</v>
      </c>
      <c r="C4" s="2" t="s">
        <v>87</v>
      </c>
    </row>
    <row r="5" spans="1:5" ht="14.4">
      <c r="A5" s="2">
        <v>4</v>
      </c>
      <c r="B5" s="2" t="s">
        <v>41</v>
      </c>
      <c r="C5" s="2" t="s">
        <v>88</v>
      </c>
    </row>
    <row r="6" spans="1:5" ht="14.4">
      <c r="A6" s="2">
        <v>5</v>
      </c>
      <c r="B6" s="2" t="s">
        <v>42</v>
      </c>
      <c r="C6" s="2" t="s">
        <v>89</v>
      </c>
    </row>
    <row r="7" spans="1:5" ht="19.5" customHeight="1">
      <c r="A7" s="2">
        <v>6</v>
      </c>
      <c r="B7" s="2" t="s">
        <v>90</v>
      </c>
      <c r="C7" s="2" t="s">
        <v>91</v>
      </c>
    </row>
    <row r="8" spans="1:5" ht="14.4">
      <c r="A8" s="2">
        <v>7</v>
      </c>
      <c r="B8" s="2" t="s">
        <v>92</v>
      </c>
      <c r="C8" s="2" t="s">
        <v>93</v>
      </c>
    </row>
    <row r="9" spans="1:5" ht="14.4">
      <c r="A9" s="2">
        <v>8</v>
      </c>
      <c r="B9" s="2" t="s">
        <v>94</v>
      </c>
      <c r="C9" s="2" t="s">
        <v>95</v>
      </c>
    </row>
    <row r="10" spans="1:5" ht="14.4">
      <c r="A10" s="2">
        <v>9</v>
      </c>
      <c r="B10" s="2" t="s">
        <v>96</v>
      </c>
      <c r="C10" s="2" t="s">
        <v>97</v>
      </c>
    </row>
    <row r="11" spans="1:5" ht="14.4">
      <c r="A11" s="2">
        <v>10</v>
      </c>
      <c r="B11" s="2" t="s">
        <v>98</v>
      </c>
      <c r="C11" s="2" t="s">
        <v>99</v>
      </c>
    </row>
    <row r="13" spans="1:5">
      <c r="A13" s="21" t="s">
        <v>100</v>
      </c>
    </row>
    <row r="14" spans="1:5">
      <c r="A14" s="21" t="s">
        <v>101</v>
      </c>
    </row>
    <row r="15" spans="1:5">
      <c r="A15" s="21" t="s">
        <v>102</v>
      </c>
    </row>
    <row r="16" spans="1:5">
      <c r="A16" s="21" t="s">
        <v>103</v>
      </c>
    </row>
    <row r="17" spans="1:6">
      <c r="A17" s="21" t="s">
        <v>104</v>
      </c>
    </row>
    <row r="21" spans="1:6" ht="15.75" customHeight="1"/>
    <row r="22" spans="1:6" ht="15.75" customHeight="1"/>
    <row r="23" spans="1:6" ht="15.75" customHeight="1"/>
    <row r="24" spans="1:6" ht="15.75" customHeight="1">
      <c r="B24" s="41" t="s">
        <v>82</v>
      </c>
      <c r="C24" s="18" t="s">
        <v>83</v>
      </c>
      <c r="D24" s="18" t="s">
        <v>84</v>
      </c>
      <c r="E24" s="40" t="s">
        <v>139</v>
      </c>
      <c r="F24" s="40" t="s">
        <v>138</v>
      </c>
    </row>
    <row r="25" spans="1:6" ht="15.75" customHeight="1">
      <c r="B25" s="42">
        <v>1</v>
      </c>
      <c r="C25" s="2" t="s">
        <v>38</v>
      </c>
      <c r="D25" s="2" t="s">
        <v>85</v>
      </c>
      <c r="E25" t="str">
        <f>RIGHT(D25,LEN(D25) - FIND("@",D25))</f>
        <v>example.com</v>
      </c>
      <c r="F25" t="str">
        <f>IF(Table1[[#This Row],[Domain]]="example.com","Personal",IF(Table1[[#This Row],[Domain]]="example.org","Organization",IF(Table1[[#This Row],[Domain]]="example.net","Network","Other")))</f>
        <v>Personal</v>
      </c>
    </row>
    <row r="26" spans="1:6" ht="15.75" customHeight="1">
      <c r="B26" s="42">
        <v>2</v>
      </c>
      <c r="C26" s="2" t="s">
        <v>39</v>
      </c>
      <c r="D26" s="2" t="s">
        <v>86</v>
      </c>
      <c r="E26" t="str">
        <f t="shared" ref="E26:E34" si="0">RIGHT(D26,LEN(D26) - FIND("@",D26))</f>
        <v>example.org</v>
      </c>
      <c r="F26" t="str">
        <f>IF(Table1[[#This Row],[Domain]]="example.com","Personal",IF(Table1[[#This Row],[Domain]]="example.org","Organization",IF(Table1[[#This Row],[Domain]]="example.net","Network","Other")))</f>
        <v>Organization</v>
      </c>
    </row>
    <row r="27" spans="1:6" ht="15.75" customHeight="1">
      <c r="B27" s="42">
        <v>3</v>
      </c>
      <c r="C27" s="2" t="s">
        <v>40</v>
      </c>
      <c r="D27" s="2" t="s">
        <v>87</v>
      </c>
      <c r="E27" t="str">
        <f t="shared" si="0"/>
        <v>example.com</v>
      </c>
      <c r="F27" t="str">
        <f>IF(Table1[[#This Row],[Domain]]="example.com","Personal",IF(Table1[[#This Row],[Domain]]="example.org","Organization",IF(Table1[[#This Row],[Domain]]="example.net","Network","Other")))</f>
        <v>Personal</v>
      </c>
    </row>
    <row r="28" spans="1:6" ht="15.75" customHeight="1">
      <c r="B28" s="42">
        <v>4</v>
      </c>
      <c r="C28" s="2" t="s">
        <v>41</v>
      </c>
      <c r="D28" s="2" t="s">
        <v>88</v>
      </c>
      <c r="E28" t="str">
        <f t="shared" si="0"/>
        <v>example.net</v>
      </c>
      <c r="F28" t="str">
        <f>IF(Table1[[#This Row],[Domain]]="example.com","Personal",IF(Table1[[#This Row],[Domain]]="example.org","Organization",IF(Table1[[#This Row],[Domain]]="example.net","Network","Other")))</f>
        <v>Network</v>
      </c>
    </row>
    <row r="29" spans="1:6" ht="15.75" customHeight="1">
      <c r="B29" s="42">
        <v>5</v>
      </c>
      <c r="C29" s="2" t="s">
        <v>42</v>
      </c>
      <c r="D29" s="2" t="s">
        <v>89</v>
      </c>
      <c r="E29" t="str">
        <f t="shared" si="0"/>
        <v>example.org</v>
      </c>
      <c r="F29" t="str">
        <f>IF(Table1[[#This Row],[Domain]]="example.com","Personal",IF(Table1[[#This Row],[Domain]]="example.org","Organization",IF(Table1[[#This Row],[Domain]]="example.net","Network","Other")))</f>
        <v>Organization</v>
      </c>
    </row>
    <row r="30" spans="1:6" ht="15.75" customHeight="1">
      <c r="B30" s="42">
        <v>6</v>
      </c>
      <c r="C30" s="2" t="s">
        <v>90</v>
      </c>
      <c r="D30" s="2" t="s">
        <v>91</v>
      </c>
      <c r="E30" t="str">
        <f t="shared" si="0"/>
        <v>example.com</v>
      </c>
      <c r="F30" t="str">
        <f>IF(Table1[[#This Row],[Domain]]="example.com","Personal",IF(Table1[[#This Row],[Domain]]="example.org","Organization",IF(Table1[[#This Row],[Domain]]="example.net","Network","Other")))</f>
        <v>Personal</v>
      </c>
    </row>
    <row r="31" spans="1:6" ht="15.75" customHeight="1">
      <c r="B31" s="42">
        <v>7</v>
      </c>
      <c r="C31" s="2" t="s">
        <v>92</v>
      </c>
      <c r="D31" s="2" t="s">
        <v>93</v>
      </c>
      <c r="E31" t="str">
        <f t="shared" si="0"/>
        <v>example.net</v>
      </c>
      <c r="F31" t="str">
        <f>IF(Table1[[#This Row],[Domain]]="example.com","Personal",IF(Table1[[#This Row],[Domain]]="example.org","Organization",IF(Table1[[#This Row],[Domain]]="example.net","Network","Other")))</f>
        <v>Network</v>
      </c>
    </row>
    <row r="32" spans="1:6" ht="15.75" customHeight="1">
      <c r="B32" s="42">
        <v>8</v>
      </c>
      <c r="C32" s="2" t="s">
        <v>94</v>
      </c>
      <c r="D32" s="2" t="s">
        <v>95</v>
      </c>
      <c r="E32" t="str">
        <f t="shared" si="0"/>
        <v>example.org</v>
      </c>
      <c r="F32" t="str">
        <f>IF(Table1[[#This Row],[Domain]]="example.com","Personal",IF(Table1[[#This Row],[Domain]]="example.org","Organization",IF(Table1[[#This Row],[Domain]]="example.net","Network","Other")))</f>
        <v>Organization</v>
      </c>
    </row>
    <row r="33" spans="2:6" ht="15.75" customHeight="1">
      <c r="B33" s="42">
        <v>9</v>
      </c>
      <c r="C33" s="2" t="s">
        <v>96</v>
      </c>
      <c r="D33" s="2" t="s">
        <v>97</v>
      </c>
      <c r="E33" t="str">
        <f t="shared" si="0"/>
        <v>example.com</v>
      </c>
      <c r="F33" t="str">
        <f>IF(Table1[[#This Row],[Domain]]="example.com","Personal",IF(Table1[[#This Row],[Domain]]="example.org","Organization",IF(Table1[[#This Row],[Domain]]="example.net","Network","Other")))</f>
        <v>Personal</v>
      </c>
    </row>
    <row r="34" spans="2:6" ht="15.75" customHeight="1">
      <c r="B34" s="42">
        <v>10</v>
      </c>
      <c r="C34" s="2" t="s">
        <v>98</v>
      </c>
      <c r="D34" s="2" t="s">
        <v>99</v>
      </c>
      <c r="E34" t="str">
        <f t="shared" si="0"/>
        <v>example.net</v>
      </c>
      <c r="F34" t="str">
        <f>IF(Table1[[#This Row],[Domain]]="example.com","Personal",IF(Table1[[#This Row],[Domain]]="example.org","Organization",IF(Table1[[#This Row],[Domain]]="example.net","Network","Other")))</f>
        <v>Network</v>
      </c>
    </row>
    <row r="35" spans="2:6" ht="15.75" customHeight="1"/>
    <row r="36" spans="2:6" ht="15.75" customHeight="1"/>
    <row r="37" spans="2:6" ht="15.75" customHeight="1"/>
    <row r="38" spans="2:6" ht="15.75" customHeight="1"/>
    <row r="39" spans="2:6" ht="15.75" customHeight="1"/>
    <row r="40" spans="2:6" ht="15.75" customHeight="1"/>
    <row r="41" spans="2:6" ht="15.75" customHeight="1"/>
    <row r="42" spans="2:6" ht="15.75" customHeight="1"/>
    <row r="43" spans="2:6" ht="15.75" customHeight="1"/>
    <row r="44" spans="2:6" ht="15.75" customHeight="1"/>
    <row r="45" spans="2:6" ht="15.75" customHeight="1"/>
    <row r="46" spans="2:6" ht="15.75" customHeight="1"/>
    <row r="47" spans="2:6" ht="15.75" customHeight="1"/>
    <row r="48" spans="2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20"/>
  <sheetViews>
    <sheetView workbookViewId="0">
      <selection activeCell="I12" sqref="I12"/>
    </sheetView>
  </sheetViews>
  <sheetFormatPr defaultColWidth="14.44140625" defaultRowHeight="15" customHeight="1"/>
  <sheetData>
    <row r="1" spans="1:1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6"/>
      <c r="B2" s="6"/>
      <c r="C2" s="6" t="s">
        <v>105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A3" s="6"/>
      <c r="B3" s="6">
        <v>1</v>
      </c>
      <c r="C3" s="22" t="s">
        <v>106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>
      <c r="A4" s="6"/>
      <c r="B4" s="37"/>
      <c r="C4" s="38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6">
        <v>2</v>
      </c>
      <c r="C5" s="22" t="s">
        <v>107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/>
      <c r="B6" s="37"/>
      <c r="C6" s="3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6"/>
      <c r="B7" s="37"/>
      <c r="C7" s="3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37"/>
      <c r="C8" s="38"/>
      <c r="D8" s="6"/>
      <c r="E8" s="6"/>
      <c r="F8" s="3" t="s">
        <v>108</v>
      </c>
      <c r="G8" s="3" t="s">
        <v>109</v>
      </c>
      <c r="H8" s="6"/>
      <c r="I8" s="6"/>
      <c r="J8" s="6"/>
      <c r="K8" s="6"/>
      <c r="L8" s="6"/>
      <c r="M8" s="6"/>
      <c r="N8" s="6"/>
      <c r="O8" s="6"/>
      <c r="P8" s="6"/>
    </row>
    <row r="9" spans="1:16">
      <c r="A9" s="6"/>
      <c r="B9" s="6"/>
      <c r="C9" s="23" t="s">
        <v>110</v>
      </c>
      <c r="D9" s="23" t="s">
        <v>111</v>
      </c>
      <c r="E9" s="24" t="s">
        <v>112</v>
      </c>
      <c r="F9" s="23" t="s">
        <v>113</v>
      </c>
      <c r="G9" s="23" t="s">
        <v>114</v>
      </c>
      <c r="H9" s="6"/>
      <c r="I9" s="6"/>
      <c r="J9" s="6"/>
      <c r="K9" s="6"/>
      <c r="L9" s="6"/>
      <c r="M9" s="6"/>
      <c r="N9" s="6"/>
      <c r="O9" s="6"/>
      <c r="P9" s="6"/>
    </row>
    <row r="10" spans="1:16">
      <c r="A10" s="6"/>
      <c r="B10" s="6"/>
      <c r="C10" s="25">
        <v>1</v>
      </c>
      <c r="D10" s="3" t="s">
        <v>115</v>
      </c>
      <c r="E10" s="26">
        <v>16</v>
      </c>
      <c r="F10" s="27" t="str">
        <f>IF(E10&gt;=18,"Eligible","Not Eligible")</f>
        <v>Not Eligible</v>
      </c>
      <c r="G10" s="27" t="str">
        <f>IF(E10&gt;=18,"Adult","Minor")</f>
        <v>Minor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6"/>
      <c r="C11" s="25">
        <v>2</v>
      </c>
      <c r="D11" s="3" t="s">
        <v>116</v>
      </c>
      <c r="E11" s="26">
        <v>18</v>
      </c>
      <c r="F11" s="27" t="str">
        <f t="shared" ref="F11:F17" si="0">IF(E11&gt;=18,"Eligible","Not Eligible")</f>
        <v>Eligible</v>
      </c>
      <c r="G11" s="27" t="str">
        <f t="shared" ref="G11:G17" si="1">IF(E11&gt;=18,"Adult","Minor")</f>
        <v>Adult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/>
      <c r="B12" s="6"/>
      <c r="C12" s="25">
        <v>3</v>
      </c>
      <c r="D12" s="3" t="s">
        <v>117</v>
      </c>
      <c r="E12" s="26">
        <v>15.5</v>
      </c>
      <c r="F12" s="27" t="str">
        <f t="shared" si="0"/>
        <v>Not Eligible</v>
      </c>
      <c r="G12" s="27" t="str">
        <f t="shared" si="1"/>
        <v>Minor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6"/>
      <c r="B13" s="6"/>
      <c r="C13" s="25">
        <v>4</v>
      </c>
      <c r="D13" s="3" t="s">
        <v>118</v>
      </c>
      <c r="E13" s="26">
        <v>19</v>
      </c>
      <c r="F13" s="27" t="str">
        <f t="shared" si="0"/>
        <v>Eligible</v>
      </c>
      <c r="G13" s="27" t="str">
        <f t="shared" si="1"/>
        <v>Adult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6"/>
      <c r="C14" s="25">
        <v>5</v>
      </c>
      <c r="D14" s="3" t="s">
        <v>119</v>
      </c>
      <c r="E14" s="26">
        <v>18</v>
      </c>
      <c r="F14" s="27" t="str">
        <f t="shared" si="0"/>
        <v>Eligible</v>
      </c>
      <c r="G14" s="27" t="str">
        <f t="shared" si="1"/>
        <v>Adult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/>
      <c r="B15" s="6"/>
      <c r="C15" s="25">
        <v>6</v>
      </c>
      <c r="D15" s="3" t="s">
        <v>120</v>
      </c>
      <c r="E15" s="26">
        <v>13</v>
      </c>
      <c r="F15" s="27" t="str">
        <f t="shared" si="0"/>
        <v>Not Eligible</v>
      </c>
      <c r="G15" s="27" t="str">
        <f t="shared" si="1"/>
        <v>Minor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6"/>
      <c r="B16" s="6"/>
      <c r="C16" s="25">
        <v>7</v>
      </c>
      <c r="D16" s="3" t="s">
        <v>121</v>
      </c>
      <c r="E16" s="26">
        <v>18</v>
      </c>
      <c r="F16" s="27" t="str">
        <f t="shared" si="0"/>
        <v>Eligible</v>
      </c>
      <c r="G16" s="27" t="str">
        <f t="shared" si="1"/>
        <v>Adult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6"/>
      <c r="C17" s="25">
        <v>8</v>
      </c>
      <c r="D17" s="3" t="s">
        <v>122</v>
      </c>
      <c r="E17" s="26">
        <v>17</v>
      </c>
      <c r="F17" s="27" t="str">
        <f t="shared" si="0"/>
        <v>Not Eligible</v>
      </c>
      <c r="G17" s="27" t="str">
        <f t="shared" si="1"/>
        <v>Minor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</sheetData>
  <mergeCells count="4">
    <mergeCell ref="B4:C4"/>
    <mergeCell ref="B6:C6"/>
    <mergeCell ref="B7:C7"/>
    <mergeCell ref="B8:C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0"/>
  <sheetViews>
    <sheetView tabSelected="1" workbookViewId="0">
      <selection activeCell="E12" sqref="E12:E18"/>
    </sheetView>
  </sheetViews>
  <sheetFormatPr defaultColWidth="14.44140625" defaultRowHeight="15" customHeight="1"/>
  <sheetData>
    <row r="1" spans="1:8">
      <c r="A1" s="6"/>
      <c r="B1" s="6"/>
      <c r="C1" s="6"/>
      <c r="D1" s="6"/>
      <c r="E1" s="6"/>
      <c r="F1" s="6"/>
      <c r="G1" s="6"/>
      <c r="H1" s="6"/>
    </row>
    <row r="2" spans="1:8">
      <c r="A2" s="6"/>
      <c r="B2" s="6" t="s">
        <v>123</v>
      </c>
      <c r="C2" s="6"/>
      <c r="D2" s="6"/>
      <c r="E2" s="6"/>
      <c r="F2" s="6"/>
      <c r="G2" s="6"/>
      <c r="H2" s="6"/>
    </row>
    <row r="3" spans="1:8">
      <c r="A3" s="6"/>
      <c r="B3" s="6"/>
      <c r="C3" s="6"/>
      <c r="D3" s="6"/>
      <c r="E3" s="6"/>
      <c r="F3" s="6"/>
      <c r="G3" s="6"/>
      <c r="H3" s="6"/>
    </row>
    <row r="4" spans="1:8">
      <c r="A4" s="6"/>
      <c r="B4" s="6"/>
      <c r="C4" s="6" t="s">
        <v>124</v>
      </c>
      <c r="D4" s="6"/>
      <c r="E4" s="6"/>
      <c r="F4" s="6"/>
      <c r="G4" s="6"/>
      <c r="H4" s="6"/>
    </row>
    <row r="5" spans="1:8">
      <c r="A5" s="6"/>
      <c r="B5" s="3" t="s">
        <v>125</v>
      </c>
      <c r="C5" s="28">
        <v>1</v>
      </c>
      <c r="D5" s="6"/>
      <c r="E5" s="6"/>
      <c r="F5" s="6"/>
      <c r="G5" s="6"/>
      <c r="H5" s="6"/>
    </row>
    <row r="6" spans="1:8">
      <c r="A6" s="6"/>
      <c r="B6" s="3" t="s">
        <v>126</v>
      </c>
      <c r="C6" s="28">
        <v>0.5</v>
      </c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 t="s">
        <v>127</v>
      </c>
      <c r="C8" s="6"/>
      <c r="D8" s="6"/>
      <c r="E8" s="6"/>
      <c r="F8" s="6"/>
      <c r="G8" s="6"/>
      <c r="H8" s="6"/>
    </row>
    <row r="9" spans="1:8">
      <c r="A9" s="6"/>
      <c r="B9" s="6" t="s">
        <v>128</v>
      </c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29" t="s">
        <v>111</v>
      </c>
      <c r="C11" s="29" t="s">
        <v>129</v>
      </c>
      <c r="D11" s="29" t="s">
        <v>130</v>
      </c>
      <c r="E11" s="29" t="s">
        <v>131</v>
      </c>
      <c r="F11" s="6"/>
      <c r="G11" s="6"/>
      <c r="H11" s="6"/>
    </row>
    <row r="12" spans="1:8">
      <c r="A12" s="6"/>
      <c r="B12" s="3" t="s">
        <v>132</v>
      </c>
      <c r="C12" s="3" t="s">
        <v>125</v>
      </c>
      <c r="D12" s="30">
        <v>46866</v>
      </c>
      <c r="E12" s="27">
        <f>IF(C12="A+",D12,D12*0.5)</f>
        <v>46866</v>
      </c>
      <c r="F12" s="6"/>
      <c r="G12" s="6"/>
      <c r="H12" s="31"/>
    </row>
    <row r="13" spans="1:8">
      <c r="A13" s="6"/>
      <c r="B13" s="3" t="s">
        <v>133</v>
      </c>
      <c r="C13" s="3" t="s">
        <v>126</v>
      </c>
      <c r="D13" s="30">
        <v>33495</v>
      </c>
      <c r="E13" s="27">
        <f t="shared" ref="E13:E18" si="0">IF(C13="A+",D13,D13*0.5)</f>
        <v>16747.5</v>
      </c>
      <c r="F13" s="6"/>
      <c r="G13" s="6"/>
      <c r="H13" s="6"/>
    </row>
    <row r="14" spans="1:8">
      <c r="A14" s="6"/>
      <c r="B14" s="3" t="s">
        <v>134</v>
      </c>
      <c r="C14" s="3" t="s">
        <v>126</v>
      </c>
      <c r="D14" s="30">
        <v>35087</v>
      </c>
      <c r="E14" s="27">
        <f t="shared" si="0"/>
        <v>17543.5</v>
      </c>
      <c r="F14" s="6"/>
      <c r="G14" s="6"/>
      <c r="H14" s="6"/>
    </row>
    <row r="15" spans="1:8">
      <c r="A15" s="6"/>
      <c r="B15" s="3" t="s">
        <v>135</v>
      </c>
      <c r="C15" s="3" t="s">
        <v>125</v>
      </c>
      <c r="D15" s="30">
        <v>42603</v>
      </c>
      <c r="E15" s="27">
        <f t="shared" si="0"/>
        <v>42603</v>
      </c>
      <c r="F15" s="6"/>
      <c r="G15" s="6"/>
      <c r="H15" s="6"/>
    </row>
    <row r="16" spans="1:8">
      <c r="A16" s="6"/>
      <c r="B16" s="3" t="s">
        <v>119</v>
      </c>
      <c r="C16" s="3" t="s">
        <v>126</v>
      </c>
      <c r="D16" s="30">
        <v>36971</v>
      </c>
      <c r="E16" s="27">
        <f t="shared" si="0"/>
        <v>18485.5</v>
      </c>
      <c r="F16" s="6"/>
      <c r="G16" s="6"/>
      <c r="H16" s="6"/>
    </row>
    <row r="17" spans="1:8">
      <c r="A17" s="6"/>
      <c r="B17" s="3" t="s">
        <v>136</v>
      </c>
      <c r="C17" s="3" t="s">
        <v>125</v>
      </c>
      <c r="D17" s="30">
        <v>41286</v>
      </c>
      <c r="E17" s="27">
        <f t="shared" si="0"/>
        <v>41286</v>
      </c>
      <c r="F17" s="6"/>
      <c r="G17" s="6"/>
      <c r="H17" s="6"/>
    </row>
    <row r="18" spans="1:8">
      <c r="A18" s="6"/>
      <c r="B18" s="3" t="s">
        <v>137</v>
      </c>
      <c r="C18" s="3" t="s">
        <v>126</v>
      </c>
      <c r="D18" s="30">
        <v>37732</v>
      </c>
      <c r="E18" s="27">
        <f t="shared" si="0"/>
        <v>18866</v>
      </c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Excercise 1</vt:lpstr>
      <vt:lpstr>Excercise 2</vt:lpstr>
      <vt:lpstr>Excercise 3</vt:lpstr>
      <vt:lpstr>Excercise 4</vt:lpstr>
      <vt:lpstr>Excersice 5</vt:lpstr>
      <vt:lpstr>Excersice 6</vt:lpstr>
      <vt:lpstr>Excercise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Kumari</dc:creator>
  <cp:lastModifiedBy>vaibhav umbarkar</cp:lastModifiedBy>
  <dcterms:created xsi:type="dcterms:W3CDTF">2024-05-06T04:12:25Z</dcterms:created>
  <dcterms:modified xsi:type="dcterms:W3CDTF">2025-09-16T16:16:28Z</dcterms:modified>
</cp:coreProperties>
</file>