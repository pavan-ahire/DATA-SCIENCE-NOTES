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av umbarkar\Downloads\python programing\Advance Excel\"/>
    </mc:Choice>
  </mc:AlternateContent>
  <xr:revisionPtr revIDLastSave="0" documentId="13_ncr:1_{D122A9F9-240E-47E8-B1E4-2C62AF1EB6FB}" xr6:coauthVersionLast="47" xr6:coauthVersionMax="47" xr10:uidLastSave="{00000000-0000-0000-0000-000000000000}"/>
  <bookViews>
    <workbookView xWindow="-108" yWindow="-108" windowWidth="23256" windowHeight="12456" tabRatio="714" firstSheet="8" activeTab="17" xr2:uid="{4FF63D90-04B3-4671-9AF6-9CFD0FD92D01}"/>
  </bookViews>
  <sheets>
    <sheet name="Basics " sheetId="1" r:id="rId1"/>
    <sheet name="Text to Columns" sheetId="18" r:id="rId2"/>
    <sheet name="LogicalComparitive Operators" sheetId="2" r:id="rId3"/>
    <sheet name="Text Functions" sheetId="3" r:id="rId4"/>
    <sheet name="Round Functions" sheetId="4" r:id="rId5"/>
    <sheet name="IF Function" sheetId="21" r:id="rId6"/>
    <sheet name="Exercise" sheetId="20" r:id="rId7"/>
    <sheet name="Aggregate Functions" sheetId="5" r:id="rId8"/>
    <sheet name="Sumif,Averageif, Countif" sheetId="10" r:id="rId9"/>
    <sheet name="DV" sheetId="23" r:id="rId10"/>
    <sheet name="Data Validation" sheetId="11" r:id="rId11"/>
    <sheet name="Vlookup" sheetId="6" r:id="rId12"/>
    <sheet name="Vloopup exercise" sheetId="22" r:id="rId13"/>
    <sheet name="Match" sheetId="7" r:id="rId14"/>
    <sheet name="Index" sheetId="8" r:id="rId15"/>
    <sheet name="Charts" sheetId="25" r:id="rId16"/>
    <sheet name="Sheet2" sheetId="27" r:id="rId17"/>
    <sheet name="Sales Table" sheetId="12" r:id="rId18"/>
    <sheet name="Data Description" sheetId="19" r:id="rId19"/>
  </sheets>
  <definedNames>
    <definedName name="_xlnm._FilterDatabase" localSheetId="17" hidden="1">'Sales Table'!$A$1:$J$1040</definedName>
    <definedName name="NIsha">'Basics '!#REF!</definedName>
    <definedName name="NK">'Basics '!#REF!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3" i="12" l="1"/>
  <c r="W3" i="12"/>
  <c r="W4" i="12"/>
  <c r="W5" i="12"/>
  <c r="W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" i="12"/>
  <c r="Z4" i="12"/>
  <c r="Z5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H19" i="10"/>
  <c r="H20" i="10"/>
  <c r="H18" i="10"/>
  <c r="M5" i="10"/>
  <c r="M6" i="10"/>
  <c r="L5" i="10"/>
  <c r="L6" i="10"/>
  <c r="L4" i="10"/>
  <c r="K5" i="10"/>
  <c r="K6" i="10"/>
  <c r="K4" i="10"/>
  <c r="H12" i="10"/>
  <c r="H13" i="10"/>
  <c r="H11" i="10"/>
  <c r="H5" i="10"/>
  <c r="H6" i="10"/>
  <c r="H4" i="10"/>
  <c r="C62" i="3"/>
  <c r="I14" i="21"/>
  <c r="I15" i="21"/>
  <c r="I16" i="21"/>
  <c r="I13" i="21"/>
  <c r="H13" i="21"/>
  <c r="H14" i="21"/>
  <c r="H15" i="21"/>
  <c r="H16" i="21"/>
  <c r="B17" i="5"/>
  <c r="F13" i="6"/>
  <c r="G13" i="6"/>
  <c r="F14" i="6"/>
  <c r="G14" i="6"/>
  <c r="F15" i="6"/>
  <c r="G15" i="6"/>
  <c r="F16" i="6"/>
  <c r="G16" i="6"/>
  <c r="G12" i="6"/>
  <c r="F12" i="6"/>
  <c r="H19" i="22"/>
  <c r="I19" i="22"/>
  <c r="H20" i="22"/>
  <c r="I20" i="22"/>
  <c r="H21" i="22"/>
  <c r="I21" i="22"/>
  <c r="H22" i="22"/>
  <c r="I22" i="22"/>
  <c r="H23" i="22"/>
  <c r="I23" i="22"/>
  <c r="H24" i="22"/>
  <c r="I24" i="22"/>
  <c r="H25" i="22"/>
  <c r="I25" i="22"/>
  <c r="H26" i="22"/>
  <c r="I26" i="22"/>
  <c r="H27" i="22"/>
  <c r="I27" i="22"/>
  <c r="I18" i="22"/>
  <c r="H18" i="22"/>
  <c r="H16" i="22"/>
  <c r="O2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421" i="12"/>
  <c r="K422" i="12"/>
  <c r="K423" i="12"/>
  <c r="K424" i="12"/>
  <c r="K425" i="12"/>
  <c r="K426" i="12"/>
  <c r="K427" i="12"/>
  <c r="K428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58" i="12"/>
  <c r="K459" i="12"/>
  <c r="K460" i="12"/>
  <c r="K461" i="12"/>
  <c r="K462" i="12"/>
  <c r="K463" i="12"/>
  <c r="K464" i="12"/>
  <c r="K465" i="12"/>
  <c r="K466" i="12"/>
  <c r="K467" i="12"/>
  <c r="K468" i="12"/>
  <c r="K469" i="12"/>
  <c r="K470" i="12"/>
  <c r="K471" i="12"/>
  <c r="K472" i="12"/>
  <c r="K473" i="12"/>
  <c r="K474" i="12"/>
  <c r="K475" i="12"/>
  <c r="K476" i="12"/>
  <c r="K477" i="12"/>
  <c r="K478" i="12"/>
  <c r="K479" i="12"/>
  <c r="K480" i="12"/>
  <c r="K481" i="12"/>
  <c r="K482" i="12"/>
  <c r="K483" i="12"/>
  <c r="K484" i="12"/>
  <c r="K485" i="12"/>
  <c r="K486" i="12"/>
  <c r="K487" i="12"/>
  <c r="K488" i="12"/>
  <c r="K489" i="12"/>
  <c r="K490" i="12"/>
  <c r="K491" i="12"/>
  <c r="K492" i="12"/>
  <c r="K493" i="12"/>
  <c r="K494" i="12"/>
  <c r="K495" i="12"/>
  <c r="K496" i="12"/>
  <c r="K497" i="12"/>
  <c r="K498" i="12"/>
  <c r="K499" i="12"/>
  <c r="K500" i="12"/>
  <c r="K501" i="12"/>
  <c r="K502" i="12"/>
  <c r="K503" i="12"/>
  <c r="K504" i="12"/>
  <c r="K505" i="12"/>
  <c r="K506" i="12"/>
  <c r="K507" i="12"/>
  <c r="K508" i="12"/>
  <c r="K509" i="12"/>
  <c r="K510" i="12"/>
  <c r="K511" i="12"/>
  <c r="K512" i="12"/>
  <c r="K513" i="12"/>
  <c r="K514" i="12"/>
  <c r="K515" i="12"/>
  <c r="K516" i="12"/>
  <c r="K517" i="12"/>
  <c r="K518" i="12"/>
  <c r="K519" i="12"/>
  <c r="K520" i="12"/>
  <c r="K521" i="12"/>
  <c r="K522" i="12"/>
  <c r="K523" i="12"/>
  <c r="K524" i="12"/>
  <c r="K525" i="12"/>
  <c r="K526" i="12"/>
  <c r="K527" i="12"/>
  <c r="K528" i="12"/>
  <c r="K529" i="12"/>
  <c r="K530" i="12"/>
  <c r="K531" i="12"/>
  <c r="K532" i="12"/>
  <c r="K533" i="12"/>
  <c r="K534" i="12"/>
  <c r="K535" i="12"/>
  <c r="K536" i="12"/>
  <c r="K537" i="12"/>
  <c r="K538" i="12"/>
  <c r="K539" i="12"/>
  <c r="K540" i="12"/>
  <c r="K541" i="12"/>
  <c r="K542" i="12"/>
  <c r="K543" i="12"/>
  <c r="K544" i="12"/>
  <c r="K545" i="12"/>
  <c r="K546" i="12"/>
  <c r="K547" i="12"/>
  <c r="K548" i="12"/>
  <c r="K549" i="12"/>
  <c r="K550" i="12"/>
  <c r="K551" i="12"/>
  <c r="K552" i="12"/>
  <c r="K553" i="12"/>
  <c r="K554" i="12"/>
  <c r="K555" i="12"/>
  <c r="K556" i="12"/>
  <c r="K557" i="12"/>
  <c r="K558" i="12"/>
  <c r="K559" i="12"/>
  <c r="K560" i="12"/>
  <c r="K561" i="12"/>
  <c r="K562" i="12"/>
  <c r="K563" i="12"/>
  <c r="K564" i="12"/>
  <c r="K565" i="12"/>
  <c r="K566" i="12"/>
  <c r="K567" i="12"/>
  <c r="K568" i="12"/>
  <c r="K569" i="12"/>
  <c r="K570" i="12"/>
  <c r="K571" i="12"/>
  <c r="K572" i="12"/>
  <c r="K573" i="12"/>
  <c r="K574" i="12"/>
  <c r="K575" i="12"/>
  <c r="K576" i="12"/>
  <c r="K577" i="12"/>
  <c r="K578" i="12"/>
  <c r="K579" i="12"/>
  <c r="K580" i="12"/>
  <c r="K581" i="12"/>
  <c r="K582" i="12"/>
  <c r="K583" i="12"/>
  <c r="K584" i="12"/>
  <c r="K585" i="12"/>
  <c r="K586" i="12"/>
  <c r="K587" i="12"/>
  <c r="K588" i="12"/>
  <c r="K589" i="12"/>
  <c r="K590" i="12"/>
  <c r="K591" i="12"/>
  <c r="K592" i="12"/>
  <c r="K593" i="12"/>
  <c r="K594" i="12"/>
  <c r="K595" i="12"/>
  <c r="K596" i="12"/>
  <c r="K597" i="12"/>
  <c r="K598" i="12"/>
  <c r="K599" i="12"/>
  <c r="K600" i="12"/>
  <c r="K601" i="12"/>
  <c r="K602" i="12"/>
  <c r="K603" i="12"/>
  <c r="K604" i="12"/>
  <c r="K605" i="12"/>
  <c r="K606" i="12"/>
  <c r="K607" i="12"/>
  <c r="K608" i="12"/>
  <c r="K609" i="12"/>
  <c r="K610" i="12"/>
  <c r="K611" i="12"/>
  <c r="K612" i="12"/>
  <c r="K613" i="12"/>
  <c r="K614" i="12"/>
  <c r="K615" i="12"/>
  <c r="K616" i="12"/>
  <c r="K617" i="12"/>
  <c r="K618" i="12"/>
  <c r="K619" i="12"/>
  <c r="K620" i="12"/>
  <c r="K621" i="12"/>
  <c r="K622" i="12"/>
  <c r="K623" i="12"/>
  <c r="K624" i="12"/>
  <c r="K625" i="12"/>
  <c r="K626" i="12"/>
  <c r="K627" i="12"/>
  <c r="K628" i="12"/>
  <c r="K629" i="12"/>
  <c r="K630" i="12"/>
  <c r="K631" i="12"/>
  <c r="K632" i="12"/>
  <c r="K633" i="12"/>
  <c r="K634" i="12"/>
  <c r="K635" i="12"/>
  <c r="K636" i="12"/>
  <c r="K637" i="12"/>
  <c r="K638" i="12"/>
  <c r="K639" i="12"/>
  <c r="K640" i="12"/>
  <c r="K641" i="12"/>
  <c r="K642" i="12"/>
  <c r="K643" i="12"/>
  <c r="K644" i="12"/>
  <c r="K645" i="12"/>
  <c r="K646" i="12"/>
  <c r="K647" i="12"/>
  <c r="K648" i="12"/>
  <c r="K649" i="12"/>
  <c r="K650" i="12"/>
  <c r="K651" i="12"/>
  <c r="K652" i="12"/>
  <c r="K653" i="12"/>
  <c r="K654" i="12"/>
  <c r="K655" i="12"/>
  <c r="K656" i="12"/>
  <c r="K657" i="12"/>
  <c r="K658" i="12"/>
  <c r="K659" i="12"/>
  <c r="K660" i="12"/>
  <c r="K661" i="12"/>
  <c r="K662" i="12"/>
  <c r="K663" i="12"/>
  <c r="K664" i="12"/>
  <c r="K665" i="12"/>
  <c r="K666" i="12"/>
  <c r="K667" i="12"/>
  <c r="K668" i="12"/>
  <c r="K669" i="12"/>
  <c r="K670" i="12"/>
  <c r="K671" i="12"/>
  <c r="K672" i="12"/>
  <c r="K673" i="12"/>
  <c r="K674" i="12"/>
  <c r="K675" i="12"/>
  <c r="K676" i="12"/>
  <c r="K677" i="12"/>
  <c r="K678" i="12"/>
  <c r="K679" i="12"/>
  <c r="K680" i="12"/>
  <c r="K681" i="12"/>
  <c r="K682" i="12"/>
  <c r="K683" i="12"/>
  <c r="K684" i="12"/>
  <c r="K685" i="12"/>
  <c r="K686" i="12"/>
  <c r="K687" i="12"/>
  <c r="K688" i="12"/>
  <c r="K689" i="12"/>
  <c r="K690" i="12"/>
  <c r="K691" i="12"/>
  <c r="K692" i="12"/>
  <c r="K693" i="12"/>
  <c r="K694" i="12"/>
  <c r="K695" i="12"/>
  <c r="K696" i="12"/>
  <c r="K697" i="12"/>
  <c r="K698" i="12"/>
  <c r="K699" i="12"/>
  <c r="K700" i="12"/>
  <c r="K701" i="12"/>
  <c r="K702" i="12"/>
  <c r="K703" i="12"/>
  <c r="K704" i="12"/>
  <c r="K705" i="12"/>
  <c r="K706" i="12"/>
  <c r="K707" i="12"/>
  <c r="K708" i="12"/>
  <c r="K709" i="12"/>
  <c r="K710" i="12"/>
  <c r="K711" i="12"/>
  <c r="K712" i="12"/>
  <c r="K713" i="12"/>
  <c r="K714" i="12"/>
  <c r="K715" i="12"/>
  <c r="K716" i="12"/>
  <c r="K717" i="12"/>
  <c r="K718" i="12"/>
  <c r="K719" i="12"/>
  <c r="K720" i="12"/>
  <c r="K721" i="12"/>
  <c r="K722" i="12"/>
  <c r="K723" i="12"/>
  <c r="K724" i="12"/>
  <c r="K725" i="12"/>
  <c r="K726" i="12"/>
  <c r="K727" i="12"/>
  <c r="K728" i="12"/>
  <c r="K729" i="12"/>
  <c r="K730" i="12"/>
  <c r="K731" i="12"/>
  <c r="K732" i="12"/>
  <c r="K733" i="12"/>
  <c r="K734" i="12"/>
  <c r="K735" i="12"/>
  <c r="K736" i="12"/>
  <c r="K737" i="12"/>
  <c r="K738" i="12"/>
  <c r="K739" i="12"/>
  <c r="K740" i="12"/>
  <c r="K741" i="12"/>
  <c r="K742" i="12"/>
  <c r="K743" i="12"/>
  <c r="K744" i="12"/>
  <c r="K745" i="12"/>
  <c r="K746" i="12"/>
  <c r="K747" i="12"/>
  <c r="K748" i="12"/>
  <c r="K749" i="12"/>
  <c r="K750" i="12"/>
  <c r="K751" i="12"/>
  <c r="K752" i="12"/>
  <c r="K753" i="12"/>
  <c r="K754" i="12"/>
  <c r="K755" i="12"/>
  <c r="K756" i="12"/>
  <c r="K757" i="12"/>
  <c r="K758" i="12"/>
  <c r="K759" i="12"/>
  <c r="K760" i="12"/>
  <c r="K761" i="12"/>
  <c r="K762" i="12"/>
  <c r="K763" i="12"/>
  <c r="K764" i="12"/>
  <c r="K765" i="12"/>
  <c r="K766" i="12"/>
  <c r="K767" i="12"/>
  <c r="K768" i="12"/>
  <c r="K769" i="12"/>
  <c r="K770" i="12"/>
  <c r="K771" i="12"/>
  <c r="K772" i="12"/>
  <c r="K773" i="12"/>
  <c r="K774" i="12"/>
  <c r="K775" i="12"/>
  <c r="K776" i="12"/>
  <c r="K777" i="12"/>
  <c r="K778" i="12"/>
  <c r="K779" i="12"/>
  <c r="K780" i="12"/>
  <c r="K781" i="12"/>
  <c r="K782" i="12"/>
  <c r="K783" i="12"/>
  <c r="K784" i="12"/>
  <c r="K785" i="12"/>
  <c r="K786" i="12"/>
  <c r="K787" i="12"/>
  <c r="K788" i="12"/>
  <c r="K789" i="12"/>
  <c r="K790" i="12"/>
  <c r="K791" i="12"/>
  <c r="K792" i="12"/>
  <c r="K793" i="12"/>
  <c r="K794" i="12"/>
  <c r="K795" i="12"/>
  <c r="K796" i="12"/>
  <c r="K797" i="12"/>
  <c r="K798" i="12"/>
  <c r="K799" i="12"/>
  <c r="K800" i="12"/>
  <c r="K801" i="12"/>
  <c r="K802" i="12"/>
  <c r="K803" i="12"/>
  <c r="K804" i="12"/>
  <c r="K805" i="12"/>
  <c r="K806" i="12"/>
  <c r="K807" i="12"/>
  <c r="K808" i="12"/>
  <c r="K809" i="12"/>
  <c r="K810" i="12"/>
  <c r="K811" i="12"/>
  <c r="K812" i="12"/>
  <c r="K813" i="12"/>
  <c r="K814" i="12"/>
  <c r="K815" i="12"/>
  <c r="K816" i="12"/>
  <c r="K817" i="12"/>
  <c r="K818" i="12"/>
  <c r="K819" i="12"/>
  <c r="K820" i="12"/>
  <c r="K821" i="12"/>
  <c r="K822" i="12"/>
  <c r="K823" i="12"/>
  <c r="K824" i="12"/>
  <c r="K825" i="12"/>
  <c r="K826" i="12"/>
  <c r="K827" i="12"/>
  <c r="K828" i="12"/>
  <c r="K829" i="12"/>
  <c r="K830" i="12"/>
  <c r="K831" i="12"/>
  <c r="K832" i="12"/>
  <c r="K833" i="12"/>
  <c r="K834" i="12"/>
  <c r="K835" i="12"/>
  <c r="K836" i="12"/>
  <c r="K837" i="12"/>
  <c r="K838" i="12"/>
  <c r="K839" i="12"/>
  <c r="K840" i="12"/>
  <c r="K841" i="12"/>
  <c r="K842" i="12"/>
  <c r="K843" i="12"/>
  <c r="K844" i="12"/>
  <c r="K845" i="12"/>
  <c r="K846" i="12"/>
  <c r="K847" i="12"/>
  <c r="K848" i="12"/>
  <c r="K849" i="12"/>
  <c r="K850" i="12"/>
  <c r="K851" i="12"/>
  <c r="K852" i="12"/>
  <c r="K853" i="12"/>
  <c r="K854" i="12"/>
  <c r="K855" i="12"/>
  <c r="K856" i="12"/>
  <c r="K857" i="12"/>
  <c r="K858" i="12"/>
  <c r="K859" i="12"/>
  <c r="K860" i="12"/>
  <c r="K861" i="12"/>
  <c r="K862" i="12"/>
  <c r="K863" i="12"/>
  <c r="K864" i="12"/>
  <c r="K865" i="12"/>
  <c r="K866" i="12"/>
  <c r="K867" i="12"/>
  <c r="K868" i="12"/>
  <c r="K869" i="12"/>
  <c r="K870" i="12"/>
  <c r="K871" i="12"/>
  <c r="K872" i="12"/>
  <c r="K873" i="12"/>
  <c r="K874" i="12"/>
  <c r="K875" i="12"/>
  <c r="K876" i="12"/>
  <c r="K877" i="12"/>
  <c r="K878" i="12"/>
  <c r="K879" i="12"/>
  <c r="K880" i="12"/>
  <c r="K881" i="12"/>
  <c r="K882" i="12"/>
  <c r="K883" i="12"/>
  <c r="K884" i="12"/>
  <c r="K885" i="12"/>
  <c r="K886" i="12"/>
  <c r="K887" i="12"/>
  <c r="K888" i="12"/>
  <c r="K889" i="12"/>
  <c r="K890" i="12"/>
  <c r="K891" i="12"/>
  <c r="K892" i="12"/>
  <c r="K893" i="12"/>
  <c r="K894" i="12"/>
  <c r="K895" i="12"/>
  <c r="K896" i="12"/>
  <c r="K897" i="12"/>
  <c r="K898" i="12"/>
  <c r="K899" i="12"/>
  <c r="K900" i="12"/>
  <c r="K901" i="12"/>
  <c r="K902" i="12"/>
  <c r="K903" i="12"/>
  <c r="K904" i="12"/>
  <c r="K905" i="12"/>
  <c r="K906" i="12"/>
  <c r="K907" i="12"/>
  <c r="K908" i="12"/>
  <c r="K909" i="12"/>
  <c r="K910" i="12"/>
  <c r="K911" i="12"/>
  <c r="K912" i="12"/>
  <c r="K913" i="12"/>
  <c r="K914" i="12"/>
  <c r="K915" i="12"/>
  <c r="K916" i="12"/>
  <c r="K917" i="12"/>
  <c r="K918" i="12"/>
  <c r="K919" i="12"/>
  <c r="K920" i="12"/>
  <c r="K921" i="12"/>
  <c r="K922" i="12"/>
  <c r="K923" i="12"/>
  <c r="K924" i="12"/>
  <c r="K925" i="12"/>
  <c r="K926" i="12"/>
  <c r="K927" i="12"/>
  <c r="K928" i="12"/>
  <c r="K929" i="12"/>
  <c r="K930" i="12"/>
  <c r="K931" i="12"/>
  <c r="K932" i="12"/>
  <c r="K933" i="12"/>
  <c r="K934" i="12"/>
  <c r="K935" i="12"/>
  <c r="K936" i="12"/>
  <c r="K937" i="12"/>
  <c r="K938" i="12"/>
  <c r="K939" i="12"/>
  <c r="K940" i="12"/>
  <c r="K941" i="12"/>
  <c r="K942" i="12"/>
  <c r="K943" i="12"/>
  <c r="K944" i="12"/>
  <c r="K945" i="12"/>
  <c r="K946" i="12"/>
  <c r="K947" i="12"/>
  <c r="K948" i="12"/>
  <c r="K949" i="12"/>
  <c r="K950" i="12"/>
  <c r="K951" i="12"/>
  <c r="K952" i="12"/>
  <c r="K953" i="12"/>
  <c r="K954" i="12"/>
  <c r="K955" i="12"/>
  <c r="K956" i="12"/>
  <c r="K957" i="12"/>
  <c r="K958" i="12"/>
  <c r="K959" i="12"/>
  <c r="K960" i="12"/>
  <c r="K961" i="12"/>
  <c r="K962" i="12"/>
  <c r="K963" i="12"/>
  <c r="K964" i="12"/>
  <c r="K965" i="12"/>
  <c r="K966" i="12"/>
  <c r="K967" i="12"/>
  <c r="K968" i="12"/>
  <c r="K969" i="12"/>
  <c r="K970" i="12"/>
  <c r="K971" i="12"/>
  <c r="K972" i="12"/>
  <c r="K973" i="12"/>
  <c r="K974" i="12"/>
  <c r="K975" i="12"/>
  <c r="K976" i="12"/>
  <c r="K977" i="12"/>
  <c r="K978" i="12"/>
  <c r="K979" i="12"/>
  <c r="K980" i="12"/>
  <c r="K981" i="12"/>
  <c r="K982" i="12"/>
  <c r="K983" i="12"/>
  <c r="K984" i="12"/>
  <c r="K985" i="12"/>
  <c r="K986" i="12"/>
  <c r="K987" i="12"/>
  <c r="K988" i="12"/>
  <c r="K989" i="12"/>
  <c r="K990" i="12"/>
  <c r="K991" i="12"/>
  <c r="K992" i="12"/>
  <c r="K993" i="12"/>
  <c r="K994" i="12"/>
  <c r="K995" i="12"/>
  <c r="K996" i="12"/>
  <c r="K997" i="12"/>
  <c r="K998" i="12"/>
  <c r="K999" i="12"/>
  <c r="K1000" i="12"/>
  <c r="K1001" i="12"/>
  <c r="K1002" i="12"/>
  <c r="K1003" i="12"/>
  <c r="K1004" i="12"/>
  <c r="K1005" i="12"/>
  <c r="K1006" i="12"/>
  <c r="K1007" i="12"/>
  <c r="K1008" i="12"/>
  <c r="K1009" i="12"/>
  <c r="K1010" i="12"/>
  <c r="K1011" i="12"/>
  <c r="K1012" i="12"/>
  <c r="K1013" i="12"/>
  <c r="K1014" i="12"/>
  <c r="K1015" i="12"/>
  <c r="K1016" i="12"/>
  <c r="K1017" i="12"/>
  <c r="K1018" i="12"/>
  <c r="K1019" i="12"/>
  <c r="K1020" i="12"/>
  <c r="K1021" i="12"/>
  <c r="K1022" i="12"/>
  <c r="K1023" i="12"/>
  <c r="K1024" i="12"/>
  <c r="K1025" i="12"/>
  <c r="K1026" i="12"/>
  <c r="K1027" i="12"/>
  <c r="K1028" i="12"/>
  <c r="K1029" i="12"/>
  <c r="K1030" i="12"/>
  <c r="K1031" i="12"/>
  <c r="K1032" i="12"/>
  <c r="K1033" i="12"/>
  <c r="K1034" i="12"/>
  <c r="K1035" i="12"/>
  <c r="K1036" i="12"/>
  <c r="K1037" i="12"/>
  <c r="K1038" i="12"/>
  <c r="K1039" i="12"/>
  <c r="K1040" i="12"/>
  <c r="O4" i="12"/>
  <c r="O3" i="12"/>
  <c r="N4" i="12"/>
  <c r="N3" i="12"/>
  <c r="N2" i="12"/>
  <c r="G6" i="21"/>
  <c r="G7" i="21"/>
  <c r="G8" i="21"/>
  <c r="G9" i="21"/>
  <c r="H6" i="4"/>
  <c r="G6" i="4"/>
  <c r="G7" i="4"/>
  <c r="G8" i="4"/>
  <c r="G9" i="4"/>
  <c r="G5" i="4"/>
  <c r="F6" i="4"/>
  <c r="F7" i="4"/>
  <c r="F8" i="4"/>
  <c r="F9" i="4"/>
  <c r="F5" i="4"/>
  <c r="E6" i="4"/>
  <c r="E7" i="4"/>
  <c r="E8" i="4"/>
  <c r="E9" i="4"/>
  <c r="E5" i="4"/>
  <c r="D6" i="4"/>
  <c r="D7" i="4"/>
  <c r="D8" i="4"/>
  <c r="D9" i="4"/>
  <c r="D5" i="4"/>
  <c r="D6" i="18"/>
  <c r="F16" i="2"/>
  <c r="D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7" i="2"/>
  <c r="F18" i="2"/>
  <c r="F19" i="2"/>
  <c r="F20" i="2"/>
  <c r="F21" i="2"/>
  <c r="F22" i="2"/>
  <c r="F23" i="2"/>
  <c r="F24" i="2"/>
  <c r="F25" i="2"/>
  <c r="F26" i="2"/>
  <c r="F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G5" i="3"/>
  <c r="G3" i="3"/>
  <c r="C24" i="3"/>
  <c r="C25" i="3"/>
  <c r="C26" i="3"/>
  <c r="C27" i="3"/>
  <c r="C28" i="3"/>
  <c r="C29" i="3"/>
  <c r="C30" i="3"/>
  <c r="C23" i="3"/>
  <c r="C40" i="3"/>
  <c r="D62" i="3"/>
  <c r="D63" i="3"/>
  <c r="D64" i="3"/>
  <c r="D65" i="3"/>
  <c r="D66" i="3"/>
  <c r="D67" i="3"/>
  <c r="D68" i="3"/>
  <c r="D69" i="3"/>
  <c r="C63" i="3"/>
  <c r="C64" i="3"/>
  <c r="C65" i="3"/>
  <c r="C66" i="3"/>
  <c r="C67" i="3"/>
  <c r="C68" i="3"/>
  <c r="C69" i="3"/>
  <c r="D52" i="3"/>
  <c r="D53" i="3"/>
  <c r="D54" i="3"/>
  <c r="D55" i="3"/>
  <c r="D56" i="3"/>
  <c r="D57" i="3"/>
  <c r="D58" i="3"/>
  <c r="D51" i="3"/>
  <c r="C52" i="3"/>
  <c r="C53" i="3"/>
  <c r="C54" i="3"/>
  <c r="C55" i="3"/>
  <c r="C56" i="3"/>
  <c r="C57" i="3"/>
  <c r="C58" i="3"/>
  <c r="C51" i="3"/>
  <c r="D23" i="3"/>
  <c r="G13" i="3"/>
  <c r="D26" i="3"/>
  <c r="F13" i="3"/>
  <c r="G20" i="3"/>
  <c r="G19" i="3"/>
  <c r="G18" i="3"/>
  <c r="G17" i="3"/>
  <c r="G16" i="3"/>
  <c r="G15" i="3"/>
  <c r="G14" i="3"/>
  <c r="I3" i="3"/>
  <c r="H3" i="3"/>
  <c r="F3" i="3"/>
  <c r="E3" i="3"/>
  <c r="D41" i="3"/>
  <c r="D42" i="3"/>
  <c r="D43" i="3"/>
  <c r="D44" i="3"/>
  <c r="D45" i="3"/>
  <c r="D46" i="3"/>
  <c r="D47" i="3"/>
  <c r="D40" i="3"/>
  <c r="C41" i="3"/>
  <c r="C42" i="3"/>
  <c r="C43" i="3"/>
  <c r="C44" i="3"/>
  <c r="C45" i="3"/>
  <c r="C46" i="3"/>
  <c r="C47" i="3"/>
  <c r="E24" i="3"/>
  <c r="E25" i="3"/>
  <c r="E26" i="3"/>
  <c r="E27" i="3"/>
  <c r="E28" i="3"/>
  <c r="E29" i="3"/>
  <c r="E30" i="3"/>
  <c r="E13" i="3"/>
  <c r="D13" i="3"/>
  <c r="C13" i="3"/>
  <c r="C3" i="3"/>
  <c r="E23" i="3"/>
  <c r="D24" i="3"/>
  <c r="D25" i="3"/>
  <c r="D27" i="3"/>
  <c r="D28" i="3"/>
  <c r="D29" i="3"/>
  <c r="D30" i="3"/>
  <c r="F15" i="3"/>
  <c r="F14" i="3"/>
  <c r="F16" i="3"/>
  <c r="F17" i="3"/>
  <c r="F18" i="3"/>
  <c r="F19" i="3"/>
  <c r="F20" i="3"/>
  <c r="E14" i="3"/>
  <c r="E15" i="3"/>
  <c r="E16" i="3"/>
  <c r="E17" i="3"/>
  <c r="E18" i="3"/>
  <c r="E19" i="3"/>
  <c r="E20" i="3"/>
  <c r="D14" i="3"/>
  <c r="D15" i="3"/>
  <c r="D16" i="3"/>
  <c r="D17" i="3"/>
  <c r="D18" i="3"/>
  <c r="D19" i="3"/>
  <c r="D20" i="3"/>
  <c r="G4" i="3"/>
  <c r="G6" i="3"/>
  <c r="G7" i="3"/>
  <c r="G8" i="3"/>
  <c r="G9" i="3"/>
  <c r="G10" i="3"/>
  <c r="F4" i="3"/>
  <c r="F5" i="3"/>
  <c r="F6" i="3"/>
  <c r="F7" i="3"/>
  <c r="F8" i="3"/>
  <c r="F9" i="3"/>
  <c r="F10" i="3"/>
  <c r="I4" i="3"/>
  <c r="I5" i="3"/>
  <c r="I6" i="3"/>
  <c r="I7" i="3"/>
  <c r="I8" i="3"/>
  <c r="I9" i="3"/>
  <c r="I10" i="3"/>
  <c r="H4" i="3"/>
  <c r="H5" i="3"/>
  <c r="H6" i="3"/>
  <c r="H7" i="3"/>
  <c r="H8" i="3"/>
  <c r="H9" i="3"/>
  <c r="H10" i="3"/>
  <c r="E4" i="3"/>
  <c r="E5" i="3"/>
  <c r="E6" i="3"/>
  <c r="E7" i="3"/>
  <c r="E8" i="3"/>
  <c r="E9" i="3"/>
  <c r="E10" i="3"/>
  <c r="D4" i="3"/>
  <c r="D5" i="3"/>
  <c r="D6" i="3"/>
  <c r="D7" i="3"/>
  <c r="D8" i="3"/>
  <c r="D9" i="3"/>
  <c r="D10" i="3"/>
  <c r="D3" i="3"/>
  <c r="C4" i="3"/>
  <c r="C5" i="3"/>
  <c r="C6" i="3"/>
  <c r="C7" i="3"/>
  <c r="C8" i="3"/>
  <c r="C9" i="3"/>
  <c r="C10" i="3"/>
  <c r="C14" i="3"/>
  <c r="C15" i="3"/>
  <c r="C16" i="3"/>
  <c r="C17" i="3"/>
  <c r="C18" i="3"/>
  <c r="C19" i="3"/>
  <c r="C20" i="3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2" i="12"/>
  <c r="H35" i="10"/>
  <c r="G35" i="10"/>
</calcChain>
</file>

<file path=xl/sharedStrings.xml><?xml version="1.0" encoding="utf-8"?>
<sst xmlns="http://schemas.openxmlformats.org/spreadsheetml/2006/main" count="3630" uniqueCount="191">
  <si>
    <t>Name</t>
  </si>
  <si>
    <t>Age</t>
  </si>
  <si>
    <t>Gender</t>
  </si>
  <si>
    <t>Equals to 30 With column</t>
  </si>
  <si>
    <t>Greater than 25</t>
  </si>
  <si>
    <t>less than 30</t>
  </si>
  <si>
    <t>greaterthan equal to 35</t>
  </si>
  <si>
    <t>less than equal to 35</t>
  </si>
  <si>
    <t>not equal to Male</t>
  </si>
  <si>
    <t>John</t>
  </si>
  <si>
    <t>Male</t>
  </si>
  <si>
    <t>Mary</t>
  </si>
  <si>
    <t>Female</t>
  </si>
  <si>
    <t>David</t>
  </si>
  <si>
    <t>Lisa</t>
  </si>
  <si>
    <t>James</t>
  </si>
  <si>
    <t>Sarah</t>
  </si>
  <si>
    <t>Michael</t>
  </si>
  <si>
    <t>Emily</t>
  </si>
  <si>
    <t>Robert</t>
  </si>
  <si>
    <t>Emma</t>
  </si>
  <si>
    <t>William</t>
  </si>
  <si>
    <t>Olivia</t>
  </si>
  <si>
    <t>Joseph</t>
  </si>
  <si>
    <t>Ava</t>
  </si>
  <si>
    <t>Charles</t>
  </si>
  <si>
    <t>Grace</t>
  </si>
  <si>
    <t>Daniel</t>
  </si>
  <si>
    <t>Sophia</t>
  </si>
  <si>
    <t>Andrew</t>
  </si>
  <si>
    <t>Mia</t>
  </si>
  <si>
    <t>Benjamin</t>
  </si>
  <si>
    <t>Lily</t>
  </si>
  <si>
    <t>Matthew</t>
  </si>
  <si>
    <t>Chloe</t>
  </si>
  <si>
    <t>Jackson</t>
  </si>
  <si>
    <t>Names</t>
  </si>
  <si>
    <t>Upper</t>
  </si>
  <si>
    <t>Lower</t>
  </si>
  <si>
    <t>Proper</t>
  </si>
  <si>
    <t>Left</t>
  </si>
  <si>
    <t>Right</t>
  </si>
  <si>
    <t>Mid</t>
  </si>
  <si>
    <t>Len</t>
  </si>
  <si>
    <t>Sharukh Khan</t>
  </si>
  <si>
    <t>Salman Khan</t>
  </si>
  <si>
    <t>Ananya Pandey</t>
  </si>
  <si>
    <t>Happy Singh</t>
  </si>
  <si>
    <t>Akshay Kumar</t>
  </si>
  <si>
    <t>Amir Khan</t>
  </si>
  <si>
    <t>Aishwarya Rai</t>
  </si>
  <si>
    <t>Madhuri Dixit</t>
  </si>
  <si>
    <t>Trim</t>
  </si>
  <si>
    <t>Find</t>
  </si>
  <si>
    <t>Search</t>
  </si>
  <si>
    <t>Substitute</t>
  </si>
  <si>
    <t>Replace</t>
  </si>
  <si>
    <t xml:space="preserve">                 Sharukh khan          </t>
  </si>
  <si>
    <t>Salman             Khan</t>
  </si>
  <si>
    <t xml:space="preserve">                               Ananya Pandey</t>
  </si>
  <si>
    <t xml:space="preserve">Happy Singh                   </t>
  </si>
  <si>
    <t>Full Names</t>
  </si>
  <si>
    <t>First Name</t>
  </si>
  <si>
    <t>Last Name</t>
  </si>
  <si>
    <t>Concatenate</t>
  </si>
  <si>
    <t>Sharukh-Khan</t>
  </si>
  <si>
    <t>Salman-Khan</t>
  </si>
  <si>
    <t>Ananya-Pandey</t>
  </si>
  <si>
    <t>Happy-Singh</t>
  </si>
  <si>
    <t>Akshay-Kumar</t>
  </si>
  <si>
    <t>Amir-Khan</t>
  </si>
  <si>
    <t>Aishwarya-Rai</t>
  </si>
  <si>
    <t>Madhuri-Dixit</t>
  </si>
  <si>
    <t>Sharukh//Khan</t>
  </si>
  <si>
    <t>Salman//Khan</t>
  </si>
  <si>
    <t>Ananya//Pandey</t>
  </si>
  <si>
    <t>Happy//Singh</t>
  </si>
  <si>
    <t>Akshay//Kumar</t>
  </si>
  <si>
    <t>Amir//Khan</t>
  </si>
  <si>
    <t>Aishwarya//Rai</t>
  </si>
  <si>
    <t>Madhuri//Dixit</t>
  </si>
  <si>
    <t>Sharukh__Khan</t>
  </si>
  <si>
    <t>Salman__Khan</t>
  </si>
  <si>
    <t>Ananya__Pandey</t>
  </si>
  <si>
    <t>Happy__Singh</t>
  </si>
  <si>
    <t>Akshay__Kumar</t>
  </si>
  <si>
    <t>Amir__Khan</t>
  </si>
  <si>
    <t>Aishwarya__Rai</t>
  </si>
  <si>
    <t>Madhuri__Dixit</t>
  </si>
  <si>
    <t>Price</t>
  </si>
  <si>
    <t>ROUND</t>
  </si>
  <si>
    <t>ROUNDUP</t>
  </si>
  <si>
    <t>ROUNDDOWN</t>
  </si>
  <si>
    <t>MROUND</t>
  </si>
  <si>
    <t>Marks</t>
  </si>
  <si>
    <t>Category</t>
  </si>
  <si>
    <t>Today topic</t>
  </si>
  <si>
    <t>Sunil</t>
  </si>
  <si>
    <t>Tej</t>
  </si>
  <si>
    <t>Sukesh</t>
  </si>
  <si>
    <t>Mohan</t>
  </si>
  <si>
    <t>Science</t>
  </si>
  <si>
    <t>English</t>
  </si>
  <si>
    <t>Social</t>
  </si>
  <si>
    <t>Maths</t>
  </si>
  <si>
    <t>and</t>
  </si>
  <si>
    <t xml:space="preserve">or </t>
  </si>
  <si>
    <t>xor</t>
  </si>
  <si>
    <t>Product</t>
  </si>
  <si>
    <t>Price Each</t>
  </si>
  <si>
    <t>iPhone</t>
  </si>
  <si>
    <t>Lightning Charging Cable</t>
  </si>
  <si>
    <t>Wired Headphones</t>
  </si>
  <si>
    <t>27in FHD Monitor</t>
  </si>
  <si>
    <t>AAA Batteries (4-pack)</t>
  </si>
  <si>
    <t>27in 4K Gaming Monitor</t>
  </si>
  <si>
    <t>USB-C Charging Cable</t>
  </si>
  <si>
    <t>Bose SoundSport Headphones</t>
  </si>
  <si>
    <t>Apple Airpods Headphones</t>
  </si>
  <si>
    <t>Macbook Pro Laptop</t>
  </si>
  <si>
    <t>Flatscreen TV</t>
  </si>
  <si>
    <t>Vareebadd Phone</t>
  </si>
  <si>
    <t>AA Batteries (4-pack)</t>
  </si>
  <si>
    <t>Google Phone</t>
  </si>
  <si>
    <t>20in Monitor</t>
  </si>
  <si>
    <t>34in Ultrawide Monitor</t>
  </si>
  <si>
    <t>ThinkPad Laptop</t>
  </si>
  <si>
    <t>LG Dryer</t>
  </si>
  <si>
    <t>LG Washing Machine</t>
  </si>
  <si>
    <t>Cost price</t>
  </si>
  <si>
    <t>Premium</t>
  </si>
  <si>
    <t>MidRange</t>
  </si>
  <si>
    <t>Cheap</t>
  </si>
  <si>
    <t>SUM</t>
  </si>
  <si>
    <t>AVERAGE</t>
  </si>
  <si>
    <t>MIN</t>
  </si>
  <si>
    <t>MAX</t>
  </si>
  <si>
    <t>COUNT</t>
  </si>
  <si>
    <t>Quantity Ordered</t>
  </si>
  <si>
    <t>SUMIF</t>
  </si>
  <si>
    <t>SUMIFS</t>
  </si>
  <si>
    <t>Quantity</t>
  </si>
  <si>
    <t>AVERAGEIF</t>
  </si>
  <si>
    <t>AVERAGEIFS</t>
  </si>
  <si>
    <t>Average</t>
  </si>
  <si>
    <t>COUNTIF</t>
  </si>
  <si>
    <t>COUNTIFS</t>
  </si>
  <si>
    <t>Database Function</t>
  </si>
  <si>
    <t>&lt;100</t>
  </si>
  <si>
    <t>&gt;=1000</t>
  </si>
  <si>
    <t>Dsum</t>
  </si>
  <si>
    <t>davg</t>
  </si>
  <si>
    <t>Roll no</t>
  </si>
  <si>
    <t>Students Grades</t>
  </si>
  <si>
    <t>Scores</t>
  </si>
  <si>
    <t>Student ID</t>
  </si>
  <si>
    <t>Grade</t>
  </si>
  <si>
    <t>Math Score</t>
  </si>
  <si>
    <t>Science Score</t>
  </si>
  <si>
    <t>Alice</t>
  </si>
  <si>
    <t>A</t>
  </si>
  <si>
    <t>Bob</t>
  </si>
  <si>
    <t>B</t>
  </si>
  <si>
    <t>Charlie</t>
  </si>
  <si>
    <t>C</t>
  </si>
  <si>
    <t>ID</t>
  </si>
  <si>
    <t>Department</t>
  </si>
  <si>
    <t>Salary</t>
  </si>
  <si>
    <t>Sales</t>
  </si>
  <si>
    <t>HR</t>
  </si>
  <si>
    <t>Marketing</t>
  </si>
  <si>
    <t>Finance</t>
  </si>
  <si>
    <t>IT</t>
  </si>
  <si>
    <t>Operations</t>
  </si>
  <si>
    <t>Jessica</t>
  </si>
  <si>
    <t>Order Date</t>
  </si>
  <si>
    <t>Order ID</t>
  </si>
  <si>
    <t>Product_ean</t>
  </si>
  <si>
    <t>turnover</t>
  </si>
  <si>
    <t>margin</t>
  </si>
  <si>
    <t>Create 2 sheets expensive and inexpensive sheets and for each sheet create charts for the following questions</t>
  </si>
  <si>
    <t>Total Sales of Each Category</t>
  </si>
  <si>
    <t>Date wise total Sales</t>
  </si>
  <si>
    <t>Slicer of category</t>
  </si>
  <si>
    <t>for each product calculate the total revenue</t>
  </si>
  <si>
    <t>sum</t>
  </si>
  <si>
    <t>Averageifs = kisper,kiske basis pr,or kiska</t>
  </si>
  <si>
    <t>Row Labels</t>
  </si>
  <si>
    <t>Grand Total</t>
  </si>
  <si>
    <t>Sum of margin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</si>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</sst>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€-2]\ * #,##0.00_ ;_ [$€-2]\ * \-#,##0.00_ ;_ [$€-2]\ * &quot;-&quot;??_ ;_ @_ "/>
    <numFmt numFmtId="165" formatCode="[$-14009]yyyy/mm/dd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9.6"/>
      <color rgb="FF0D0D0D"/>
      <name val="Segoe UI"/>
      <family val="2"/>
    </font>
    <font>
      <sz val="10"/>
      <color theme="1"/>
      <name val="Arial"/>
      <family val="2"/>
    </font>
    <font>
      <sz val="11"/>
      <color rgb="FF9C0006"/>
      <name val="Calibri"/>
      <family val="2"/>
    </font>
    <font>
      <sz val="9.6"/>
      <color rgb="FF374151"/>
      <name val="Segoe U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7F7F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/>
      <diagonal/>
    </border>
    <border>
      <left style="thin">
        <color indexed="64"/>
      </left>
      <right/>
      <top style="thin">
        <color theme="3" tint="0.79998168889431442"/>
      </top>
      <bottom/>
      <diagonal/>
    </border>
    <border>
      <left style="thin">
        <color indexed="64"/>
      </left>
      <right/>
      <top style="thin">
        <color theme="2"/>
      </top>
      <bottom/>
      <diagonal/>
    </border>
    <border>
      <left/>
      <right/>
      <top style="thin">
        <color theme="4" tint="0.79998168889431442"/>
      </top>
      <bottom/>
      <diagonal/>
    </border>
    <border>
      <left/>
      <right/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79998168889431442"/>
      </top>
      <bottom style="thin">
        <color theme="2"/>
      </bottom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1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5" fillId="3" borderId="2" xfId="0" applyFont="1" applyFill="1" applyBorder="1" applyAlignment="1">
      <alignment wrapText="1"/>
    </xf>
    <xf numFmtId="2" fontId="5" fillId="3" borderId="2" xfId="0" applyNumberFormat="1" applyFont="1" applyFill="1" applyBorder="1" applyAlignment="1">
      <alignment horizontal="right" wrapText="1"/>
    </xf>
    <xf numFmtId="0" fontId="5" fillId="3" borderId="2" xfId="0" applyFont="1" applyFill="1" applyBorder="1" applyAlignment="1">
      <alignment horizontal="right" wrapText="1"/>
    </xf>
    <xf numFmtId="0" fontId="5" fillId="4" borderId="2" xfId="0" applyFont="1" applyFill="1" applyBorder="1" applyAlignment="1">
      <alignment wrapText="1"/>
    </xf>
    <xf numFmtId="2" fontId="0" fillId="0" borderId="0" xfId="0" applyNumberFormat="1"/>
    <xf numFmtId="0" fontId="5" fillId="4" borderId="3" xfId="0" applyFont="1" applyFill="1" applyBorder="1" applyAlignment="1">
      <alignment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right" wrapText="1"/>
    </xf>
    <xf numFmtId="2" fontId="5" fillId="5" borderId="2" xfId="0" applyNumberFormat="1" applyFont="1" applyFill="1" applyBorder="1" applyAlignment="1">
      <alignment horizontal="right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6" borderId="8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5" xfId="0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1" xfId="0" applyBorder="1"/>
    <xf numFmtId="0" fontId="0" fillId="7" borderId="21" xfId="0" applyFill="1" applyBorder="1" applyAlignment="1">
      <alignment horizontal="center" vertical="center"/>
    </xf>
    <xf numFmtId="0" fontId="0" fillId="7" borderId="20" xfId="0" applyFill="1" applyBorder="1" applyAlignment="1">
      <alignment vertical="center"/>
    </xf>
    <xf numFmtId="0" fontId="0" fillId="7" borderId="23" xfId="0" applyFill="1" applyBorder="1" applyAlignment="1">
      <alignment vertical="center"/>
    </xf>
    <xf numFmtId="0" fontId="2" fillId="0" borderId="17" xfId="0" applyFont="1" applyBorder="1" applyAlignment="1">
      <alignment horizontal="center"/>
    </xf>
    <xf numFmtId="0" fontId="2" fillId="0" borderId="0" xfId="0" applyFont="1"/>
    <xf numFmtId="0" fontId="2" fillId="0" borderId="16" xfId="0" applyFont="1" applyBorder="1"/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wrapText="1"/>
    </xf>
    <xf numFmtId="0" fontId="7" fillId="0" borderId="2" xfId="0" applyFont="1" applyBorder="1" applyAlignment="1">
      <alignment wrapText="1"/>
    </xf>
    <xf numFmtId="22" fontId="5" fillId="5" borderId="2" xfId="0" applyNumberFormat="1" applyFont="1" applyFill="1" applyBorder="1" applyAlignment="1">
      <alignment horizontal="right" wrapText="1"/>
    </xf>
    <xf numFmtId="1" fontId="5" fillId="5" borderId="2" xfId="0" applyNumberFormat="1" applyFont="1" applyFill="1" applyBorder="1" applyAlignment="1">
      <alignment horizontal="right" wrapText="1"/>
    </xf>
    <xf numFmtId="1" fontId="8" fillId="8" borderId="2" xfId="0" applyNumberFormat="1" applyFont="1" applyFill="1" applyBorder="1" applyAlignment="1">
      <alignment horizontal="right" wrapText="1"/>
    </xf>
    <xf numFmtId="22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wrapText="1"/>
    </xf>
    <xf numFmtId="0" fontId="9" fillId="9" borderId="24" xfId="0" applyFont="1" applyFill="1" applyBorder="1" applyAlignment="1">
      <alignment horizontal="center" wrapText="1"/>
    </xf>
    <xf numFmtId="0" fontId="9" fillId="9" borderId="25" xfId="0" applyFont="1" applyFill="1" applyBorder="1" applyAlignment="1">
      <alignment horizontal="center" wrapText="1"/>
    </xf>
    <xf numFmtId="0" fontId="9" fillId="9" borderId="26" xfId="0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right" wrapText="1"/>
    </xf>
    <xf numFmtId="0" fontId="0" fillId="6" borderId="1" xfId="0" applyFill="1" applyBorder="1"/>
    <xf numFmtId="0" fontId="0" fillId="3" borderId="1" xfId="0" applyFill="1" applyBorder="1"/>
    <xf numFmtId="0" fontId="0" fillId="7" borderId="1" xfId="0" applyFill="1" applyBorder="1"/>
    <xf numFmtId="164" fontId="0" fillId="0" borderId="0" xfId="0" applyNumberFormat="1"/>
    <xf numFmtId="0" fontId="10" fillId="3" borderId="1" xfId="0" applyFont="1" applyFill="1" applyBorder="1" applyAlignment="1">
      <alignment horizontal="center" vertical="center" wrapText="1"/>
    </xf>
    <xf numFmtId="2" fontId="10" fillId="3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2" fontId="5" fillId="10" borderId="1" xfId="0" applyNumberFormat="1" applyFont="1" applyFill="1" applyBorder="1" applyAlignment="1">
      <alignment horizontal="center" vertical="center" wrapText="1"/>
    </xf>
    <xf numFmtId="49" fontId="5" fillId="11" borderId="2" xfId="0" applyNumberFormat="1" applyFont="1" applyFill="1" applyBorder="1" applyAlignment="1">
      <alignment wrapText="1"/>
    </xf>
    <xf numFmtId="2" fontId="5" fillId="11" borderId="2" xfId="0" applyNumberFormat="1" applyFont="1" applyFill="1" applyBorder="1" applyAlignment="1">
      <alignment wrapText="1"/>
    </xf>
    <xf numFmtId="49" fontId="5" fillId="5" borderId="2" xfId="1" applyNumberFormat="1" applyFont="1" applyFill="1" applyBorder="1" applyAlignment="1">
      <alignment wrapText="1"/>
    </xf>
    <xf numFmtId="0" fontId="9" fillId="9" borderId="28" xfId="0" applyFont="1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center" wrapText="1"/>
    </xf>
    <xf numFmtId="2" fontId="10" fillId="2" borderId="2" xfId="0" applyNumberFormat="1" applyFont="1" applyFill="1" applyBorder="1" applyAlignment="1">
      <alignment vertical="center" wrapText="1"/>
    </xf>
    <xf numFmtId="0" fontId="0" fillId="7" borderId="22" xfId="0" applyFill="1" applyBorder="1" applyAlignment="1">
      <alignment vertical="center"/>
    </xf>
    <xf numFmtId="0" fontId="0" fillId="0" borderId="0" xfId="0" applyAlignment="1">
      <alignment vertical="center"/>
    </xf>
    <xf numFmtId="0" fontId="5" fillId="5" borderId="1" xfId="0" applyFont="1" applyFill="1" applyBorder="1" applyAlignment="1">
      <alignment horizontal="right" wrapText="1"/>
    </xf>
    <xf numFmtId="49" fontId="0" fillId="0" borderId="0" xfId="0" applyNumberFormat="1"/>
    <xf numFmtId="165" fontId="0" fillId="0" borderId="0" xfId="0" applyNumberFormat="1"/>
    <xf numFmtId="21" fontId="0" fillId="0" borderId="0" xfId="0" applyNumberFormat="1"/>
    <xf numFmtId="49" fontId="0" fillId="2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49" fontId="0" fillId="7" borderId="14" xfId="0" applyNumberFormat="1" applyFill="1" applyBorder="1" applyAlignment="1">
      <alignment vertical="center"/>
    </xf>
    <xf numFmtId="0" fontId="5" fillId="7" borderId="14" xfId="0" applyFont="1" applyFill="1" applyBorder="1" applyAlignment="1">
      <alignment horizontal="right" wrapText="1"/>
    </xf>
    <xf numFmtId="0" fontId="0" fillId="6" borderId="8" xfId="0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49" fontId="5" fillId="7" borderId="14" xfId="0" applyNumberFormat="1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right"/>
    </xf>
    <xf numFmtId="2" fontId="5" fillId="5" borderId="1" xfId="0" applyNumberFormat="1" applyFont="1" applyFill="1" applyBorder="1" applyAlignment="1">
      <alignment horizontal="right"/>
    </xf>
    <xf numFmtId="0" fontId="5" fillId="5" borderId="12" xfId="0" applyFont="1" applyFill="1" applyBorder="1" applyAlignment="1">
      <alignment horizontal="left"/>
    </xf>
    <xf numFmtId="0" fontId="0" fillId="6" borderId="0" xfId="0" applyFill="1"/>
    <xf numFmtId="22" fontId="5" fillId="6" borderId="2" xfId="0" applyNumberFormat="1" applyFont="1" applyFill="1" applyBorder="1" applyAlignment="1">
      <alignment wrapText="1"/>
    </xf>
    <xf numFmtId="1" fontId="5" fillId="6" borderId="2" xfId="0" applyNumberFormat="1" applyFont="1" applyFill="1" applyBorder="1" applyAlignment="1">
      <alignment wrapText="1"/>
    </xf>
    <xf numFmtId="49" fontId="5" fillId="6" borderId="2" xfId="0" applyNumberFormat="1" applyFont="1" applyFill="1" applyBorder="1" applyAlignment="1">
      <alignment wrapText="1"/>
    </xf>
    <xf numFmtId="0" fontId="5" fillId="6" borderId="2" xfId="0" applyFont="1" applyFill="1" applyBorder="1" applyAlignment="1">
      <alignment wrapText="1"/>
    </xf>
    <xf numFmtId="2" fontId="5" fillId="6" borderId="2" xfId="0" applyNumberFormat="1" applyFont="1" applyFill="1" applyBorder="1" applyAlignment="1">
      <alignment wrapText="1"/>
    </xf>
    <xf numFmtId="0" fontId="7" fillId="6" borderId="2" xfId="0" applyFont="1" applyFill="1" applyBorder="1" applyAlignment="1">
      <alignment wrapText="1"/>
    </xf>
    <xf numFmtId="0" fontId="0" fillId="3" borderId="0" xfId="0" applyFill="1"/>
    <xf numFmtId="2" fontId="0" fillId="0" borderId="1" xfId="0" applyNumberFormat="1" applyBorder="1" applyAlignment="1">
      <alignment vertical="center"/>
    </xf>
    <xf numFmtId="0" fontId="5" fillId="6" borderId="1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0" fontId="0" fillId="0" borderId="29" xfId="0" applyBorder="1"/>
    <xf numFmtId="0" fontId="6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right" wrapText="1"/>
    </xf>
    <xf numFmtId="0" fontId="0" fillId="3" borderId="11" xfId="0" applyFill="1" applyBorder="1"/>
    <xf numFmtId="0" fontId="3" fillId="0" borderId="0" xfId="0" applyFont="1"/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6" borderId="22" xfId="0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30" xfId="0" applyFont="1" applyBorder="1" applyAlignment="1">
      <alignment horizontal="center" wrapText="1"/>
    </xf>
    <xf numFmtId="0" fontId="7" fillId="0" borderId="31" xfId="0" applyFont="1" applyBorder="1" applyAlignment="1">
      <alignment horizontal="center" wrapText="1"/>
    </xf>
    <xf numFmtId="49" fontId="0" fillId="0" borderId="2" xfId="0" applyNumberFormat="1" applyBorder="1" applyAlignment="1">
      <alignment wrapText="1"/>
    </xf>
  </cellXfs>
  <cellStyles count="3">
    <cellStyle name="Normal" xfId="0" builtinId="0"/>
    <cellStyle name="Normal 2" xfId="2" xr:uid="{AA38016A-2345-4626-9AAF-02C3E5837256}"/>
    <cellStyle name="Percent" xfId="1" builtinId="5"/>
  </cellStyles>
  <dxfs count="1">
    <dxf>
      <fill>
        <patternFill patternType="solid">
          <fgColor rgb="FFF4B08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111111111111109E-2"/>
          <c:y val="0.12025728258081307"/>
          <c:w val="0.93888031983486753"/>
          <c:h val="0.66765652933228703"/>
        </c:manualLayout>
      </c:layout>
      <c:pie3DChart>
        <c:varyColors val="1"/>
        <c:ser>
          <c:idx val="0"/>
          <c:order val="0"/>
          <c:tx>
            <c:strRef>
              <c:f>'Sales Table'!$N$1</c:f>
              <c:strCache>
                <c:ptCount val="1"/>
                <c:pt idx="0">
                  <c:v>Average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explosion val="1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3A37-44F9-89CD-C8B73A74B33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Table'!$M$2:$M$4</c:f>
              <c:strCache>
                <c:ptCount val="3"/>
                <c:pt idx="0">
                  <c:v>MidRange</c:v>
                </c:pt>
                <c:pt idx="1">
                  <c:v>Premium</c:v>
                </c:pt>
                <c:pt idx="2">
                  <c:v>Cheap</c:v>
                </c:pt>
              </c:strCache>
            </c:strRef>
          </c:cat>
          <c:val>
            <c:numRef>
              <c:f>'Sales Table'!$N$2:$N$4</c:f>
              <c:numCache>
                <c:formatCode>General</c:formatCode>
                <c:ptCount val="3"/>
                <c:pt idx="0">
                  <c:v>1.1445086705202312</c:v>
                </c:pt>
                <c:pt idx="1">
                  <c:v>1.1306818181818181</c:v>
                </c:pt>
                <c:pt idx="2">
                  <c:v>1.1495601173020529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7-44F9-89CD-C8B73A74B33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Table'!$W$1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Table'!$V$2:$V$20</c:f>
              <c:strCache>
                <c:ptCount val="19"/>
                <c:pt idx="0">
                  <c:v>iPhone</c:v>
                </c:pt>
                <c:pt idx="1">
                  <c:v>Lightning Charging Cable</c:v>
                </c:pt>
                <c:pt idx="2">
                  <c:v>Wired Headphones</c:v>
                </c:pt>
                <c:pt idx="3">
                  <c:v>27in FHD Monitor</c:v>
                </c:pt>
                <c:pt idx="4">
                  <c:v>AAA Batteries (4-pack)</c:v>
                </c:pt>
                <c:pt idx="5">
                  <c:v>27in 4K Gaming Monitor</c:v>
                </c:pt>
                <c:pt idx="6">
                  <c:v>USB-C Charging Cable</c:v>
                </c:pt>
                <c:pt idx="7">
                  <c:v>Bose SoundSport Headphones</c:v>
                </c:pt>
                <c:pt idx="8">
                  <c:v>Apple Airpods Headphones</c:v>
                </c:pt>
                <c:pt idx="9">
                  <c:v>Macbook Pro Laptop</c:v>
                </c:pt>
                <c:pt idx="10">
                  <c:v>Flatscreen TV</c:v>
                </c:pt>
                <c:pt idx="11">
                  <c:v>Vareebadd Phone</c:v>
                </c:pt>
                <c:pt idx="12">
                  <c:v>AA Batteries (4-pack)</c:v>
                </c:pt>
                <c:pt idx="13">
                  <c:v>Google Phone</c:v>
                </c:pt>
                <c:pt idx="14">
                  <c:v>20in Monitor</c:v>
                </c:pt>
                <c:pt idx="15">
                  <c:v>34in Ultrawide Monitor</c:v>
                </c:pt>
                <c:pt idx="16">
                  <c:v>ThinkPad Laptop</c:v>
                </c:pt>
                <c:pt idx="17">
                  <c:v>LG Dryer</c:v>
                </c:pt>
                <c:pt idx="18">
                  <c:v>LG Washing Machine</c:v>
                </c:pt>
              </c:strCache>
            </c:strRef>
          </c:cat>
          <c:val>
            <c:numRef>
              <c:f>'Sales Table'!$W$2:$W$20</c:f>
              <c:numCache>
                <c:formatCode>General</c:formatCode>
                <c:ptCount val="19"/>
                <c:pt idx="0">
                  <c:v>38</c:v>
                </c:pt>
                <c:pt idx="1">
                  <c:v>127</c:v>
                </c:pt>
                <c:pt idx="2">
                  <c:v>104</c:v>
                </c:pt>
                <c:pt idx="3">
                  <c:v>47</c:v>
                </c:pt>
                <c:pt idx="4">
                  <c:v>192</c:v>
                </c:pt>
                <c:pt idx="5">
                  <c:v>34</c:v>
                </c:pt>
                <c:pt idx="6">
                  <c:v>144</c:v>
                </c:pt>
                <c:pt idx="7">
                  <c:v>87</c:v>
                </c:pt>
                <c:pt idx="8">
                  <c:v>87</c:v>
                </c:pt>
                <c:pt idx="9">
                  <c:v>29</c:v>
                </c:pt>
                <c:pt idx="10">
                  <c:v>28</c:v>
                </c:pt>
                <c:pt idx="11">
                  <c:v>11</c:v>
                </c:pt>
                <c:pt idx="12">
                  <c:v>146</c:v>
                </c:pt>
                <c:pt idx="13">
                  <c:v>40</c:v>
                </c:pt>
                <c:pt idx="14">
                  <c:v>24</c:v>
                </c:pt>
                <c:pt idx="15">
                  <c:v>26</c:v>
                </c:pt>
                <c:pt idx="16">
                  <c:v>17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B-4FD4-84A8-8DC8C0B04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384240"/>
        <c:axId val="187381744"/>
      </c:barChart>
      <c:catAx>
        <c:axId val="187384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81744"/>
        <c:crosses val="autoZero"/>
        <c:auto val="1"/>
        <c:lblAlgn val="ctr"/>
        <c:lblOffset val="100"/>
        <c:noMultiLvlLbl val="0"/>
      </c:catAx>
      <c:valAx>
        <c:axId val="18738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8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6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5" Type="http://schemas.openxmlformats.org/officeDocument/2006/relationships/customXml" Target="../ink/ink4.xml"/><Relationship Id="rId4" Type="http://schemas.openxmlformats.org/officeDocument/2006/relationships/customXml" Target="../ink/ink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39969</xdr:colOff>
      <xdr:row>1</xdr:row>
      <xdr:rowOff>9970</xdr:rowOff>
    </xdr:from>
    <xdr:to>
      <xdr:col>5</xdr:col>
      <xdr:colOff>487644</xdr:colOff>
      <xdr:row>9</xdr:row>
      <xdr:rowOff>54034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D7FAAF-01EB-407B-10E0-4F36959D8E9C}"/>
            </a:ext>
          </a:extLst>
        </xdr:cNvPr>
        <xdr:cNvSpPr txBox="1"/>
      </xdr:nvSpPr>
      <xdr:spPr>
        <a:xfrm>
          <a:off x="14745857" y="196909"/>
          <a:ext cx="3598937" cy="15840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1) User</a:t>
          </a:r>
          <a:r>
            <a:rPr lang="en-IN" sz="1100" baseline="0"/>
            <a:t> Interface,</a:t>
          </a:r>
        </a:p>
        <a:p>
          <a:r>
            <a:rPr lang="en-IN" sz="1100" baseline="0"/>
            <a:t>2) Inserting, Deleting - Rows, Columns.</a:t>
          </a:r>
        </a:p>
        <a:p>
          <a:r>
            <a:rPr lang="en-IN" sz="1100" baseline="0"/>
            <a:t>3) Hide, Unhide, Freeze</a:t>
          </a:r>
        </a:p>
        <a:p>
          <a:r>
            <a:rPr lang="en-IN" sz="1100" baseline="0"/>
            <a:t>4) Copy, Paste, redo, undo</a:t>
          </a:r>
        </a:p>
        <a:p>
          <a:r>
            <a:rPr lang="en-IN" sz="1100" baseline="0"/>
            <a:t>5) Go To, Find and Replace</a:t>
          </a:r>
        </a:p>
        <a:p>
          <a:r>
            <a:rPr lang="en-IN" sz="1100" baseline="0"/>
            <a:t>6) Sorting, Filters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257175</xdr:colOff>
      <xdr:row>0</xdr:row>
      <xdr:rowOff>533400</xdr:rowOff>
    </xdr:from>
    <xdr:to>
      <xdr:col>16</xdr:col>
      <xdr:colOff>238125</xdr:colOff>
      <xdr:row>4</xdr:row>
      <xdr:rowOff>152401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C27107-4766-6658-65E2-F218815C743E}"/>
            </a:ext>
          </a:extLst>
        </xdr:cNvPr>
        <xdr:cNvSpPr txBox="1"/>
      </xdr:nvSpPr>
      <xdr:spPr>
        <a:xfrm>
          <a:off x="7096125" y="533400"/>
          <a:ext cx="3028950" cy="771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Comparitive Operators : </a:t>
          </a:r>
        </a:p>
        <a:p>
          <a:r>
            <a:rPr lang="en-IN" sz="2000">
              <a:solidFill>
                <a:srgbClr val="0070C0"/>
              </a:solidFill>
            </a:rPr>
            <a:t>=, &gt;,&lt;, &gt;=, &lt;=,</a:t>
          </a:r>
          <a:r>
            <a:rPr lang="en-IN" sz="2000" baseline="0">
              <a:solidFill>
                <a:srgbClr val="0070C0"/>
              </a:solidFill>
            </a:rPr>
            <a:t> &lt;&gt;</a:t>
          </a:r>
          <a:endParaRPr lang="en-IN" sz="2000">
            <a:solidFill>
              <a:srgbClr val="0070C0"/>
            </a:solidFill>
          </a:endParaRPr>
        </a:p>
      </xdr:txBody>
    </xdr:sp>
    <xdr:clientData/>
  </xdr:twoCellAnchor>
  <xdr:twoCellAnchor>
    <xdr:from>
      <xdr:col>11</xdr:col>
      <xdr:colOff>419100</xdr:colOff>
      <xdr:row>6</xdr:row>
      <xdr:rowOff>161925</xdr:rowOff>
    </xdr:from>
    <xdr:to>
      <xdr:col>16</xdr:col>
      <xdr:colOff>466725</xdr:colOff>
      <xdr:row>13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3D6349-0DCC-F483-7438-B90F5D397B55}"/>
            </a:ext>
          </a:extLst>
        </xdr:cNvPr>
        <xdr:cNvSpPr txBox="1"/>
      </xdr:nvSpPr>
      <xdr:spPr>
        <a:xfrm>
          <a:off x="7258050" y="1685925"/>
          <a:ext cx="3095625" cy="1247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1) Insert serial</a:t>
          </a:r>
          <a:r>
            <a:rPr lang="en-IN" sz="1100" baseline="0"/>
            <a:t> number column</a:t>
          </a:r>
        </a:p>
        <a:p>
          <a:r>
            <a:rPr lang="en-IN" sz="1100" baseline="0"/>
            <a:t>2) Use comparitive operators and fill all the columns with boolean values </a:t>
          </a:r>
        </a:p>
        <a:p>
          <a:r>
            <a:rPr lang="en-IN" sz="1100" baseline="0"/>
            <a:t>3) Highlight all the true values using conditional formating</a:t>
          </a:r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3</xdr:row>
      <xdr:rowOff>85725</xdr:rowOff>
    </xdr:from>
    <xdr:to>
      <xdr:col>14</xdr:col>
      <xdr:colOff>571500</xdr:colOff>
      <xdr:row>8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8D38C1-2337-A572-B28F-B4A1057A0E8A}"/>
            </a:ext>
          </a:extLst>
        </xdr:cNvPr>
        <xdr:cNvSpPr txBox="1"/>
      </xdr:nvSpPr>
      <xdr:spPr>
        <a:xfrm>
          <a:off x="8562975" y="704850"/>
          <a:ext cx="2743200" cy="1019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Text Functions:</a:t>
          </a:r>
        </a:p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Upper,</a:t>
          </a:r>
          <a:r>
            <a:rPr lang="en-IN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Lower, Proper, Left, Right, Mid, Len,Trim, Find, Search, Substitute, Replace, Concatenate</a:t>
          </a:r>
          <a:endParaRPr lang="en-IN" sz="1100"/>
        </a:p>
      </xdr:txBody>
    </xdr:sp>
    <xdr:clientData/>
  </xdr:twoCellAnchor>
  <xdr:twoCellAnchor editAs="oneCell">
    <xdr:from>
      <xdr:col>2</xdr:col>
      <xdr:colOff>590195</xdr:colOff>
      <xdr:row>3</xdr:row>
      <xdr:rowOff>20606</xdr:rowOff>
    </xdr:from>
    <xdr:to>
      <xdr:col>2</xdr:col>
      <xdr:colOff>612155</xdr:colOff>
      <xdr:row>3</xdr:row>
      <xdr:rowOff>26366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EC117A8-4C84-C41E-1488-59206D389C51}"/>
                </a:ext>
              </a:extLst>
            </xdr14:cNvPr>
            <xdr14:cNvContentPartPr/>
          </xdr14:nvContentPartPr>
          <xdr14:nvPr macro=""/>
          <xdr14:xfrm>
            <a:off x="3265920" y="638640"/>
            <a:ext cx="21960" cy="57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EC117A8-4C84-C41E-1488-59206D389C5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59800" y="632520"/>
              <a:ext cx="342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</xdr:col>
      <xdr:colOff>590195</xdr:colOff>
      <xdr:row>4</xdr:row>
      <xdr:rowOff>20606</xdr:rowOff>
    </xdr:from>
    <xdr:ext cx="21960" cy="5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B32F6BB-8528-4497-AE69-A58FCE4FA960}"/>
                </a:ext>
              </a:extLst>
            </xdr14:cNvPr>
            <xdr14:cNvContentPartPr/>
          </xdr14:nvContentPartPr>
          <xdr14:nvPr macro=""/>
          <xdr14:xfrm>
            <a:off x="3265920" y="638640"/>
            <a:ext cx="21960" cy="57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B32F6BB-8528-4497-AE69-A58FCE4FA96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59800" y="632520"/>
              <a:ext cx="342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590195</xdr:colOff>
      <xdr:row>5</xdr:row>
      <xdr:rowOff>20606</xdr:rowOff>
    </xdr:from>
    <xdr:ext cx="21960" cy="5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0FEB3E7-554B-412B-B747-31DACEFCAD7A}"/>
                </a:ext>
              </a:extLst>
            </xdr14:cNvPr>
            <xdr14:cNvContentPartPr/>
          </xdr14:nvContentPartPr>
          <xdr14:nvPr macro=""/>
          <xdr14:xfrm>
            <a:off x="3265920" y="638640"/>
            <a:ext cx="21960" cy="57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0FEB3E7-554B-412B-B747-31DACEFCAD7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59800" y="632520"/>
              <a:ext cx="342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590195</xdr:colOff>
      <xdr:row>6</xdr:row>
      <xdr:rowOff>20606</xdr:rowOff>
    </xdr:from>
    <xdr:ext cx="21960" cy="5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0230A80-DE7A-417F-A0BF-76EAD8E9BAE9}"/>
                </a:ext>
              </a:extLst>
            </xdr14:cNvPr>
            <xdr14:cNvContentPartPr/>
          </xdr14:nvContentPartPr>
          <xdr14:nvPr macro=""/>
          <xdr14:xfrm>
            <a:off x="3265920" y="638640"/>
            <a:ext cx="21960" cy="57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0230A80-DE7A-417F-A0BF-76EAD8E9BA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59800" y="632520"/>
              <a:ext cx="342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590195</xdr:colOff>
      <xdr:row>7</xdr:row>
      <xdr:rowOff>20606</xdr:rowOff>
    </xdr:from>
    <xdr:ext cx="21960" cy="5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03D23C9-2E0D-4ECE-ABD3-E11DDF792E32}"/>
                </a:ext>
              </a:extLst>
            </xdr14:cNvPr>
            <xdr14:cNvContentPartPr/>
          </xdr14:nvContentPartPr>
          <xdr14:nvPr macro=""/>
          <xdr14:xfrm>
            <a:off x="3265920" y="638640"/>
            <a:ext cx="21960" cy="57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03D23C9-2E0D-4ECE-ABD3-E11DDF792E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59800" y="632520"/>
              <a:ext cx="342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590195</xdr:colOff>
      <xdr:row>8</xdr:row>
      <xdr:rowOff>20606</xdr:rowOff>
    </xdr:from>
    <xdr:ext cx="21960" cy="5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463885F-2148-4ADF-9B30-41525E06889A}"/>
                </a:ext>
              </a:extLst>
            </xdr14:cNvPr>
            <xdr14:cNvContentPartPr/>
          </xdr14:nvContentPartPr>
          <xdr14:nvPr macro=""/>
          <xdr14:xfrm>
            <a:off x="3265920" y="638640"/>
            <a:ext cx="21960" cy="57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C463885F-2148-4ADF-9B30-41525E06889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59800" y="632520"/>
              <a:ext cx="342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590195</xdr:colOff>
      <xdr:row>9</xdr:row>
      <xdr:rowOff>20606</xdr:rowOff>
    </xdr:from>
    <xdr:ext cx="21960" cy="5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83FCD69-84EC-4C38-B659-61005CFD7E31}"/>
                </a:ext>
              </a:extLst>
            </xdr14:cNvPr>
            <xdr14:cNvContentPartPr/>
          </xdr14:nvContentPartPr>
          <xdr14:nvPr macro=""/>
          <xdr14:xfrm>
            <a:off x="3265920" y="638640"/>
            <a:ext cx="21960" cy="57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F83FCD69-84EC-4C38-B659-61005CFD7E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59800" y="632520"/>
              <a:ext cx="342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1</xdr:row>
      <xdr:rowOff>152400</xdr:rowOff>
    </xdr:from>
    <xdr:to>
      <xdr:col>14</xdr:col>
      <xdr:colOff>381000</xdr:colOff>
      <xdr:row>6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495E14-9577-6A03-F880-5EC2720EFB44}"/>
            </a:ext>
          </a:extLst>
        </xdr:cNvPr>
        <xdr:cNvSpPr txBox="1"/>
      </xdr:nvSpPr>
      <xdr:spPr>
        <a:xfrm>
          <a:off x="6372225" y="342900"/>
          <a:ext cx="2543175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 u="sng"/>
            <a:t>Round</a:t>
          </a:r>
          <a:r>
            <a:rPr lang="en-IN" sz="1600" b="1" u="sng" baseline="0"/>
            <a:t> Functions:</a:t>
          </a:r>
          <a:endParaRPr lang="en-IN" sz="1600" b="1" i="0" u="sng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1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Round, Roundup, Rounddown, Mround</a:t>
          </a:r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5</xdr:row>
      <xdr:rowOff>0</xdr:rowOff>
    </xdr:from>
    <xdr:to>
      <xdr:col>14</xdr:col>
      <xdr:colOff>561975</xdr:colOff>
      <xdr:row>12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CA1017-49D3-206C-BCBB-B9A58844438D}"/>
            </a:ext>
          </a:extLst>
        </xdr:cNvPr>
        <xdr:cNvSpPr txBox="1"/>
      </xdr:nvSpPr>
      <xdr:spPr>
        <a:xfrm>
          <a:off x="5505450" y="952500"/>
          <a:ext cx="3286125" cy="135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IF</a:t>
          </a:r>
          <a:r>
            <a:rPr lang="en-IN" sz="1100" baseline="0"/>
            <a:t> functions</a:t>
          </a:r>
        </a:p>
        <a:p>
          <a:r>
            <a:rPr lang="en-IN" sz="1100"/>
            <a:t>Logical functions</a:t>
          </a:r>
        </a:p>
        <a:p>
          <a:r>
            <a:rPr lang="en-IN" sz="1100"/>
            <a:t>Aggregate functions</a:t>
          </a:r>
        </a:p>
        <a:p>
          <a:r>
            <a:rPr lang="en-IN" sz="1100"/>
            <a:t>IFS</a:t>
          </a:r>
          <a:r>
            <a:rPr lang="en-IN" sz="1100" baseline="0"/>
            <a:t> Functions</a:t>
          </a:r>
        </a:p>
        <a:p>
          <a:r>
            <a:rPr lang="en-IN" sz="1100" baseline="0"/>
            <a:t>Database Functions</a:t>
          </a:r>
          <a:endParaRPr lang="en-IN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1</xdr:row>
      <xdr:rowOff>171450</xdr:rowOff>
    </xdr:from>
    <xdr:to>
      <xdr:col>13</xdr:col>
      <xdr:colOff>600075</xdr:colOff>
      <xdr:row>10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837DB5-836A-17BB-C56D-C82AE79B0CA6}"/>
            </a:ext>
          </a:extLst>
        </xdr:cNvPr>
        <xdr:cNvSpPr txBox="1"/>
      </xdr:nvSpPr>
      <xdr:spPr>
        <a:xfrm>
          <a:off x="5591175" y="361950"/>
          <a:ext cx="4114800" cy="1590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Roll No. should be less than</a:t>
          </a:r>
          <a:r>
            <a:rPr lang="en-IN" sz="1200" b="1" baseline="0"/>
            <a:t> 20</a:t>
          </a:r>
        </a:p>
        <a:p>
          <a:endParaRPr lang="en-IN" sz="1200" b="1" baseline="0"/>
        </a:p>
        <a:p>
          <a:r>
            <a:rPr lang="en-IN" sz="1200" b="1" baseline="0"/>
            <a:t>Length of name should be between 3-8 character length</a:t>
          </a:r>
        </a:p>
        <a:p>
          <a:endParaRPr lang="en-IN" sz="1200" b="1" baseline="0"/>
        </a:p>
        <a:p>
          <a:r>
            <a:rPr lang="en-IN" sz="1200" b="1" baseline="0"/>
            <a:t>Maths scores should be less than or equal to 100</a:t>
          </a:r>
        </a:p>
        <a:p>
          <a:endParaRPr lang="en-IN" sz="1200" b="1" baseline="0"/>
        </a:p>
        <a:p>
          <a:r>
            <a:rPr lang="en-IN" sz="1200" b="1" baseline="0"/>
            <a:t>Science scores should be less than or equal to 50</a:t>
          </a:r>
          <a:endParaRPr lang="en-IN" sz="12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337456</xdr:colOff>
      <xdr:row>3</xdr:row>
      <xdr:rowOff>119742</xdr:rowOff>
    </xdr:from>
    <xdr:to>
      <xdr:col>19</xdr:col>
      <xdr:colOff>598714</xdr:colOff>
      <xdr:row>17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38C285-0ABE-523D-A589-D3D452A95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794657</xdr:colOff>
      <xdr:row>4</xdr:row>
      <xdr:rowOff>76199</xdr:rowOff>
    </xdr:from>
    <xdr:to>
      <xdr:col>32</xdr:col>
      <xdr:colOff>783771</xdr:colOff>
      <xdr:row>31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63D8BB-09D2-D401-CF3D-977C9FFAC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828674</xdr:colOff>
      <xdr:row>0</xdr:row>
      <xdr:rowOff>171449</xdr:rowOff>
    </xdr:from>
    <xdr:to>
      <xdr:col>5</xdr:col>
      <xdr:colOff>133349</xdr:colOff>
      <xdr:row>28</xdr:row>
      <xdr:rowOff>9524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99DF44-9F83-4F65-08F5-9DB3E68BD84E}"/>
            </a:ext>
          </a:extLst>
        </xdr:cNvPr>
        <xdr:cNvSpPr txBox="1"/>
      </xdr:nvSpPr>
      <xdr:spPr>
        <a:xfrm>
          <a:off x="828674" y="171449"/>
          <a:ext cx="8658225" cy="5172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Date</a:t>
          </a:r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This column indicates the date and time when the order was placed. The format seems to be in "DD-MM-YYYY HH:MM" (Day-Month-Year Hour:Minute).</a:t>
          </a:r>
          <a:b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ID: </a:t>
          </a:r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Each order is assigned a unique identification number. This column represents that identifier.</a:t>
          </a:r>
          <a:b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Product:</a:t>
          </a:r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column specifies the name or description of the product being ordered.</a:t>
          </a:r>
          <a:b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Product_ean: </a:t>
          </a:r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column appears to contain the EAN (European Article Number) or barcode for each product. It uniquely identifies each product.</a:t>
          </a:r>
          <a:b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Category: </a:t>
          </a:r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Indicates the category to which the product belongs. For example, "MidRange", "Premium", or "Cheap".</a:t>
          </a:r>
          <a:b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Quantity Ordered: </a:t>
          </a:r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Specifies the quantity of the product ordered in each transaction.</a:t>
          </a:r>
          <a:b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Price Each</a:t>
          </a:r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Represents the price of each unit of the product.</a:t>
          </a:r>
          <a:b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Cost price: </a:t>
          </a:r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Denotes the cost price of each unit of the product. This is the price at which the retailer purchases the product.</a:t>
          </a:r>
          <a:b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Turnover: </a:t>
          </a:r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Indicates the total revenue generated from the sale of the product, which is calculated by multiplying the quantity ordered by the price each.</a:t>
          </a:r>
          <a:b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Margin:</a:t>
          </a:r>
          <a:r>
            <a:rPr lang="en-IN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Represents the profit margin for each product, calculated by subtracting the cost price from the price each.</a:t>
          </a:r>
        </a:p>
        <a:p>
          <a:endParaRPr lang="en-IN" sz="1100"/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02T02:51:07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15 6513,'0'0'4505,"-13"-12"-3225,13 9-280,-7 3-143,-6 0-857,-1 0-425,1 0-2039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02T02:51:51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15 6513,'0'0'4505,"-13"-12"-3225,13 9-280,-7 3-143,-6 0-857,-1 0-425,1 0-2039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02T02:51:51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15 6513,'0'0'4505,"-13"-12"-3225,13 9-280,-7 3-143,-6 0-857,-1 0-425,1 0-2039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02T02:51:51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15 6513,'0'0'4505,"-13"-12"-3225,13 9-280,-7 3-143,-6 0-857,-1 0-425,1 0-2039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02T02:51:51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15 6513,'0'0'4505,"-13"-12"-3225,13 9-280,-7 3-143,-6 0-857,-1 0-425,1 0-2039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02T02:51:51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15 6513,'0'0'4505,"-13"-12"-3225,13 9-280,-7 3-143,-6 0-857,-1 0-425,1 0-2039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02T02:51:51.7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15 6513,'0'0'4505,"-13"-12"-3225,13 9-280,-7 3-143,-6 0-857,-1 0-425,1 0-2039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bhav umbarkar" refreshedDate="45920.527593634259" createdVersion="7" refreshedVersion="7" minRefreshableVersion="3" recordCount="1040" xr:uid="{DCD05868-BF8F-4F29-A279-C30302F88D01}">
  <cacheSource type="worksheet">
    <worksheetSource ref="A1:K1048576" sheet="Sales Table"/>
  </cacheSource>
  <cacheFields count="11">
    <cacheField name="Order Date" numFmtId="22">
      <sharedItems containsNonDate="0" containsDate="1" containsString="0" containsBlank="1" minDate="2019-01-01T06:13:00" maxDate="2019-01-31T23:23:00"/>
    </cacheField>
    <cacheField name="Order ID" numFmtId="1">
      <sharedItems containsString="0" containsBlank="1" containsNumber="1" containsInteger="1" minValue="141234" maxValue="142230"/>
    </cacheField>
    <cacheField name="Product" numFmtId="49">
      <sharedItems containsBlank="1" count="20">
        <s v="iPhone"/>
        <s v="Lightning Charging Cable"/>
        <s v="Wired Headphones"/>
        <s v="27in FHD Monitor"/>
        <s v="AAA Batteries (4-pack)"/>
        <s v="27in 4K Gaming Monitor"/>
        <s v="USB-C Charging Cable"/>
        <s v="Bose SoundSport Headphones"/>
        <s v="Apple Airpods Headphones"/>
        <s v="Macbook Pro Laptop"/>
        <s v="Flatscreen TV"/>
        <s v="Vareebadd Phone"/>
        <s v="AA Batteries (4-pack)"/>
        <s v="Google Phone"/>
        <s v="20in Monitor"/>
        <s v="34in Ultrawide Monitor"/>
        <s v="ThinkPad Laptop"/>
        <s v="LG Dryer"/>
        <s v="LG Washing Machine"/>
        <m/>
      </sharedItems>
    </cacheField>
    <cacheField name="Product_ean" numFmtId="0">
      <sharedItems containsString="0" containsBlank="1" containsNumber="1" containsInteger="1" minValue="1020000000000" maxValue="10000000000000"/>
    </cacheField>
    <cacheField name="Category" numFmtId="0">
      <sharedItems containsBlank="1" count="4">
        <s v="MidRange"/>
        <s v="Premium"/>
        <s v="Cheap"/>
        <m/>
      </sharedItems>
    </cacheField>
    <cacheField name="Quantity Ordered" numFmtId="0">
      <sharedItems containsString="0" containsBlank="1" containsNumber="1" containsInteger="1" minValue="1" maxValue="7"/>
    </cacheField>
    <cacheField name="Price Each" numFmtId="2">
      <sharedItems containsString="0" containsBlank="1" containsNumber="1" minValue="2.99" maxValue="1700"/>
    </cacheField>
    <cacheField name="Cost price" numFmtId="0">
      <sharedItems containsString="0" containsBlank="1" containsNumber="1" minValue="1.4950000000000001" maxValue="561"/>
    </cacheField>
    <cacheField name="turnover" numFmtId="2">
      <sharedItems containsString="0" containsBlank="1" containsNumber="1" minValue="2.99" maxValue="1700"/>
    </cacheField>
    <cacheField name="margin" numFmtId="2">
      <sharedItems containsString="0" containsBlank="1" containsNumber="1" minValue="1.4950000000000001" maxValue="1139"/>
    </cacheField>
    <cacheField name="Category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0">
  <r>
    <d v="2019-01-22T21:25:00"/>
    <n v="141234"/>
    <x v="0"/>
    <n v="5640000000000"/>
    <x v="0"/>
    <n v="1"/>
    <n v="700"/>
    <n v="231"/>
    <n v="700"/>
    <n v="469"/>
    <s v="Expensive"/>
  </r>
  <r>
    <d v="2019-01-28T14:15:00"/>
    <n v="141235"/>
    <x v="1"/>
    <n v="5560000000000"/>
    <x v="0"/>
    <n v="1"/>
    <n v="14.95"/>
    <n v="7.4749999999999996"/>
    <n v="14.95"/>
    <n v="7.4749999999999996"/>
    <s v="Inexpensive"/>
  </r>
  <r>
    <d v="2019-01-17T13:33:00"/>
    <n v="141236"/>
    <x v="2"/>
    <n v="2110000000000"/>
    <x v="1"/>
    <n v="2"/>
    <n v="11.99"/>
    <n v="5.9950000000000001"/>
    <n v="23.98"/>
    <n v="11.99"/>
    <s v="Inexpensive"/>
  </r>
  <r>
    <d v="2019-01-05T20:33:00"/>
    <n v="141237"/>
    <x v="3"/>
    <n v="3070000000000"/>
    <x v="2"/>
    <n v="1"/>
    <n v="149.99"/>
    <n v="97.493499999999997"/>
    <n v="149.99"/>
    <n v="52.496499999999997"/>
    <s v="Inexpensive"/>
  </r>
  <r>
    <d v="2019-01-25T11:59:00"/>
    <n v="141238"/>
    <x v="2"/>
    <n v="9690000000000"/>
    <x v="2"/>
    <n v="1"/>
    <n v="11.99"/>
    <n v="5.9950000000000001"/>
    <n v="11.99"/>
    <n v="5.9950000000000001"/>
    <s v="Inexpensive"/>
  </r>
  <r>
    <d v="2019-01-29T20:22:00"/>
    <n v="141239"/>
    <x v="4"/>
    <n v="2950000000000"/>
    <x v="1"/>
    <n v="1"/>
    <n v="2.99"/>
    <n v="1.4950000000000001"/>
    <n v="2.99"/>
    <n v="1.4950000000000001"/>
    <s v="Inexpensive"/>
  </r>
  <r>
    <d v="2019-01-26T12:16:00"/>
    <n v="141240"/>
    <x v="5"/>
    <n v="5170000000000"/>
    <x v="0"/>
    <n v="1"/>
    <n v="389.99"/>
    <n v="128.69669999999999"/>
    <n v="389.99"/>
    <n v="261.29329999999999"/>
    <s v="Inexpensive"/>
  </r>
  <r>
    <d v="2019-01-05T12:04:00"/>
    <n v="141241"/>
    <x v="6"/>
    <n v="8050000000000"/>
    <x v="0"/>
    <n v="1"/>
    <n v="11.95"/>
    <n v="5.9749999999999996"/>
    <n v="11.95"/>
    <n v="5.9749999999999996"/>
    <s v="Inexpensive"/>
  </r>
  <r>
    <d v="2019-01-01T10:30:00"/>
    <n v="141242"/>
    <x v="7"/>
    <n v="1510000000000"/>
    <x v="2"/>
    <n v="1"/>
    <n v="99.99"/>
    <n v="49.994999999999997"/>
    <n v="99.99"/>
    <n v="49.994999999999997"/>
    <s v="Inexpensive"/>
  </r>
  <r>
    <d v="2019-01-22T21:20:00"/>
    <n v="141243"/>
    <x v="8"/>
    <n v="1390000000000"/>
    <x v="2"/>
    <n v="1"/>
    <n v="150"/>
    <n v="97.5"/>
    <n v="150"/>
    <n v="52.5"/>
    <s v="Inexpensive"/>
  </r>
  <r>
    <d v="2019-01-07T11:29:00"/>
    <n v="141244"/>
    <x v="8"/>
    <n v="4330000000000"/>
    <x v="0"/>
    <n v="1"/>
    <n v="150"/>
    <n v="97.5"/>
    <n v="150"/>
    <n v="52.5"/>
    <s v="Inexpensive"/>
  </r>
  <r>
    <d v="2019-01-31T10:12:00"/>
    <n v="141245"/>
    <x v="9"/>
    <n v="1170000000000"/>
    <x v="1"/>
    <n v="1"/>
    <n v="1700"/>
    <n v="561"/>
    <n v="1700"/>
    <n v="1139"/>
    <s v="Expensive"/>
  </r>
  <r>
    <d v="2019-01-09T18:57:00"/>
    <n v="141246"/>
    <x v="4"/>
    <n v="4440000000000"/>
    <x v="2"/>
    <n v="3"/>
    <n v="2.99"/>
    <n v="1.4950000000000001"/>
    <n v="8.9700000000000006"/>
    <n v="4.4850000000000003"/>
    <s v="Inexpensive"/>
  </r>
  <r>
    <d v="2019-01-25T19:19:00"/>
    <n v="141247"/>
    <x v="3"/>
    <n v="7310000000000"/>
    <x v="0"/>
    <n v="1"/>
    <n v="149.99"/>
    <n v="97.493499999999997"/>
    <n v="149.99"/>
    <n v="52.496499999999997"/>
    <s v="Inexpensive"/>
  </r>
  <r>
    <d v="2019-01-03T21:54:00"/>
    <n v="141248"/>
    <x v="10"/>
    <n v="4060000000000"/>
    <x v="1"/>
    <n v="1"/>
    <n v="300"/>
    <n v="99"/>
    <n v="300"/>
    <n v="201"/>
    <s v="Inexpensive"/>
  </r>
  <r>
    <d v="2019-01-05T17:20:00"/>
    <n v="141249"/>
    <x v="3"/>
    <n v="9640000000000"/>
    <x v="1"/>
    <n v="1"/>
    <n v="149.99"/>
    <n v="97.493499999999997"/>
    <n v="149.99"/>
    <n v="52.496499999999997"/>
    <s v="Inexpensive"/>
  </r>
  <r>
    <d v="2019-01-10T11:20:00"/>
    <n v="141250"/>
    <x v="11"/>
    <n v="6720000000000"/>
    <x v="0"/>
    <n v="1"/>
    <n v="400"/>
    <n v="132"/>
    <n v="400"/>
    <n v="268"/>
    <s v="Inexpensive"/>
  </r>
  <r>
    <d v="2019-01-24T08:13:00"/>
    <n v="141251"/>
    <x v="8"/>
    <n v="2700000000000"/>
    <x v="1"/>
    <n v="1"/>
    <n v="150"/>
    <n v="97.5"/>
    <n v="150"/>
    <n v="52.5"/>
    <s v="Inexpensive"/>
  </r>
  <r>
    <d v="2019-01-30T09:28:00"/>
    <n v="141252"/>
    <x v="6"/>
    <n v="3690000000000"/>
    <x v="1"/>
    <n v="1"/>
    <n v="11.95"/>
    <n v="5.9749999999999996"/>
    <n v="11.95"/>
    <n v="5.9749999999999996"/>
    <s v="Inexpensive"/>
  </r>
  <r>
    <d v="2019-01-17T00:09:00"/>
    <n v="141253"/>
    <x v="12"/>
    <n v="6740000000000"/>
    <x v="1"/>
    <n v="1"/>
    <n v="3.84"/>
    <n v="1.92"/>
    <n v="3.84"/>
    <n v="1.92"/>
    <s v="Inexpensive"/>
  </r>
  <r>
    <d v="2019-01-08T11:51:00"/>
    <n v="141254"/>
    <x v="4"/>
    <n v="8220000000000"/>
    <x v="0"/>
    <n v="1"/>
    <n v="2.99"/>
    <n v="1.4950000000000001"/>
    <n v="2.99"/>
    <n v="1.4950000000000001"/>
    <s v="Inexpensive"/>
  </r>
  <r>
    <d v="2019-01-09T20:55:00"/>
    <n v="141255"/>
    <x v="6"/>
    <n v="7740000000000"/>
    <x v="2"/>
    <n v="1"/>
    <n v="11.95"/>
    <n v="5.9749999999999996"/>
    <n v="11.95"/>
    <n v="5.9749999999999996"/>
    <s v="Inexpensive"/>
  </r>
  <r>
    <d v="2019-01-29T10:40:00"/>
    <n v="141256"/>
    <x v="13"/>
    <n v="3690000000000"/>
    <x v="1"/>
    <n v="1"/>
    <n v="600"/>
    <n v="198"/>
    <n v="600"/>
    <n v="402"/>
    <s v="Inexpensive"/>
  </r>
  <r>
    <d v="2019-01-12T18:51:00"/>
    <n v="141257"/>
    <x v="8"/>
    <n v="8590000000000"/>
    <x v="2"/>
    <n v="1"/>
    <n v="150"/>
    <n v="97.5"/>
    <n v="150"/>
    <n v="52.5"/>
    <s v="Inexpensive"/>
  </r>
  <r>
    <d v="2019-01-19T21:47:00"/>
    <n v="141258"/>
    <x v="12"/>
    <n v="5050000000000"/>
    <x v="2"/>
    <n v="1"/>
    <n v="3.84"/>
    <n v="1.92"/>
    <n v="3.84"/>
    <n v="1.92"/>
    <s v="Inexpensive"/>
  </r>
  <r>
    <d v="2019-01-20T17:26:00"/>
    <n v="141259"/>
    <x v="4"/>
    <n v="8110000000000"/>
    <x v="1"/>
    <n v="2"/>
    <n v="2.99"/>
    <n v="1.4950000000000001"/>
    <n v="5.98"/>
    <n v="2.99"/>
    <s v="Inexpensive"/>
  </r>
  <r>
    <d v="2019-01-01T22:00:00"/>
    <n v="141260"/>
    <x v="4"/>
    <n v="9690000000000"/>
    <x v="2"/>
    <n v="1"/>
    <n v="2.99"/>
    <n v="1.4950000000000001"/>
    <n v="2.99"/>
    <n v="1.4950000000000001"/>
    <s v="Inexpensive"/>
  </r>
  <r>
    <d v="2019-01-09T18:14:00"/>
    <n v="141261"/>
    <x v="6"/>
    <n v="3830000000000"/>
    <x v="0"/>
    <n v="1"/>
    <n v="11.95"/>
    <n v="5.9749999999999996"/>
    <n v="11.95"/>
    <n v="5.9749999999999996"/>
    <s v="Inexpensive"/>
  </r>
  <r>
    <d v="2019-01-16T12:35:00"/>
    <n v="141262"/>
    <x v="4"/>
    <n v="2890000000000"/>
    <x v="0"/>
    <n v="1"/>
    <n v="2.99"/>
    <n v="1.4950000000000001"/>
    <n v="2.99"/>
    <n v="1.4950000000000001"/>
    <s v="Inexpensive"/>
  </r>
  <r>
    <d v="2019-01-11T23:33:00"/>
    <n v="141263"/>
    <x v="7"/>
    <n v="3420000000000"/>
    <x v="0"/>
    <n v="1"/>
    <n v="99.99"/>
    <n v="49.994999999999997"/>
    <n v="99.99"/>
    <n v="49.994999999999997"/>
    <s v="Inexpensive"/>
  </r>
  <r>
    <d v="2019-01-03T09:46:00"/>
    <n v="141264"/>
    <x v="8"/>
    <n v="8600000000000"/>
    <x v="0"/>
    <n v="1"/>
    <n v="150"/>
    <n v="97.5"/>
    <n v="150"/>
    <n v="52.5"/>
    <s v="Inexpensive"/>
  </r>
  <r>
    <d v="2019-01-01T16:52:00"/>
    <n v="141265"/>
    <x v="8"/>
    <n v="8200000000000"/>
    <x v="1"/>
    <n v="1"/>
    <n v="150"/>
    <n v="97.5"/>
    <n v="150"/>
    <n v="52.5"/>
    <s v="Inexpensive"/>
  </r>
  <r>
    <d v="2019-01-02T22:21:00"/>
    <n v="141266"/>
    <x v="5"/>
    <n v="5420000000000"/>
    <x v="1"/>
    <n v="1"/>
    <n v="389.99"/>
    <n v="128.69669999999999"/>
    <n v="389.99"/>
    <n v="261.29329999999999"/>
    <s v="Inexpensive"/>
  </r>
  <r>
    <d v="2019-01-09T08:28:00"/>
    <n v="141267"/>
    <x v="8"/>
    <n v="4260000000000"/>
    <x v="2"/>
    <n v="1"/>
    <n v="150"/>
    <n v="97.5"/>
    <n v="150"/>
    <n v="52.5"/>
    <s v="Inexpensive"/>
  </r>
  <r>
    <d v="2019-01-14T10:13:00"/>
    <n v="141268"/>
    <x v="12"/>
    <n v="7300000000000"/>
    <x v="0"/>
    <n v="1"/>
    <n v="3.84"/>
    <n v="1.92"/>
    <n v="3.84"/>
    <n v="1.92"/>
    <s v="Inexpensive"/>
  </r>
  <r>
    <d v="2019-01-03T20:05:00"/>
    <n v="141269"/>
    <x v="5"/>
    <n v="9310000000000"/>
    <x v="2"/>
    <n v="1"/>
    <n v="389.99"/>
    <n v="128.69669999999999"/>
    <n v="389.99"/>
    <n v="261.29329999999999"/>
    <s v="Inexpensive"/>
  </r>
  <r>
    <d v="2019-01-27T23:10:00"/>
    <n v="141270"/>
    <x v="2"/>
    <n v="2490000000000"/>
    <x v="0"/>
    <n v="1"/>
    <n v="11.99"/>
    <n v="5.9950000000000001"/>
    <n v="11.99"/>
    <n v="5.9950000000000001"/>
    <s v="Inexpensive"/>
  </r>
  <r>
    <d v="2019-01-30T10:51:00"/>
    <n v="141271"/>
    <x v="6"/>
    <n v="9010000000000"/>
    <x v="1"/>
    <n v="1"/>
    <n v="11.95"/>
    <n v="5.9749999999999996"/>
    <n v="11.95"/>
    <n v="5.9749999999999996"/>
    <s v="Inexpensive"/>
  </r>
  <r>
    <d v="2019-01-12T13:09:00"/>
    <n v="141272"/>
    <x v="4"/>
    <n v="6610000000000"/>
    <x v="1"/>
    <n v="1"/>
    <n v="2.99"/>
    <n v="1.4950000000000001"/>
    <n v="2.99"/>
    <n v="1.4950000000000001"/>
    <s v="Inexpensive"/>
  </r>
  <r>
    <d v="2019-01-29T12:04:00"/>
    <n v="141273"/>
    <x v="2"/>
    <n v="2010000000000"/>
    <x v="1"/>
    <n v="2"/>
    <n v="11.99"/>
    <n v="5.9950000000000001"/>
    <n v="23.98"/>
    <n v="11.99"/>
    <s v="Inexpensive"/>
  </r>
  <r>
    <d v="2019-01-17T11:30:00"/>
    <n v="141274"/>
    <x v="6"/>
    <n v="2460000000000"/>
    <x v="2"/>
    <n v="1"/>
    <n v="11.95"/>
    <n v="5.9749999999999996"/>
    <n v="11.95"/>
    <n v="5.9749999999999996"/>
    <s v="Inexpensive"/>
  </r>
  <r>
    <d v="2019-01-07T16:06:00"/>
    <n v="141275"/>
    <x v="6"/>
    <n v="6810000000000"/>
    <x v="0"/>
    <n v="1"/>
    <n v="11.95"/>
    <n v="5.9749999999999996"/>
    <n v="11.95"/>
    <n v="5.9749999999999996"/>
    <s v="Inexpensive"/>
  </r>
  <r>
    <d v="2019-01-07T16:06:00"/>
    <n v="141275"/>
    <x v="2"/>
    <n v="5760000000000"/>
    <x v="2"/>
    <n v="1"/>
    <n v="11.99"/>
    <n v="5.9950000000000001"/>
    <n v="11.99"/>
    <n v="5.9950000000000001"/>
    <s v="Inexpensive"/>
  </r>
  <r>
    <d v="2019-01-21T22:23:00"/>
    <n v="141276"/>
    <x v="1"/>
    <n v="4440000000000"/>
    <x v="1"/>
    <n v="1"/>
    <n v="14.95"/>
    <n v="7.4749999999999996"/>
    <n v="14.95"/>
    <n v="7.4749999999999996"/>
    <s v="Inexpensive"/>
  </r>
  <r>
    <d v="2019-01-13T19:07:00"/>
    <n v="141277"/>
    <x v="7"/>
    <n v="7020000000000"/>
    <x v="1"/>
    <n v="1"/>
    <n v="99.99"/>
    <n v="49.994999999999997"/>
    <n v="99.99"/>
    <n v="49.994999999999997"/>
    <s v="Inexpensive"/>
  </r>
  <r>
    <d v="2019-01-26T12:14:00"/>
    <n v="141278"/>
    <x v="1"/>
    <n v="3950000000000"/>
    <x v="2"/>
    <n v="1"/>
    <n v="14.95"/>
    <n v="7.4749999999999996"/>
    <n v="14.95"/>
    <n v="7.4749999999999996"/>
    <s v="Inexpensive"/>
  </r>
  <r>
    <d v="2019-01-03T19:10:00"/>
    <n v="141279"/>
    <x v="1"/>
    <n v="2250000000000"/>
    <x v="0"/>
    <n v="1"/>
    <n v="14.95"/>
    <n v="7.4749999999999996"/>
    <n v="14.95"/>
    <n v="7.4749999999999996"/>
    <s v="Inexpensive"/>
  </r>
  <r>
    <d v="2019-01-20T16:10:00"/>
    <n v="141280"/>
    <x v="4"/>
    <n v="6970000000000"/>
    <x v="2"/>
    <n v="1"/>
    <n v="2.99"/>
    <n v="1.4950000000000001"/>
    <n v="2.99"/>
    <n v="1.4950000000000001"/>
    <s v="Inexpensive"/>
  </r>
  <r>
    <d v="2019-01-05T16:51:00"/>
    <n v="141281"/>
    <x v="1"/>
    <n v="8250000000000"/>
    <x v="1"/>
    <n v="1"/>
    <n v="14.95"/>
    <n v="7.4749999999999996"/>
    <n v="14.95"/>
    <n v="7.4749999999999996"/>
    <s v="Inexpensive"/>
  </r>
  <r>
    <d v="2019-01-11T18:10:00"/>
    <n v="141282"/>
    <x v="11"/>
    <n v="7520000000000"/>
    <x v="1"/>
    <n v="1"/>
    <n v="400"/>
    <n v="132"/>
    <n v="400"/>
    <n v="268"/>
    <s v="Inexpensive"/>
  </r>
  <r>
    <d v="2019-01-02T16:16:00"/>
    <n v="141283"/>
    <x v="10"/>
    <n v="8630000000000"/>
    <x v="2"/>
    <n v="1"/>
    <n v="300"/>
    <n v="99"/>
    <n v="300"/>
    <n v="201"/>
    <s v="Inexpensive"/>
  </r>
  <r>
    <d v="2019-01-29T18:30:00"/>
    <n v="141284"/>
    <x v="2"/>
    <n v="8510000000000"/>
    <x v="0"/>
    <n v="1"/>
    <n v="11.99"/>
    <n v="5.9950000000000001"/>
    <n v="11.99"/>
    <n v="5.9950000000000001"/>
    <s v="Inexpensive"/>
  </r>
  <r>
    <d v="2019-01-14T14:13:00"/>
    <n v="141285"/>
    <x v="4"/>
    <n v="2480000000000"/>
    <x v="0"/>
    <n v="3"/>
    <n v="2.99"/>
    <n v="1.4950000000000001"/>
    <n v="8.9700000000000006"/>
    <n v="4.4850000000000003"/>
    <s v="Inexpensive"/>
  </r>
  <r>
    <d v="2019-01-02T20:33:00"/>
    <n v="141286"/>
    <x v="5"/>
    <n v="3430000000000"/>
    <x v="0"/>
    <n v="1"/>
    <n v="389.99"/>
    <n v="128.69669999999999"/>
    <n v="389.99"/>
    <n v="261.29329999999999"/>
    <s v="Inexpensive"/>
  </r>
  <r>
    <d v="2019-01-31T08:38:00"/>
    <n v="141287"/>
    <x v="7"/>
    <n v="8930000000000"/>
    <x v="2"/>
    <n v="1"/>
    <n v="99.99"/>
    <n v="49.994999999999997"/>
    <n v="99.99"/>
    <n v="49.994999999999997"/>
    <s v="Inexpensive"/>
  </r>
  <r>
    <d v="2019-01-19T08:17:00"/>
    <n v="141288"/>
    <x v="9"/>
    <n v="3960000000000"/>
    <x v="2"/>
    <n v="1"/>
    <n v="1700"/>
    <n v="561"/>
    <n v="1700"/>
    <n v="1139"/>
    <s v="Expensive"/>
  </r>
  <r>
    <d v="2019-01-28T11:17:00"/>
    <n v="141289"/>
    <x v="14"/>
    <n v="1330000000000"/>
    <x v="1"/>
    <n v="1"/>
    <n v="109.99"/>
    <n v="71.493499999999997"/>
    <n v="109.99"/>
    <n v="38.496499999999997"/>
    <s v="Inexpensive"/>
  </r>
  <r>
    <d v="2019-01-02T08:25:00"/>
    <n v="141290"/>
    <x v="12"/>
    <n v="5540000000000"/>
    <x v="1"/>
    <n v="3"/>
    <n v="3.84"/>
    <n v="1.92"/>
    <n v="11.52"/>
    <n v="5.76"/>
    <s v="Inexpensive"/>
  </r>
  <r>
    <d v="2019-01-02T08:25:00"/>
    <n v="141290"/>
    <x v="8"/>
    <n v="9390000000000"/>
    <x v="0"/>
    <n v="1"/>
    <n v="150"/>
    <n v="97.5"/>
    <n v="150"/>
    <n v="52.5"/>
    <s v="Inexpensive"/>
  </r>
  <r>
    <d v="2019-01-26T18:11:00"/>
    <n v="141291"/>
    <x v="12"/>
    <n v="9990000000000"/>
    <x v="2"/>
    <n v="1"/>
    <n v="3.84"/>
    <n v="1.92"/>
    <n v="3.84"/>
    <n v="1.92"/>
    <s v="Inexpensive"/>
  </r>
  <r>
    <d v="2019-01-21T08:46:00"/>
    <n v="141292"/>
    <x v="4"/>
    <n v="4810000000000"/>
    <x v="1"/>
    <n v="1"/>
    <n v="2.99"/>
    <n v="1.4950000000000001"/>
    <n v="2.99"/>
    <n v="1.4950000000000001"/>
    <s v="Inexpensive"/>
  </r>
  <r>
    <d v="2019-01-18T12:21:00"/>
    <n v="141293"/>
    <x v="6"/>
    <n v="3600000000000"/>
    <x v="1"/>
    <n v="1"/>
    <n v="11.95"/>
    <n v="5.9749999999999996"/>
    <n v="11.95"/>
    <n v="5.9749999999999996"/>
    <s v="Inexpensive"/>
  </r>
  <r>
    <d v="2019-01-25T08:12:00"/>
    <n v="141294"/>
    <x v="7"/>
    <n v="4880000000000"/>
    <x v="0"/>
    <n v="1"/>
    <n v="99.99"/>
    <n v="49.994999999999997"/>
    <n v="99.99"/>
    <n v="49.994999999999997"/>
    <s v="Inexpensive"/>
  </r>
  <r>
    <d v="2019-01-06T20:06:00"/>
    <n v="141295"/>
    <x v="12"/>
    <n v="1280000000000"/>
    <x v="0"/>
    <n v="1"/>
    <n v="3.84"/>
    <n v="1.92"/>
    <n v="3.84"/>
    <n v="1.92"/>
    <s v="Inexpensive"/>
  </r>
  <r>
    <d v="2019-01-20T00:21:00"/>
    <n v="141296"/>
    <x v="6"/>
    <n v="9560000000000"/>
    <x v="2"/>
    <n v="1"/>
    <n v="11.95"/>
    <n v="5.9749999999999996"/>
    <n v="11.95"/>
    <n v="5.9749999999999996"/>
    <s v="Inexpensive"/>
  </r>
  <r>
    <d v="2019-01-04T11:09:00"/>
    <n v="141297"/>
    <x v="1"/>
    <n v="3240000000000"/>
    <x v="2"/>
    <n v="1"/>
    <n v="14.95"/>
    <n v="7.4749999999999996"/>
    <n v="14.95"/>
    <n v="7.4749999999999996"/>
    <s v="Inexpensive"/>
  </r>
  <r>
    <d v="2019-01-21T13:24:00"/>
    <n v="141298"/>
    <x v="1"/>
    <n v="3940000000000"/>
    <x v="0"/>
    <n v="1"/>
    <n v="14.95"/>
    <n v="7.4749999999999996"/>
    <n v="14.95"/>
    <n v="7.4749999999999996"/>
    <s v="Inexpensive"/>
  </r>
  <r>
    <d v="2019-01-31T23:23:00"/>
    <n v="141299"/>
    <x v="4"/>
    <n v="3020000000000"/>
    <x v="2"/>
    <n v="1"/>
    <n v="2.99"/>
    <n v="1.4950000000000001"/>
    <n v="2.99"/>
    <n v="1.4950000000000001"/>
    <s v="Inexpensive"/>
  </r>
  <r>
    <d v="2019-01-23T10:21:00"/>
    <n v="141300"/>
    <x v="8"/>
    <n v="8900000000000"/>
    <x v="1"/>
    <n v="1"/>
    <n v="150"/>
    <n v="97.5"/>
    <n v="150"/>
    <n v="52.5"/>
    <s v="Inexpensive"/>
  </r>
  <r>
    <d v="2019-01-27T11:58:00"/>
    <n v="141301"/>
    <x v="8"/>
    <n v="8600000000000"/>
    <x v="2"/>
    <n v="1"/>
    <n v="150"/>
    <n v="97.5"/>
    <n v="150"/>
    <n v="52.5"/>
    <s v="Inexpensive"/>
  </r>
  <r>
    <d v="2019-01-18T20:12:00"/>
    <n v="141302"/>
    <x v="4"/>
    <n v="5740000000000"/>
    <x v="0"/>
    <n v="2"/>
    <n v="2.99"/>
    <n v="1.4950000000000001"/>
    <n v="5.98"/>
    <n v="2.99"/>
    <s v="Inexpensive"/>
  </r>
  <r>
    <d v="2019-01-19T09:23:00"/>
    <n v="141303"/>
    <x v="12"/>
    <n v="3990000000000"/>
    <x v="1"/>
    <n v="1"/>
    <n v="3.84"/>
    <n v="1.92"/>
    <n v="3.84"/>
    <n v="1.92"/>
    <s v="Inexpensive"/>
  </r>
  <r>
    <d v="2019-01-28T13:10:00"/>
    <n v="141304"/>
    <x v="6"/>
    <n v="2800000000000"/>
    <x v="0"/>
    <n v="1"/>
    <n v="11.95"/>
    <n v="5.9749999999999996"/>
    <n v="11.95"/>
    <n v="5.9749999999999996"/>
    <s v="Inexpensive"/>
  </r>
  <r>
    <d v="2019-01-27T16:51:00"/>
    <n v="141305"/>
    <x v="4"/>
    <n v="9990000000000"/>
    <x v="1"/>
    <n v="3"/>
    <n v="2.99"/>
    <n v="1.4950000000000001"/>
    <n v="8.9700000000000006"/>
    <n v="4.4850000000000003"/>
    <s v="Inexpensive"/>
  </r>
  <r>
    <d v="2019-01-19T10:25:00"/>
    <n v="141306"/>
    <x v="2"/>
    <n v="1740000000000"/>
    <x v="1"/>
    <n v="1"/>
    <n v="11.99"/>
    <n v="5.9950000000000001"/>
    <n v="11.99"/>
    <n v="5.9950000000000001"/>
    <s v="Inexpensive"/>
  </r>
  <r>
    <d v="2019-01-11T11:18:00"/>
    <n v="141307"/>
    <x v="4"/>
    <n v="3740000000000"/>
    <x v="2"/>
    <n v="1"/>
    <n v="2.99"/>
    <n v="1.4950000000000001"/>
    <n v="2.99"/>
    <n v="1.4950000000000001"/>
    <s v="Inexpensive"/>
  </r>
  <r>
    <d v="2019-01-12T12:00:00"/>
    <n v="141308"/>
    <x v="3"/>
    <n v="2440000000000"/>
    <x v="2"/>
    <n v="1"/>
    <n v="149.99"/>
    <n v="97.493499999999997"/>
    <n v="149.99"/>
    <n v="52.496499999999997"/>
    <s v="Inexpensive"/>
  </r>
  <r>
    <d v="2019-01-20T07:02:00"/>
    <n v="141309"/>
    <x v="4"/>
    <n v="3790000000000"/>
    <x v="0"/>
    <n v="2"/>
    <n v="2.99"/>
    <n v="1.4950000000000001"/>
    <n v="5.98"/>
    <n v="2.99"/>
    <s v="Inexpensive"/>
  </r>
  <r>
    <d v="2019-01-07T13:32:00"/>
    <n v="141310"/>
    <x v="4"/>
    <n v="3670000000000"/>
    <x v="1"/>
    <n v="1"/>
    <n v="2.99"/>
    <n v="1.4950000000000001"/>
    <n v="2.99"/>
    <n v="1.4950000000000001"/>
    <s v="Inexpensive"/>
  </r>
  <r>
    <d v="2019-01-28T12:45:00"/>
    <n v="141311"/>
    <x v="15"/>
    <n v="8130000000000"/>
    <x v="0"/>
    <n v="1"/>
    <n v="379.99"/>
    <n v="125.3967"/>
    <n v="379.99"/>
    <n v="254.5933"/>
    <s v="Inexpensive"/>
  </r>
  <r>
    <d v="2019-01-08T23:20:00"/>
    <n v="141312"/>
    <x v="8"/>
    <n v="7810000000000"/>
    <x v="0"/>
    <n v="1"/>
    <n v="150"/>
    <n v="97.5"/>
    <n v="150"/>
    <n v="52.5"/>
    <s v="Inexpensive"/>
  </r>
  <r>
    <d v="2019-01-09T15:03:00"/>
    <n v="141313"/>
    <x v="1"/>
    <n v="8870000000000"/>
    <x v="1"/>
    <n v="1"/>
    <n v="14.95"/>
    <n v="7.4749999999999996"/>
    <n v="14.95"/>
    <n v="7.4749999999999996"/>
    <s v="Inexpensive"/>
  </r>
  <r>
    <d v="2019-01-13T23:51:00"/>
    <n v="141314"/>
    <x v="9"/>
    <n v="2890000000000"/>
    <x v="0"/>
    <n v="1"/>
    <n v="1700"/>
    <n v="561"/>
    <n v="1700"/>
    <n v="1139"/>
    <s v="Expensive"/>
  </r>
  <r>
    <d v="2019-01-10T01:32:00"/>
    <n v="141315"/>
    <x v="6"/>
    <n v="2000000000000"/>
    <x v="1"/>
    <n v="1"/>
    <n v="11.95"/>
    <n v="5.9749999999999996"/>
    <n v="11.95"/>
    <n v="5.9749999999999996"/>
    <s v="Inexpensive"/>
  </r>
  <r>
    <d v="2019-01-01T07:26:00"/>
    <n v="141316"/>
    <x v="4"/>
    <n v="8400000000000"/>
    <x v="2"/>
    <n v="3"/>
    <n v="2.99"/>
    <n v="1.4950000000000001"/>
    <n v="8.9700000000000006"/>
    <n v="4.4850000000000003"/>
    <s v="Inexpensive"/>
  </r>
  <r>
    <d v="2019-01-21T11:18:00"/>
    <n v="141317"/>
    <x v="3"/>
    <n v="9570000000000"/>
    <x v="0"/>
    <n v="1"/>
    <n v="149.99"/>
    <n v="97.493499999999997"/>
    <n v="149.99"/>
    <n v="52.496499999999997"/>
    <s v="Inexpensive"/>
  </r>
  <r>
    <d v="2019-01-09T15:21:00"/>
    <n v="141318"/>
    <x v="7"/>
    <n v="9190000000000"/>
    <x v="1"/>
    <n v="1"/>
    <n v="99.99"/>
    <n v="49.994999999999997"/>
    <n v="99.99"/>
    <n v="49.994999999999997"/>
    <s v="Inexpensive"/>
  </r>
  <r>
    <d v="2019-01-01T10:43:00"/>
    <n v="141319"/>
    <x v="7"/>
    <n v="7330000000000"/>
    <x v="2"/>
    <n v="1"/>
    <n v="99.99"/>
    <n v="49.994999999999997"/>
    <n v="99.99"/>
    <n v="49.994999999999997"/>
    <s v="Inexpensive"/>
  </r>
  <r>
    <d v="2019-01-24T13:37:00"/>
    <n v="141320"/>
    <x v="12"/>
    <n v="4370000000000"/>
    <x v="2"/>
    <n v="1"/>
    <n v="3.84"/>
    <n v="1.92"/>
    <n v="3.84"/>
    <n v="1.92"/>
    <s v="Inexpensive"/>
  </r>
  <r>
    <d v="2019-01-10T09:07:00"/>
    <n v="141321"/>
    <x v="7"/>
    <n v="4230000000000"/>
    <x v="0"/>
    <n v="1"/>
    <n v="99.99"/>
    <n v="49.994999999999997"/>
    <n v="99.99"/>
    <n v="49.994999999999997"/>
    <s v="Inexpensive"/>
  </r>
  <r>
    <d v="2019-01-12T21:56:00"/>
    <n v="141322"/>
    <x v="4"/>
    <n v="6640000000000"/>
    <x v="0"/>
    <n v="2"/>
    <n v="2.99"/>
    <n v="1.4950000000000001"/>
    <n v="5.98"/>
    <n v="2.99"/>
    <s v="Inexpensive"/>
  </r>
  <r>
    <d v="2019-01-17T21:54:00"/>
    <n v="141323"/>
    <x v="6"/>
    <n v="7510000000000"/>
    <x v="2"/>
    <n v="1"/>
    <n v="11.95"/>
    <n v="5.9749999999999996"/>
    <n v="11.95"/>
    <n v="5.9749999999999996"/>
    <s v="Inexpensive"/>
  </r>
  <r>
    <d v="2019-01-04T23:36:00"/>
    <n v="141324"/>
    <x v="6"/>
    <n v="3940000000000"/>
    <x v="0"/>
    <n v="1"/>
    <n v="11.95"/>
    <n v="5.9749999999999996"/>
    <n v="11.95"/>
    <n v="5.9749999999999996"/>
    <s v="Inexpensive"/>
  </r>
  <r>
    <d v="2019-01-23T15:17:00"/>
    <n v="141325"/>
    <x v="7"/>
    <n v="9430000000000"/>
    <x v="1"/>
    <n v="1"/>
    <n v="99.99"/>
    <n v="49.994999999999997"/>
    <n v="99.99"/>
    <n v="49.994999999999997"/>
    <s v="Inexpensive"/>
  </r>
  <r>
    <d v="2019-01-05T13:49:00"/>
    <n v="141326"/>
    <x v="13"/>
    <n v="4600000000000"/>
    <x v="2"/>
    <n v="1"/>
    <n v="600"/>
    <n v="198"/>
    <n v="600"/>
    <n v="402"/>
    <s v="Inexpensive"/>
  </r>
  <r>
    <d v="2019-01-31T01:38:00"/>
    <n v="141327"/>
    <x v="6"/>
    <n v="1620000000000"/>
    <x v="1"/>
    <n v="1"/>
    <n v="11.95"/>
    <n v="5.9749999999999996"/>
    <n v="11.95"/>
    <n v="5.9749999999999996"/>
    <s v="Inexpensive"/>
  </r>
  <r>
    <d v="2019-01-06T23:18:00"/>
    <n v="141328"/>
    <x v="16"/>
    <n v="3340000000000"/>
    <x v="0"/>
    <n v="1"/>
    <n v="999.99"/>
    <n v="329.99669999999998"/>
    <n v="999.99"/>
    <n v="669.99329999999998"/>
    <s v="Expensive"/>
  </r>
  <r>
    <d v="2019-01-01T16:01:00"/>
    <n v="141329"/>
    <x v="6"/>
    <n v="6760000000000"/>
    <x v="2"/>
    <n v="1"/>
    <n v="11.95"/>
    <n v="5.9749999999999996"/>
    <n v="11.95"/>
    <n v="5.9749999999999996"/>
    <s v="Inexpensive"/>
  </r>
  <r>
    <d v="2019-01-21T13:04:00"/>
    <n v="141330"/>
    <x v="2"/>
    <n v="5150000000000"/>
    <x v="2"/>
    <n v="1"/>
    <n v="11.99"/>
    <n v="5.9950000000000001"/>
    <n v="11.99"/>
    <n v="5.9950000000000001"/>
    <s v="Inexpensive"/>
  </r>
  <r>
    <d v="2019-01-09T18:32:00"/>
    <n v="141331"/>
    <x v="10"/>
    <n v="7570000000000"/>
    <x v="0"/>
    <n v="1"/>
    <n v="300"/>
    <n v="99"/>
    <n v="300"/>
    <n v="201"/>
    <s v="Inexpensive"/>
  </r>
  <r>
    <d v="2019-01-19T18:52:00"/>
    <n v="141332"/>
    <x v="6"/>
    <n v="9770000000000"/>
    <x v="0"/>
    <n v="1"/>
    <n v="11.95"/>
    <n v="5.9749999999999996"/>
    <n v="11.95"/>
    <n v="5.9749999999999996"/>
    <s v="Inexpensive"/>
  </r>
  <r>
    <d v="2019-01-01T13:58:00"/>
    <n v="141333"/>
    <x v="3"/>
    <n v="5740000000000"/>
    <x v="1"/>
    <n v="1"/>
    <n v="149.99"/>
    <n v="97.493499999999997"/>
    <n v="149.99"/>
    <n v="52.496499999999997"/>
    <s v="Inexpensive"/>
  </r>
  <r>
    <d v="2019-01-15T02:05:00"/>
    <n v="141334"/>
    <x v="6"/>
    <n v="2070000000000"/>
    <x v="1"/>
    <n v="1"/>
    <n v="11.95"/>
    <n v="5.9749999999999996"/>
    <n v="11.95"/>
    <n v="5.9749999999999996"/>
    <s v="Inexpensive"/>
  </r>
  <r>
    <d v="2019-01-12T18:16:00"/>
    <n v="141335"/>
    <x v="4"/>
    <n v="2060000000000"/>
    <x v="1"/>
    <n v="5"/>
    <n v="2.99"/>
    <n v="1.4950000000000001"/>
    <n v="14.95"/>
    <n v="7.4749999999999996"/>
    <s v="Inexpensive"/>
  </r>
  <r>
    <d v="2019-01-09T18:23:00"/>
    <n v="141336"/>
    <x v="0"/>
    <n v="2450000000000"/>
    <x v="1"/>
    <n v="1"/>
    <n v="700"/>
    <n v="231"/>
    <n v="700"/>
    <n v="469"/>
    <s v="Expensive"/>
  </r>
  <r>
    <d v="2019-01-09T09:22:00"/>
    <n v="141337"/>
    <x v="7"/>
    <n v="5500000000000"/>
    <x v="2"/>
    <n v="1"/>
    <n v="99.99"/>
    <n v="49.994999999999997"/>
    <n v="99.99"/>
    <n v="49.994999999999997"/>
    <s v="Inexpensive"/>
  </r>
  <r>
    <d v="2019-01-29T16:19:00"/>
    <n v="141338"/>
    <x v="4"/>
    <n v="5510000000000"/>
    <x v="2"/>
    <n v="1"/>
    <n v="2.99"/>
    <n v="1.4950000000000001"/>
    <n v="2.99"/>
    <n v="1.4950000000000001"/>
    <s v="Inexpensive"/>
  </r>
  <r>
    <d v="2019-01-28T12:52:00"/>
    <n v="141339"/>
    <x v="4"/>
    <n v="7570000000000"/>
    <x v="0"/>
    <n v="1"/>
    <n v="2.99"/>
    <n v="1.4950000000000001"/>
    <n v="2.99"/>
    <n v="1.4950000000000001"/>
    <s v="Inexpensive"/>
  </r>
  <r>
    <d v="2019-01-27T14:30:00"/>
    <n v="141340"/>
    <x v="1"/>
    <n v="2450000000000"/>
    <x v="2"/>
    <n v="1"/>
    <n v="14.95"/>
    <n v="7.4749999999999996"/>
    <n v="14.95"/>
    <n v="7.4749999999999996"/>
    <s v="Inexpensive"/>
  </r>
  <r>
    <d v="2019-01-13T10:09:00"/>
    <n v="141341"/>
    <x v="17"/>
    <n v="3690000000000"/>
    <x v="2"/>
    <n v="1"/>
    <n v="600"/>
    <n v="198"/>
    <n v="600"/>
    <n v="402"/>
    <s v="Inexpensive"/>
  </r>
  <r>
    <d v="2019-01-26T21:13:00"/>
    <n v="141342"/>
    <x v="2"/>
    <n v="1960000000000"/>
    <x v="0"/>
    <n v="1"/>
    <n v="11.99"/>
    <n v="5.9950000000000001"/>
    <n v="11.99"/>
    <n v="5.9950000000000001"/>
    <s v="Inexpensive"/>
  </r>
  <r>
    <d v="2019-01-24T13:36:00"/>
    <n v="141343"/>
    <x v="7"/>
    <n v="2160000000000"/>
    <x v="0"/>
    <n v="1"/>
    <n v="99.99"/>
    <n v="49.994999999999997"/>
    <n v="99.99"/>
    <n v="49.994999999999997"/>
    <s v="Inexpensive"/>
  </r>
  <r>
    <d v="2019-01-20T12:38:00"/>
    <n v="141344"/>
    <x v="8"/>
    <n v="2690000000000"/>
    <x v="1"/>
    <n v="1"/>
    <n v="150"/>
    <n v="97.5"/>
    <n v="150"/>
    <n v="52.5"/>
    <s v="Inexpensive"/>
  </r>
  <r>
    <d v="2019-01-09T13:55:00"/>
    <n v="141345"/>
    <x v="6"/>
    <n v="8040000000000"/>
    <x v="2"/>
    <n v="1"/>
    <n v="11.95"/>
    <n v="5.9749999999999996"/>
    <n v="11.95"/>
    <n v="5.9749999999999996"/>
    <s v="Inexpensive"/>
  </r>
  <r>
    <d v="2019-01-14T13:59:00"/>
    <n v="141346"/>
    <x v="8"/>
    <n v="9860000000000"/>
    <x v="2"/>
    <n v="1"/>
    <n v="150"/>
    <n v="97.5"/>
    <n v="150"/>
    <n v="52.5"/>
    <s v="Inexpensive"/>
  </r>
  <r>
    <d v="2019-01-27T17:46:00"/>
    <n v="141347"/>
    <x v="12"/>
    <n v="4290000000000"/>
    <x v="0"/>
    <n v="1"/>
    <n v="3.84"/>
    <n v="1.92"/>
    <n v="3.84"/>
    <n v="1.92"/>
    <s v="Inexpensive"/>
  </r>
  <r>
    <d v="2019-01-26T18:56:00"/>
    <n v="141348"/>
    <x v="6"/>
    <n v="8890000000000"/>
    <x v="0"/>
    <n v="2"/>
    <n v="11.95"/>
    <n v="5.9749999999999996"/>
    <n v="23.9"/>
    <n v="11.95"/>
    <s v="Inexpensive"/>
  </r>
  <r>
    <d v="2019-01-03T20:51:00"/>
    <n v="141349"/>
    <x v="1"/>
    <n v="9860000000000"/>
    <x v="0"/>
    <n v="1"/>
    <n v="14.95"/>
    <n v="7.4749999999999996"/>
    <n v="14.95"/>
    <n v="7.4749999999999996"/>
    <s v="Inexpensive"/>
  </r>
  <r>
    <d v="2019-01-01T11:17:00"/>
    <n v="141350"/>
    <x v="1"/>
    <n v="2900000000000"/>
    <x v="1"/>
    <n v="1"/>
    <n v="14.95"/>
    <n v="7.4749999999999996"/>
    <n v="14.95"/>
    <n v="7.4749999999999996"/>
    <s v="Inexpensive"/>
  </r>
  <r>
    <d v="2019-01-24T17:02:00"/>
    <n v="141351"/>
    <x v="6"/>
    <n v="6830000000000"/>
    <x v="1"/>
    <n v="2"/>
    <n v="11.95"/>
    <n v="5.9749999999999996"/>
    <n v="23.9"/>
    <n v="11.95"/>
    <s v="Inexpensive"/>
  </r>
  <r>
    <d v="2019-01-11T19:07:00"/>
    <n v="141352"/>
    <x v="1"/>
    <n v="2890000000000"/>
    <x v="2"/>
    <n v="1"/>
    <n v="14.95"/>
    <n v="7.4749999999999996"/>
    <n v="14.95"/>
    <n v="7.4749999999999996"/>
    <s v="Inexpensive"/>
  </r>
  <r>
    <d v="2019-01-26T10:35:00"/>
    <n v="141353"/>
    <x v="6"/>
    <n v="7620000000000"/>
    <x v="2"/>
    <n v="1"/>
    <n v="11.95"/>
    <n v="5.9749999999999996"/>
    <n v="11.95"/>
    <n v="5.9749999999999996"/>
    <s v="Inexpensive"/>
  </r>
  <r>
    <d v="2019-01-03T11:12:00"/>
    <n v="141354"/>
    <x v="7"/>
    <n v="1870000000000"/>
    <x v="1"/>
    <n v="1"/>
    <n v="99.99"/>
    <n v="49.994999999999997"/>
    <n v="99.99"/>
    <n v="49.994999999999997"/>
    <s v="Inexpensive"/>
  </r>
  <r>
    <d v="2019-01-18T15:24:00"/>
    <n v="141355"/>
    <x v="5"/>
    <n v="5080000000000"/>
    <x v="1"/>
    <n v="1"/>
    <n v="389.99"/>
    <n v="128.69669999999999"/>
    <n v="389.99"/>
    <n v="261.29329999999999"/>
    <s v="Inexpensive"/>
  </r>
  <r>
    <d v="2019-01-09T17:32:00"/>
    <n v="141356"/>
    <x v="1"/>
    <n v="8730000000000"/>
    <x v="0"/>
    <n v="1"/>
    <n v="14.95"/>
    <n v="7.4749999999999996"/>
    <n v="14.95"/>
    <n v="7.4749999999999996"/>
    <s v="Inexpensive"/>
  </r>
  <r>
    <d v="2019-01-23T05:30:00"/>
    <n v="141357"/>
    <x v="1"/>
    <n v="6860000000000"/>
    <x v="1"/>
    <n v="1"/>
    <n v="14.95"/>
    <n v="7.4749999999999996"/>
    <n v="14.95"/>
    <n v="7.4749999999999996"/>
    <s v="Inexpensive"/>
  </r>
  <r>
    <d v="2019-01-05T15:31:00"/>
    <n v="141358"/>
    <x v="1"/>
    <n v="5900000000000"/>
    <x v="2"/>
    <n v="1"/>
    <n v="14.95"/>
    <n v="7.4749999999999996"/>
    <n v="14.95"/>
    <n v="7.4749999999999996"/>
    <s v="Inexpensive"/>
  </r>
  <r>
    <d v="2019-01-09T22:21:00"/>
    <n v="141359"/>
    <x v="4"/>
    <n v="7190000000000"/>
    <x v="1"/>
    <n v="2"/>
    <n v="2.99"/>
    <n v="1.4950000000000001"/>
    <n v="5.98"/>
    <n v="2.99"/>
    <s v="Inexpensive"/>
  </r>
  <r>
    <d v="2019-01-17T21:00:00"/>
    <n v="141360"/>
    <x v="9"/>
    <n v="4900000000000"/>
    <x v="1"/>
    <n v="1"/>
    <n v="1700"/>
    <n v="561"/>
    <n v="1700"/>
    <n v="1139"/>
    <s v="Expensive"/>
  </r>
  <r>
    <d v="2019-01-23T15:39:00"/>
    <n v="141361"/>
    <x v="8"/>
    <n v="5160000000000"/>
    <x v="0"/>
    <n v="2"/>
    <n v="150"/>
    <n v="97.5"/>
    <n v="300"/>
    <n v="105"/>
    <s v="Inexpensive"/>
  </r>
  <r>
    <d v="2019-01-02T22:17:00"/>
    <n v="141362"/>
    <x v="1"/>
    <n v="5220000000000"/>
    <x v="0"/>
    <n v="1"/>
    <n v="14.95"/>
    <n v="7.4749999999999996"/>
    <n v="14.95"/>
    <n v="7.4749999999999996"/>
    <s v="Inexpensive"/>
  </r>
  <r>
    <d v="2019-01-08T06:24:00"/>
    <n v="141363"/>
    <x v="2"/>
    <n v="1620000000000"/>
    <x v="1"/>
    <n v="1"/>
    <n v="11.99"/>
    <n v="5.9950000000000001"/>
    <n v="11.99"/>
    <n v="5.9950000000000001"/>
    <s v="Inexpensive"/>
  </r>
  <r>
    <d v="2019-01-01T07:46:00"/>
    <n v="141364"/>
    <x v="12"/>
    <n v="6230000000000"/>
    <x v="1"/>
    <n v="1"/>
    <n v="3.84"/>
    <n v="1.92"/>
    <n v="3.84"/>
    <n v="1.92"/>
    <s v="Inexpensive"/>
  </r>
  <r>
    <d v="2019-01-10T11:19:00"/>
    <n v="141365"/>
    <x v="11"/>
    <n v="2980000000000"/>
    <x v="2"/>
    <n v="1"/>
    <n v="400"/>
    <n v="132"/>
    <n v="400"/>
    <n v="268"/>
    <s v="Inexpensive"/>
  </r>
  <r>
    <d v="2019-01-10T11:19:00"/>
    <n v="141365"/>
    <x v="2"/>
    <n v="9340000000000"/>
    <x v="2"/>
    <n v="1"/>
    <n v="11.99"/>
    <n v="5.9950000000000001"/>
    <n v="11.99"/>
    <n v="5.9950000000000001"/>
    <s v="Inexpensive"/>
  </r>
  <r>
    <d v="2019-01-17T22:34:00"/>
    <n v="141366"/>
    <x v="10"/>
    <n v="9420000000000"/>
    <x v="1"/>
    <n v="1"/>
    <n v="300"/>
    <n v="99"/>
    <n v="300"/>
    <n v="201"/>
    <s v="Inexpensive"/>
  </r>
  <r>
    <d v="2019-01-09T10:06:00"/>
    <n v="141367"/>
    <x v="5"/>
    <n v="4640000000000"/>
    <x v="2"/>
    <n v="1"/>
    <n v="389.99"/>
    <n v="128.69669999999999"/>
    <n v="389.99"/>
    <n v="261.29329999999999"/>
    <s v="Inexpensive"/>
  </r>
  <r>
    <d v="2019-01-10T21:39:00"/>
    <n v="141368"/>
    <x v="6"/>
    <n v="9070000000000"/>
    <x v="0"/>
    <n v="1"/>
    <n v="11.95"/>
    <n v="5.9749999999999996"/>
    <n v="11.95"/>
    <n v="5.9749999999999996"/>
    <s v="Inexpensive"/>
  </r>
  <r>
    <d v="2019-01-21T21:03:00"/>
    <n v="141369"/>
    <x v="1"/>
    <n v="4270000000000"/>
    <x v="1"/>
    <n v="1"/>
    <n v="14.95"/>
    <n v="7.4749999999999996"/>
    <n v="14.95"/>
    <n v="7.4749999999999996"/>
    <s v="Inexpensive"/>
  </r>
  <r>
    <d v="2019-01-24T20:53:00"/>
    <n v="141370"/>
    <x v="4"/>
    <n v="4730000000000"/>
    <x v="2"/>
    <n v="2"/>
    <n v="2.99"/>
    <n v="1.4950000000000001"/>
    <n v="5.98"/>
    <n v="2.99"/>
    <s v="Inexpensive"/>
  </r>
  <r>
    <d v="2019-01-23T18:34:00"/>
    <n v="141371"/>
    <x v="1"/>
    <n v="6810000000000"/>
    <x v="2"/>
    <n v="1"/>
    <n v="14.95"/>
    <n v="7.4749999999999996"/>
    <n v="14.95"/>
    <n v="7.4749999999999996"/>
    <s v="Inexpensive"/>
  </r>
  <r>
    <d v="2019-01-26T10:07:00"/>
    <n v="141372"/>
    <x v="4"/>
    <n v="9230000000000"/>
    <x v="0"/>
    <n v="1"/>
    <n v="2.99"/>
    <n v="1.4950000000000001"/>
    <n v="2.99"/>
    <n v="1.4950000000000001"/>
    <s v="Inexpensive"/>
  </r>
  <r>
    <d v="2019-01-20T13:08:00"/>
    <n v="141373"/>
    <x v="3"/>
    <n v="6960000000000"/>
    <x v="2"/>
    <n v="1"/>
    <n v="149.99"/>
    <n v="97.493499999999997"/>
    <n v="149.99"/>
    <n v="52.496499999999997"/>
    <s v="Inexpensive"/>
  </r>
  <r>
    <d v="2019-01-14T10:12:00"/>
    <n v="141374"/>
    <x v="2"/>
    <n v="5590000000000"/>
    <x v="0"/>
    <n v="1"/>
    <n v="11.99"/>
    <n v="5.9950000000000001"/>
    <n v="11.99"/>
    <n v="5.9950000000000001"/>
    <s v="Inexpensive"/>
  </r>
  <r>
    <d v="2019-01-10T13:51:00"/>
    <n v="141375"/>
    <x v="5"/>
    <n v="8170000000000"/>
    <x v="0"/>
    <n v="1"/>
    <n v="389.99"/>
    <n v="128.69669999999999"/>
    <n v="389.99"/>
    <n v="261.29329999999999"/>
    <s v="Inexpensive"/>
  </r>
  <r>
    <d v="2019-01-20T14:57:00"/>
    <n v="141376"/>
    <x v="2"/>
    <n v="6630000000000"/>
    <x v="1"/>
    <n v="1"/>
    <n v="11.99"/>
    <n v="5.9950000000000001"/>
    <n v="11.99"/>
    <n v="5.9950000000000001"/>
    <s v="Inexpensive"/>
  </r>
  <r>
    <d v="2019-01-20T15:12:00"/>
    <n v="141377"/>
    <x v="2"/>
    <n v="3140000000000"/>
    <x v="2"/>
    <n v="1"/>
    <n v="11.99"/>
    <n v="5.9950000000000001"/>
    <n v="11.99"/>
    <n v="5.9950000000000001"/>
    <s v="Inexpensive"/>
  </r>
  <r>
    <d v="2019-01-22T10:25:00"/>
    <n v="141378"/>
    <x v="6"/>
    <n v="4680000000000"/>
    <x v="1"/>
    <n v="1"/>
    <n v="11.95"/>
    <n v="5.9749999999999996"/>
    <n v="11.95"/>
    <n v="5.9749999999999996"/>
    <s v="Inexpensive"/>
  </r>
  <r>
    <d v="2019-01-25T18:00:00"/>
    <n v="141379"/>
    <x v="12"/>
    <n v="7880000000000"/>
    <x v="2"/>
    <n v="1"/>
    <n v="3.84"/>
    <n v="1.92"/>
    <n v="3.84"/>
    <n v="1.92"/>
    <s v="Inexpensive"/>
  </r>
  <r>
    <d v="2019-01-17T18:45:00"/>
    <n v="141380"/>
    <x v="6"/>
    <n v="5980000000000"/>
    <x v="2"/>
    <n v="1"/>
    <n v="11.95"/>
    <n v="5.9749999999999996"/>
    <n v="11.95"/>
    <n v="5.9749999999999996"/>
    <s v="Inexpensive"/>
  </r>
  <r>
    <d v="2019-01-03T18:22:00"/>
    <n v="141381"/>
    <x v="7"/>
    <n v="2690000000000"/>
    <x v="2"/>
    <n v="1"/>
    <n v="99.99"/>
    <n v="49.994999999999997"/>
    <n v="99.99"/>
    <n v="49.994999999999997"/>
    <s v="Inexpensive"/>
  </r>
  <r>
    <d v="2019-01-16T13:50:00"/>
    <n v="141382"/>
    <x v="4"/>
    <n v="6420000000000"/>
    <x v="1"/>
    <n v="1"/>
    <n v="2.99"/>
    <n v="1.4950000000000001"/>
    <n v="2.99"/>
    <n v="1.4950000000000001"/>
    <s v="Inexpensive"/>
  </r>
  <r>
    <d v="2019-01-08T10:01:00"/>
    <n v="141383"/>
    <x v="4"/>
    <n v="4570000000000"/>
    <x v="2"/>
    <n v="1"/>
    <n v="2.99"/>
    <n v="1.4950000000000001"/>
    <n v="2.99"/>
    <n v="1.4950000000000001"/>
    <s v="Inexpensive"/>
  </r>
  <r>
    <d v="2019-01-03T00:14:00"/>
    <n v="141384"/>
    <x v="13"/>
    <n v="4480000000000"/>
    <x v="0"/>
    <n v="1"/>
    <n v="600"/>
    <n v="198"/>
    <n v="600"/>
    <n v="402"/>
    <s v="Inexpensive"/>
  </r>
  <r>
    <d v="2019-01-03T00:14:00"/>
    <n v="141384"/>
    <x v="6"/>
    <n v="2310000000000"/>
    <x v="0"/>
    <n v="1"/>
    <n v="11.95"/>
    <n v="5.9749999999999996"/>
    <n v="11.95"/>
    <n v="5.9749999999999996"/>
    <s v="Inexpensive"/>
  </r>
  <r>
    <d v="2019-01-10T12:59:00"/>
    <n v="141385"/>
    <x v="9"/>
    <n v="9340000000000"/>
    <x v="2"/>
    <n v="1"/>
    <n v="1700"/>
    <n v="561"/>
    <n v="1700"/>
    <n v="1139"/>
    <s v="Expensive"/>
  </r>
  <r>
    <d v="2019-01-08T19:27:00"/>
    <n v="141386"/>
    <x v="1"/>
    <n v="6560000000000"/>
    <x v="0"/>
    <n v="1"/>
    <n v="14.95"/>
    <n v="7.4749999999999996"/>
    <n v="14.95"/>
    <n v="7.4749999999999996"/>
    <s v="Inexpensive"/>
  </r>
  <r>
    <d v="2019-01-17T11:12:00"/>
    <n v="141387"/>
    <x v="4"/>
    <n v="6170000000000"/>
    <x v="0"/>
    <n v="1"/>
    <n v="2.99"/>
    <n v="1.4950000000000001"/>
    <n v="2.99"/>
    <n v="1.4950000000000001"/>
    <s v="Inexpensive"/>
  </r>
  <r>
    <d v="2019-01-22T10:53:00"/>
    <n v="141388"/>
    <x v="1"/>
    <n v="8900000000000"/>
    <x v="1"/>
    <n v="1"/>
    <n v="14.95"/>
    <n v="7.4749999999999996"/>
    <n v="14.95"/>
    <n v="7.4749999999999996"/>
    <s v="Inexpensive"/>
  </r>
  <r>
    <d v="2019-01-26T11:07:00"/>
    <n v="141389"/>
    <x v="12"/>
    <n v="4720000000000"/>
    <x v="0"/>
    <n v="1"/>
    <n v="3.84"/>
    <n v="1.92"/>
    <n v="3.84"/>
    <n v="1.92"/>
    <s v="Inexpensive"/>
  </r>
  <r>
    <d v="2019-01-26T11:22:00"/>
    <n v="141390"/>
    <x v="2"/>
    <n v="5660000000000"/>
    <x v="0"/>
    <n v="1"/>
    <n v="11.99"/>
    <n v="5.9950000000000001"/>
    <n v="11.99"/>
    <n v="5.9950000000000001"/>
    <s v="Inexpensive"/>
  </r>
  <r>
    <d v="2019-01-31T10:02:00"/>
    <n v="141391"/>
    <x v="7"/>
    <n v="1140000000000"/>
    <x v="0"/>
    <n v="1"/>
    <n v="99.99"/>
    <n v="49.994999999999997"/>
    <n v="99.99"/>
    <n v="49.994999999999997"/>
    <s v="Inexpensive"/>
  </r>
  <r>
    <d v="2019-01-25T13:51:00"/>
    <n v="141392"/>
    <x v="8"/>
    <n v="1940000000000"/>
    <x v="1"/>
    <n v="1"/>
    <n v="150"/>
    <n v="97.5"/>
    <n v="150"/>
    <n v="52.5"/>
    <s v="Inexpensive"/>
  </r>
  <r>
    <d v="2019-01-18T17:57:00"/>
    <n v="141393"/>
    <x v="6"/>
    <n v="9150000000000"/>
    <x v="1"/>
    <n v="1"/>
    <n v="11.95"/>
    <n v="5.9749999999999996"/>
    <n v="11.95"/>
    <n v="5.9749999999999996"/>
    <s v="Inexpensive"/>
  </r>
  <r>
    <d v="2019-01-06T16:54:00"/>
    <n v="141394"/>
    <x v="0"/>
    <n v="6560000000000"/>
    <x v="2"/>
    <n v="1"/>
    <n v="700"/>
    <n v="231"/>
    <n v="700"/>
    <n v="469"/>
    <s v="Expensive"/>
  </r>
  <r>
    <d v="2019-01-29T16:20:00"/>
    <n v="141395"/>
    <x v="4"/>
    <n v="6760000000000"/>
    <x v="1"/>
    <n v="1"/>
    <n v="2.99"/>
    <n v="1.4950000000000001"/>
    <n v="2.99"/>
    <n v="1.4950000000000001"/>
    <s v="Inexpensive"/>
  </r>
  <r>
    <d v="2019-01-26T14:10:00"/>
    <n v="141396"/>
    <x v="6"/>
    <n v="2550000000000"/>
    <x v="2"/>
    <n v="1"/>
    <n v="11.95"/>
    <n v="5.9749999999999996"/>
    <n v="11.95"/>
    <n v="5.9749999999999996"/>
    <s v="Inexpensive"/>
  </r>
  <r>
    <d v="2019-01-13T12:59:00"/>
    <n v="141397"/>
    <x v="1"/>
    <n v="7830000000000"/>
    <x v="2"/>
    <n v="1"/>
    <n v="14.95"/>
    <n v="7.4749999999999996"/>
    <n v="14.95"/>
    <n v="7.4749999999999996"/>
    <s v="Inexpensive"/>
  </r>
  <r>
    <d v="2019-01-04T16:31:00"/>
    <n v="141398"/>
    <x v="4"/>
    <n v="8200000000000"/>
    <x v="2"/>
    <n v="1"/>
    <n v="2.99"/>
    <n v="1.4950000000000001"/>
    <n v="2.99"/>
    <n v="1.4950000000000001"/>
    <s v="Inexpensive"/>
  </r>
  <r>
    <d v="2019-01-17T09:57:00"/>
    <n v="141399"/>
    <x v="16"/>
    <n v="6460000000000"/>
    <x v="1"/>
    <n v="1"/>
    <n v="999.99"/>
    <n v="329.99669999999998"/>
    <n v="999.99"/>
    <n v="669.99329999999998"/>
    <s v="Expensive"/>
  </r>
  <r>
    <d v="2019-01-18T18:09:00"/>
    <n v="141400"/>
    <x v="1"/>
    <n v="4760000000000"/>
    <x v="0"/>
    <n v="1"/>
    <n v="14.95"/>
    <n v="7.4749999999999996"/>
    <n v="14.95"/>
    <n v="7.4749999999999996"/>
    <s v="Inexpensive"/>
  </r>
  <r>
    <d v="2019-01-23T12:50:00"/>
    <n v="141401"/>
    <x v="8"/>
    <n v="2980000000000"/>
    <x v="2"/>
    <n v="1"/>
    <n v="150"/>
    <n v="97.5"/>
    <n v="150"/>
    <n v="52.5"/>
    <s v="Inexpensive"/>
  </r>
  <r>
    <d v="2019-01-07T12:56:00"/>
    <n v="141402"/>
    <x v="4"/>
    <n v="7560000000000"/>
    <x v="0"/>
    <n v="1"/>
    <n v="2.99"/>
    <n v="1.4950000000000001"/>
    <n v="2.99"/>
    <n v="1.4950000000000001"/>
    <s v="Inexpensive"/>
  </r>
  <r>
    <d v="2019-01-26T16:41:00"/>
    <n v="141403"/>
    <x v="1"/>
    <n v="5410000000000"/>
    <x v="1"/>
    <n v="1"/>
    <n v="14.95"/>
    <n v="7.4749999999999996"/>
    <n v="14.95"/>
    <n v="7.4749999999999996"/>
    <s v="Inexpensive"/>
  </r>
  <r>
    <d v="2019-01-29T20:06:00"/>
    <n v="141404"/>
    <x v="12"/>
    <n v="7080000000000"/>
    <x v="1"/>
    <n v="1"/>
    <n v="3.84"/>
    <n v="1.92"/>
    <n v="3.84"/>
    <n v="1.92"/>
    <s v="Inexpensive"/>
  </r>
  <r>
    <d v="2019-01-29T11:00:00"/>
    <n v="141405"/>
    <x v="2"/>
    <n v="2360000000000"/>
    <x v="1"/>
    <n v="1"/>
    <n v="11.99"/>
    <n v="5.9950000000000001"/>
    <n v="11.99"/>
    <n v="5.9950000000000001"/>
    <s v="Inexpensive"/>
  </r>
  <r>
    <d v="2019-01-28T12:02:00"/>
    <n v="141406"/>
    <x v="6"/>
    <n v="7540000000000"/>
    <x v="0"/>
    <n v="1"/>
    <n v="11.95"/>
    <n v="5.9749999999999996"/>
    <n v="11.95"/>
    <n v="5.9749999999999996"/>
    <s v="Inexpensive"/>
  </r>
  <r>
    <d v="2019-01-01T16:06:00"/>
    <n v="141407"/>
    <x v="8"/>
    <n v="7980000000000"/>
    <x v="0"/>
    <n v="1"/>
    <n v="150"/>
    <n v="97.5"/>
    <n v="150"/>
    <n v="52.5"/>
    <s v="Inexpensive"/>
  </r>
  <r>
    <d v="2019-01-07T13:25:00"/>
    <n v="141408"/>
    <x v="8"/>
    <n v="2300000000000"/>
    <x v="1"/>
    <n v="1"/>
    <n v="150"/>
    <n v="97.5"/>
    <n v="150"/>
    <n v="52.5"/>
    <s v="Inexpensive"/>
  </r>
  <r>
    <d v="2019-01-01T21:49:00"/>
    <n v="141409"/>
    <x v="7"/>
    <n v="6760000000000"/>
    <x v="1"/>
    <n v="1"/>
    <n v="99.99"/>
    <n v="49.994999999999997"/>
    <n v="99.99"/>
    <n v="49.994999999999997"/>
    <s v="Inexpensive"/>
  </r>
  <r>
    <d v="2019-01-03T22:02:00"/>
    <n v="141410"/>
    <x v="3"/>
    <n v="9850000000000"/>
    <x v="0"/>
    <n v="1"/>
    <n v="149.99"/>
    <n v="97.493499999999997"/>
    <n v="149.99"/>
    <n v="52.496499999999997"/>
    <s v="Inexpensive"/>
  </r>
  <r>
    <d v="2019-01-15T05:35:00"/>
    <n v="141411"/>
    <x v="2"/>
    <n v="4380000000000"/>
    <x v="2"/>
    <n v="1"/>
    <n v="11.99"/>
    <n v="5.9950000000000001"/>
    <n v="11.99"/>
    <n v="5.9950000000000001"/>
    <s v="Inexpensive"/>
  </r>
  <r>
    <d v="2019-01-14T17:16:00"/>
    <n v="141412"/>
    <x v="12"/>
    <n v="2230000000000"/>
    <x v="2"/>
    <n v="2"/>
    <n v="3.84"/>
    <n v="1.92"/>
    <n v="7.68"/>
    <n v="3.84"/>
    <s v="Inexpensive"/>
  </r>
  <r>
    <d v="2019-01-24T17:54:00"/>
    <n v="141413"/>
    <x v="12"/>
    <n v="3170000000000"/>
    <x v="0"/>
    <n v="1"/>
    <n v="3.84"/>
    <n v="1.92"/>
    <n v="3.84"/>
    <n v="1.92"/>
    <s v="Inexpensive"/>
  </r>
  <r>
    <d v="2019-01-26T03:38:00"/>
    <n v="141414"/>
    <x v="13"/>
    <n v="3020000000000"/>
    <x v="1"/>
    <n v="1"/>
    <n v="600"/>
    <n v="198"/>
    <n v="600"/>
    <n v="402"/>
    <s v="Inexpensive"/>
  </r>
  <r>
    <d v="2019-01-12T19:02:00"/>
    <n v="141415"/>
    <x v="2"/>
    <n v="3270000000000"/>
    <x v="0"/>
    <n v="1"/>
    <n v="11.99"/>
    <n v="5.9950000000000001"/>
    <n v="11.99"/>
    <n v="5.9950000000000001"/>
    <s v="Inexpensive"/>
  </r>
  <r>
    <d v="2019-01-02T13:37:00"/>
    <n v="141416"/>
    <x v="4"/>
    <n v="8860000000000"/>
    <x v="1"/>
    <n v="1"/>
    <n v="2.99"/>
    <n v="1.4950000000000001"/>
    <n v="2.99"/>
    <n v="1.4950000000000001"/>
    <s v="Inexpensive"/>
  </r>
  <r>
    <d v="2019-01-03T08:21:00"/>
    <n v="141417"/>
    <x v="7"/>
    <n v="8270000000000"/>
    <x v="2"/>
    <n v="1"/>
    <n v="99.99"/>
    <n v="49.994999999999997"/>
    <n v="99.99"/>
    <n v="49.994999999999997"/>
    <s v="Inexpensive"/>
  </r>
  <r>
    <d v="2019-01-10T12:48:00"/>
    <n v="141418"/>
    <x v="8"/>
    <n v="7690000000000"/>
    <x v="2"/>
    <n v="1"/>
    <n v="150"/>
    <n v="97.5"/>
    <n v="150"/>
    <n v="52.5"/>
    <s v="Inexpensive"/>
  </r>
  <r>
    <d v="2019-01-22T11:53:00"/>
    <n v="141419"/>
    <x v="2"/>
    <n v="8370000000000"/>
    <x v="1"/>
    <n v="1"/>
    <n v="11.99"/>
    <n v="5.9950000000000001"/>
    <n v="11.99"/>
    <n v="5.9950000000000001"/>
    <s v="Inexpensive"/>
  </r>
  <r>
    <d v="2019-01-09T12:19:00"/>
    <n v="141420"/>
    <x v="1"/>
    <n v="8710000000000"/>
    <x v="2"/>
    <n v="2"/>
    <n v="14.95"/>
    <n v="7.4749999999999996"/>
    <n v="29.9"/>
    <n v="14.95"/>
    <s v="Inexpensive"/>
  </r>
  <r>
    <d v="2019-01-24T13:18:00"/>
    <n v="141421"/>
    <x v="10"/>
    <n v="1220000000000"/>
    <x v="2"/>
    <n v="1"/>
    <n v="300"/>
    <n v="99"/>
    <n v="300"/>
    <n v="201"/>
    <s v="Inexpensive"/>
  </r>
  <r>
    <d v="2019-01-16T22:23:00"/>
    <n v="141422"/>
    <x v="8"/>
    <n v="6460000000000"/>
    <x v="0"/>
    <n v="1"/>
    <n v="150"/>
    <n v="97.5"/>
    <n v="150"/>
    <n v="52.5"/>
    <s v="Inexpensive"/>
  </r>
  <r>
    <d v="2019-01-06T13:41:00"/>
    <n v="141423"/>
    <x v="1"/>
    <n v="1750000000000"/>
    <x v="0"/>
    <n v="2"/>
    <n v="14.95"/>
    <n v="7.4749999999999996"/>
    <n v="29.9"/>
    <n v="14.95"/>
    <s v="Inexpensive"/>
  </r>
  <r>
    <d v="2019-01-13T19:49:00"/>
    <n v="141424"/>
    <x v="8"/>
    <n v="9380000000000"/>
    <x v="1"/>
    <n v="1"/>
    <n v="150"/>
    <n v="97.5"/>
    <n v="150"/>
    <n v="52.5"/>
    <s v="Inexpensive"/>
  </r>
  <r>
    <d v="2019-01-19T14:59:00"/>
    <n v="141425"/>
    <x v="2"/>
    <n v="9200000000000"/>
    <x v="2"/>
    <n v="1"/>
    <n v="11.99"/>
    <n v="5.9950000000000001"/>
    <n v="11.99"/>
    <n v="5.9950000000000001"/>
    <s v="Inexpensive"/>
  </r>
  <r>
    <d v="2019-01-12T12:57:00"/>
    <n v="141426"/>
    <x v="13"/>
    <n v="4420000000000"/>
    <x v="2"/>
    <n v="1"/>
    <n v="600"/>
    <n v="198"/>
    <n v="600"/>
    <n v="402"/>
    <s v="Inexpensive"/>
  </r>
  <r>
    <d v="2019-01-16T14:44:00"/>
    <n v="141427"/>
    <x v="6"/>
    <n v="5770000000000"/>
    <x v="1"/>
    <n v="1"/>
    <n v="11.95"/>
    <n v="5.9749999999999996"/>
    <n v="11.95"/>
    <n v="5.9749999999999996"/>
    <s v="Inexpensive"/>
  </r>
  <r>
    <d v="2019-01-22T10:06:00"/>
    <n v="141428"/>
    <x v="12"/>
    <n v="6240000000000"/>
    <x v="1"/>
    <n v="1"/>
    <n v="3.84"/>
    <n v="1.92"/>
    <n v="3.84"/>
    <n v="1.92"/>
    <s v="Inexpensive"/>
  </r>
  <r>
    <d v="2019-01-21T06:04:00"/>
    <n v="141429"/>
    <x v="8"/>
    <n v="4020000000000"/>
    <x v="2"/>
    <n v="1"/>
    <n v="150"/>
    <n v="97.5"/>
    <n v="150"/>
    <n v="52.5"/>
    <s v="Inexpensive"/>
  </r>
  <r>
    <d v="2019-01-23T21:37:00"/>
    <n v="141430"/>
    <x v="15"/>
    <n v="9160000000000"/>
    <x v="1"/>
    <n v="1"/>
    <n v="379.99"/>
    <n v="125.3967"/>
    <n v="379.99"/>
    <n v="254.5933"/>
    <s v="Inexpensive"/>
  </r>
  <r>
    <d v="2019-01-04T07:16:00"/>
    <n v="141431"/>
    <x v="6"/>
    <n v="5290000000000"/>
    <x v="2"/>
    <n v="1"/>
    <n v="11.95"/>
    <n v="5.9749999999999996"/>
    <n v="11.95"/>
    <n v="5.9749999999999996"/>
    <s v="Inexpensive"/>
  </r>
  <r>
    <d v="2019-01-18T22:38:00"/>
    <n v="141432"/>
    <x v="6"/>
    <n v="6230000000000"/>
    <x v="0"/>
    <n v="1"/>
    <n v="11.95"/>
    <n v="5.9749999999999996"/>
    <n v="11.95"/>
    <n v="5.9749999999999996"/>
    <s v="Inexpensive"/>
  </r>
  <r>
    <d v="2019-01-15T20:08:00"/>
    <n v="141433"/>
    <x v="13"/>
    <n v="9620000000000"/>
    <x v="0"/>
    <n v="1"/>
    <n v="600"/>
    <n v="198"/>
    <n v="600"/>
    <n v="402"/>
    <s v="Inexpensive"/>
  </r>
  <r>
    <d v="2019-01-13T19:03:00"/>
    <n v="141434"/>
    <x v="5"/>
    <n v="4960000000000"/>
    <x v="1"/>
    <n v="1"/>
    <n v="389.99"/>
    <n v="128.69669999999999"/>
    <n v="389.99"/>
    <n v="261.29329999999999"/>
    <s v="Inexpensive"/>
  </r>
  <r>
    <d v="2019-01-15T10:55:00"/>
    <n v="141435"/>
    <x v="6"/>
    <n v="8990000000000"/>
    <x v="1"/>
    <n v="1"/>
    <n v="11.95"/>
    <n v="5.9749999999999996"/>
    <n v="11.95"/>
    <n v="5.9749999999999996"/>
    <s v="Inexpensive"/>
  </r>
  <r>
    <d v="2019-01-03T07:59:00"/>
    <n v="141436"/>
    <x v="7"/>
    <n v="4500000000000"/>
    <x v="0"/>
    <n v="1"/>
    <n v="99.99"/>
    <n v="49.994999999999997"/>
    <n v="99.99"/>
    <n v="49.994999999999997"/>
    <s v="Inexpensive"/>
  </r>
  <r>
    <d v="2019-01-10T15:40:00"/>
    <n v="141437"/>
    <x v="0"/>
    <n v="1280000000000"/>
    <x v="0"/>
    <n v="1"/>
    <n v="700"/>
    <n v="231"/>
    <n v="700"/>
    <n v="469"/>
    <s v="Expensive"/>
  </r>
  <r>
    <d v="2019-01-29T17:36:00"/>
    <n v="141438"/>
    <x v="2"/>
    <n v="8920000000000"/>
    <x v="0"/>
    <n v="2"/>
    <n v="11.99"/>
    <n v="5.9950000000000001"/>
    <n v="23.98"/>
    <n v="11.99"/>
    <s v="Inexpensive"/>
  </r>
  <r>
    <d v="2019-01-09T20:49:00"/>
    <n v="141439"/>
    <x v="10"/>
    <n v="1920000000000"/>
    <x v="0"/>
    <n v="1"/>
    <n v="300"/>
    <n v="99"/>
    <n v="300"/>
    <n v="201"/>
    <s v="Inexpensive"/>
  </r>
  <r>
    <d v="2019-01-31T23:10:00"/>
    <n v="141440"/>
    <x v="13"/>
    <n v="2090000000000"/>
    <x v="1"/>
    <n v="1"/>
    <n v="600"/>
    <n v="198"/>
    <n v="600"/>
    <n v="402"/>
    <s v="Inexpensive"/>
  </r>
  <r>
    <d v="2019-01-20T19:08:00"/>
    <n v="141441"/>
    <x v="12"/>
    <n v="9300000000000"/>
    <x v="2"/>
    <n v="1"/>
    <n v="3.84"/>
    <n v="1.92"/>
    <n v="3.84"/>
    <n v="1.92"/>
    <s v="Inexpensive"/>
  </r>
  <r>
    <d v="2019-01-06T10:27:00"/>
    <n v="141442"/>
    <x v="13"/>
    <n v="5280000000000"/>
    <x v="2"/>
    <n v="1"/>
    <n v="600"/>
    <n v="198"/>
    <n v="600"/>
    <n v="402"/>
    <s v="Inexpensive"/>
  </r>
  <r>
    <d v="2019-01-15T19:22:00"/>
    <n v="141443"/>
    <x v="1"/>
    <n v="7210000000000"/>
    <x v="1"/>
    <n v="1"/>
    <n v="14.95"/>
    <n v="7.4749999999999996"/>
    <n v="14.95"/>
    <n v="7.4749999999999996"/>
    <s v="Inexpensive"/>
  </r>
  <r>
    <d v="2019-01-22T22:56:00"/>
    <n v="141444"/>
    <x v="4"/>
    <n v="4170000000000"/>
    <x v="2"/>
    <n v="1"/>
    <n v="2.99"/>
    <n v="1.4950000000000001"/>
    <n v="2.99"/>
    <n v="1.4950000000000001"/>
    <s v="Inexpensive"/>
  </r>
  <r>
    <d v="2019-01-23T21:37:00"/>
    <n v="141445"/>
    <x v="6"/>
    <n v="9610000000000"/>
    <x v="2"/>
    <n v="1"/>
    <n v="11.95"/>
    <n v="5.9749999999999996"/>
    <n v="11.95"/>
    <n v="5.9749999999999996"/>
    <s v="Inexpensive"/>
  </r>
  <r>
    <d v="2019-01-16T20:03:00"/>
    <n v="141446"/>
    <x v="7"/>
    <n v="2960000000000"/>
    <x v="1"/>
    <n v="1"/>
    <n v="99.99"/>
    <n v="49.994999999999997"/>
    <n v="99.99"/>
    <n v="49.994999999999997"/>
    <s v="Inexpensive"/>
  </r>
  <r>
    <d v="2019-01-15T21:14:00"/>
    <n v="141447"/>
    <x v="4"/>
    <n v="1230000000000"/>
    <x v="0"/>
    <n v="1"/>
    <n v="2.99"/>
    <n v="1.4950000000000001"/>
    <n v="2.99"/>
    <n v="1.4950000000000001"/>
    <s v="Inexpensive"/>
  </r>
  <r>
    <d v="2019-01-07T15:50:00"/>
    <n v="141448"/>
    <x v="7"/>
    <n v="6200000000000"/>
    <x v="2"/>
    <n v="1"/>
    <n v="99.99"/>
    <n v="49.994999999999997"/>
    <n v="99.99"/>
    <n v="49.994999999999997"/>
    <s v="Inexpensive"/>
  </r>
  <r>
    <d v="2019-01-25T15:41:00"/>
    <n v="141449"/>
    <x v="6"/>
    <n v="5270000000000"/>
    <x v="0"/>
    <n v="1"/>
    <n v="11.95"/>
    <n v="5.9749999999999996"/>
    <n v="11.95"/>
    <n v="5.9749999999999996"/>
    <s v="Inexpensive"/>
  </r>
  <r>
    <d v="2019-01-12T11:16:00"/>
    <n v="141450"/>
    <x v="7"/>
    <n v="3330000000000"/>
    <x v="0"/>
    <n v="1"/>
    <n v="99.99"/>
    <n v="49.994999999999997"/>
    <n v="99.99"/>
    <n v="49.994999999999997"/>
    <s v="Inexpensive"/>
  </r>
  <r>
    <d v="2019-01-12T11:16:00"/>
    <n v="141450"/>
    <x v="13"/>
    <n v="5820000000000"/>
    <x v="0"/>
    <n v="1"/>
    <n v="600"/>
    <n v="198"/>
    <n v="600"/>
    <n v="402"/>
    <s v="Inexpensive"/>
  </r>
  <r>
    <d v="2019-01-18T18:01:00"/>
    <n v="141451"/>
    <x v="12"/>
    <n v="6590000000000"/>
    <x v="0"/>
    <n v="1"/>
    <n v="3.84"/>
    <n v="1.92"/>
    <n v="3.84"/>
    <n v="1.92"/>
    <s v="Inexpensive"/>
  </r>
  <r>
    <d v="2019-01-16T13:37:00"/>
    <n v="141452"/>
    <x v="7"/>
    <n v="2930000000000"/>
    <x v="1"/>
    <n v="1"/>
    <n v="99.99"/>
    <n v="49.994999999999997"/>
    <n v="99.99"/>
    <n v="49.994999999999997"/>
    <s v="Inexpensive"/>
  </r>
  <r>
    <d v="2019-01-06T13:09:00"/>
    <n v="141453"/>
    <x v="9"/>
    <n v="6770000000000"/>
    <x v="0"/>
    <n v="1"/>
    <n v="1700"/>
    <n v="561"/>
    <n v="1700"/>
    <n v="1139"/>
    <s v="Expensive"/>
  </r>
  <r>
    <d v="2019-01-12T21:43:00"/>
    <n v="141454"/>
    <x v="7"/>
    <n v="5700000000000"/>
    <x v="2"/>
    <n v="1"/>
    <n v="99.99"/>
    <n v="49.994999999999997"/>
    <n v="99.99"/>
    <n v="49.994999999999997"/>
    <s v="Inexpensive"/>
  </r>
  <r>
    <d v="2019-01-06T09:26:00"/>
    <n v="141455"/>
    <x v="8"/>
    <n v="8730000000000"/>
    <x v="0"/>
    <n v="1"/>
    <n v="150"/>
    <n v="97.5"/>
    <n v="150"/>
    <n v="52.5"/>
    <s v="Inexpensive"/>
  </r>
  <r>
    <d v="2019-01-05T13:28:00"/>
    <n v="141456"/>
    <x v="4"/>
    <n v="6260000000000"/>
    <x v="1"/>
    <n v="1"/>
    <n v="2.99"/>
    <n v="1.4950000000000001"/>
    <n v="2.99"/>
    <n v="1.4950000000000001"/>
    <s v="Inexpensive"/>
  </r>
  <r>
    <d v="2019-01-09T22:11:00"/>
    <n v="141457"/>
    <x v="8"/>
    <n v="3010000000000"/>
    <x v="1"/>
    <n v="1"/>
    <n v="150"/>
    <n v="97.5"/>
    <n v="150"/>
    <n v="52.5"/>
    <s v="Inexpensive"/>
  </r>
  <r>
    <d v="2019-01-09T22:11:00"/>
    <n v="141457"/>
    <x v="0"/>
    <n v="4610000000000"/>
    <x v="1"/>
    <n v="1"/>
    <n v="700"/>
    <n v="231"/>
    <n v="700"/>
    <n v="469"/>
    <s v="Expensive"/>
  </r>
  <r>
    <d v="2019-01-29T01:12:00"/>
    <n v="141458"/>
    <x v="0"/>
    <n v="7030000000000"/>
    <x v="2"/>
    <n v="1"/>
    <n v="700"/>
    <n v="231"/>
    <n v="700"/>
    <n v="469"/>
    <s v="Expensive"/>
  </r>
  <r>
    <d v="2019-01-07T13:20:00"/>
    <n v="141459"/>
    <x v="4"/>
    <n v="7670000000000"/>
    <x v="2"/>
    <n v="1"/>
    <n v="2.99"/>
    <n v="1.4950000000000001"/>
    <n v="2.99"/>
    <n v="1.4950000000000001"/>
    <s v="Inexpensive"/>
  </r>
  <r>
    <d v="2019-01-26T17:29:00"/>
    <n v="141460"/>
    <x v="0"/>
    <n v="4080000000000"/>
    <x v="0"/>
    <n v="1"/>
    <n v="700"/>
    <n v="231"/>
    <n v="700"/>
    <n v="469"/>
    <s v="Expensive"/>
  </r>
  <r>
    <d v="2019-01-02T10:34:00"/>
    <n v="141461"/>
    <x v="1"/>
    <n v="8360000000000"/>
    <x v="2"/>
    <n v="1"/>
    <n v="14.95"/>
    <n v="7.4749999999999996"/>
    <n v="14.95"/>
    <n v="7.4749999999999996"/>
    <s v="Inexpensive"/>
  </r>
  <r>
    <d v="2019-01-30T23:34:00"/>
    <n v="141462"/>
    <x v="2"/>
    <n v="3980000000000"/>
    <x v="1"/>
    <n v="1"/>
    <n v="11.99"/>
    <n v="5.9950000000000001"/>
    <n v="11.99"/>
    <n v="5.9950000000000001"/>
    <s v="Inexpensive"/>
  </r>
  <r>
    <d v="2019-01-22T18:14:00"/>
    <n v="141463"/>
    <x v="8"/>
    <n v="1150000000000"/>
    <x v="2"/>
    <n v="1"/>
    <n v="150"/>
    <n v="97.5"/>
    <n v="150"/>
    <n v="52.5"/>
    <s v="Inexpensive"/>
  </r>
  <r>
    <d v="2019-01-31T01:03:00"/>
    <n v="141464"/>
    <x v="12"/>
    <n v="7430000000000"/>
    <x v="1"/>
    <n v="2"/>
    <n v="3.84"/>
    <n v="1.92"/>
    <n v="7.68"/>
    <n v="3.84"/>
    <s v="Inexpensive"/>
  </r>
  <r>
    <d v="2019-01-30T11:24:00"/>
    <n v="141465"/>
    <x v="1"/>
    <n v="2500000000000"/>
    <x v="0"/>
    <n v="1"/>
    <n v="14.95"/>
    <n v="7.4749999999999996"/>
    <n v="14.95"/>
    <n v="7.4749999999999996"/>
    <s v="Inexpensive"/>
  </r>
  <r>
    <d v="2019-01-24T16:09:00"/>
    <n v="141466"/>
    <x v="4"/>
    <n v="8720000000000"/>
    <x v="0"/>
    <n v="2"/>
    <n v="2.99"/>
    <n v="1.4950000000000001"/>
    <n v="5.98"/>
    <n v="2.99"/>
    <s v="Inexpensive"/>
  </r>
  <r>
    <d v="2019-01-22T19:48:00"/>
    <n v="141467"/>
    <x v="7"/>
    <n v="9600000000000"/>
    <x v="0"/>
    <n v="1"/>
    <n v="99.99"/>
    <n v="49.994999999999997"/>
    <n v="99.99"/>
    <n v="49.994999999999997"/>
    <s v="Inexpensive"/>
  </r>
  <r>
    <d v="2019-01-07T15:21:00"/>
    <n v="141468"/>
    <x v="10"/>
    <n v="7290000000000"/>
    <x v="1"/>
    <n v="1"/>
    <n v="300"/>
    <n v="99"/>
    <n v="300"/>
    <n v="201"/>
    <s v="Inexpensive"/>
  </r>
  <r>
    <d v="2019-01-02T07:44:00"/>
    <n v="141469"/>
    <x v="10"/>
    <n v="5360000000000"/>
    <x v="2"/>
    <n v="1"/>
    <n v="300"/>
    <n v="99"/>
    <n v="300"/>
    <n v="201"/>
    <s v="Inexpensive"/>
  </r>
  <r>
    <d v="2019-01-09T17:29:00"/>
    <n v="141470"/>
    <x v="4"/>
    <n v="8470000000000"/>
    <x v="1"/>
    <n v="1"/>
    <n v="2.99"/>
    <n v="1.4950000000000001"/>
    <n v="2.99"/>
    <n v="1.4950000000000001"/>
    <s v="Inexpensive"/>
  </r>
  <r>
    <d v="2019-01-17T14:21:00"/>
    <n v="141471"/>
    <x v="8"/>
    <n v="2700000000000"/>
    <x v="0"/>
    <n v="1"/>
    <n v="150"/>
    <n v="97.5"/>
    <n v="150"/>
    <n v="52.5"/>
    <s v="Inexpensive"/>
  </r>
  <r>
    <d v="2019-01-27T07:05:00"/>
    <n v="141472"/>
    <x v="0"/>
    <n v="8070000000000"/>
    <x v="1"/>
    <n v="1"/>
    <n v="700"/>
    <n v="231"/>
    <n v="700"/>
    <n v="469"/>
    <s v="Expensive"/>
  </r>
  <r>
    <d v="2019-01-11T16:48:00"/>
    <n v="141473"/>
    <x v="0"/>
    <n v="7220000000000"/>
    <x v="2"/>
    <n v="1"/>
    <n v="700"/>
    <n v="231"/>
    <n v="700"/>
    <n v="469"/>
    <s v="Expensive"/>
  </r>
  <r>
    <d v="2019-01-17T22:58:00"/>
    <n v="141474"/>
    <x v="8"/>
    <n v="2970000000000"/>
    <x v="1"/>
    <n v="1"/>
    <n v="150"/>
    <n v="97.5"/>
    <n v="150"/>
    <n v="52.5"/>
    <s v="Inexpensive"/>
  </r>
  <r>
    <d v="2019-01-07T08:41:00"/>
    <n v="141475"/>
    <x v="1"/>
    <n v="1730000000000"/>
    <x v="1"/>
    <n v="1"/>
    <n v="14.95"/>
    <n v="7.4749999999999996"/>
    <n v="14.95"/>
    <n v="7.4749999999999996"/>
    <s v="Inexpensive"/>
  </r>
  <r>
    <d v="2019-01-06T15:38:00"/>
    <n v="141476"/>
    <x v="0"/>
    <n v="7800000000000"/>
    <x v="0"/>
    <n v="1"/>
    <n v="700"/>
    <n v="231"/>
    <n v="700"/>
    <n v="469"/>
    <s v="Expensive"/>
  </r>
  <r>
    <d v="2019-01-20T09:24:00"/>
    <n v="141477"/>
    <x v="12"/>
    <n v="9210000000000"/>
    <x v="2"/>
    <n v="1"/>
    <n v="3.84"/>
    <n v="1.92"/>
    <n v="3.84"/>
    <n v="1.92"/>
    <s v="Inexpensive"/>
  </r>
  <r>
    <d v="2019-01-26T13:32:00"/>
    <n v="141478"/>
    <x v="8"/>
    <n v="2110000000000"/>
    <x v="2"/>
    <n v="1"/>
    <n v="150"/>
    <n v="97.5"/>
    <n v="150"/>
    <n v="52.5"/>
    <s v="Inexpensive"/>
  </r>
  <r>
    <d v="2019-01-26T13:32:00"/>
    <n v="141478"/>
    <x v="13"/>
    <n v="6030000000000"/>
    <x v="1"/>
    <n v="1"/>
    <n v="600"/>
    <n v="198"/>
    <n v="600"/>
    <n v="402"/>
    <s v="Inexpensive"/>
  </r>
  <r>
    <d v="2019-01-12T19:24:00"/>
    <n v="141479"/>
    <x v="7"/>
    <n v="1650000000000"/>
    <x v="1"/>
    <n v="1"/>
    <n v="99.99"/>
    <n v="49.994999999999997"/>
    <n v="99.99"/>
    <n v="49.994999999999997"/>
    <s v="Inexpensive"/>
  </r>
  <r>
    <d v="2019-01-20T12:32:00"/>
    <n v="141480"/>
    <x v="12"/>
    <n v="2790000000000"/>
    <x v="0"/>
    <n v="2"/>
    <n v="3.84"/>
    <n v="1.92"/>
    <n v="7.68"/>
    <n v="3.84"/>
    <s v="Inexpensive"/>
  </r>
  <r>
    <d v="2019-01-26T22:19:00"/>
    <n v="141481"/>
    <x v="12"/>
    <n v="2590000000000"/>
    <x v="1"/>
    <n v="1"/>
    <n v="3.84"/>
    <n v="1.92"/>
    <n v="3.84"/>
    <n v="1.92"/>
    <s v="Inexpensive"/>
  </r>
  <r>
    <d v="2019-01-28T13:10:00"/>
    <n v="141482"/>
    <x v="6"/>
    <n v="8770000000000"/>
    <x v="1"/>
    <n v="1"/>
    <n v="11.95"/>
    <n v="5.9749999999999996"/>
    <n v="11.95"/>
    <n v="5.9749999999999996"/>
    <s v="Inexpensive"/>
  </r>
  <r>
    <d v="2019-01-21T15:57:00"/>
    <n v="141483"/>
    <x v="10"/>
    <n v="8760000000000"/>
    <x v="0"/>
    <n v="1"/>
    <n v="300"/>
    <n v="99"/>
    <n v="300"/>
    <n v="201"/>
    <s v="Inexpensive"/>
  </r>
  <r>
    <d v="2019-01-29T21:06:00"/>
    <n v="141484"/>
    <x v="6"/>
    <n v="1930000000000"/>
    <x v="2"/>
    <n v="1"/>
    <n v="11.95"/>
    <n v="5.9749999999999996"/>
    <n v="11.95"/>
    <n v="5.9749999999999996"/>
    <s v="Inexpensive"/>
  </r>
  <r>
    <d v="2019-01-07T21:06:00"/>
    <n v="141485"/>
    <x v="5"/>
    <n v="8170000000000"/>
    <x v="2"/>
    <n v="1"/>
    <n v="389.99"/>
    <n v="128.69669999999999"/>
    <n v="389.99"/>
    <n v="261.29329999999999"/>
    <s v="Inexpensive"/>
  </r>
  <r>
    <d v="2019-01-14T13:29:00"/>
    <n v="141486"/>
    <x v="6"/>
    <n v="4870000000000"/>
    <x v="0"/>
    <n v="1"/>
    <n v="11.95"/>
    <n v="5.9749999999999996"/>
    <n v="11.95"/>
    <n v="5.9749999999999996"/>
    <s v="Inexpensive"/>
  </r>
  <r>
    <d v="2019-01-19T18:28:00"/>
    <n v="141487"/>
    <x v="7"/>
    <n v="1730000000000"/>
    <x v="2"/>
    <n v="1"/>
    <n v="99.99"/>
    <n v="49.994999999999997"/>
    <n v="99.99"/>
    <n v="49.994999999999997"/>
    <s v="Inexpensive"/>
  </r>
  <r>
    <d v="2019-01-13T14:33:00"/>
    <n v="141488"/>
    <x v="7"/>
    <n v="4250000000000"/>
    <x v="0"/>
    <n v="1"/>
    <n v="99.99"/>
    <n v="49.994999999999997"/>
    <n v="99.99"/>
    <n v="49.994999999999997"/>
    <s v="Inexpensive"/>
  </r>
  <r>
    <d v="2019-01-04T11:21:00"/>
    <n v="141489"/>
    <x v="4"/>
    <n v="9820000000000"/>
    <x v="2"/>
    <n v="2"/>
    <n v="2.99"/>
    <n v="1.4950000000000001"/>
    <n v="5.98"/>
    <n v="2.99"/>
    <s v="Inexpensive"/>
  </r>
  <r>
    <d v="2019-01-24T09:54:00"/>
    <n v="141490"/>
    <x v="3"/>
    <n v="6250000000000"/>
    <x v="1"/>
    <n v="1"/>
    <n v="149.99"/>
    <n v="97.493499999999997"/>
    <n v="149.99"/>
    <n v="52.496499999999997"/>
    <s v="Inexpensive"/>
  </r>
  <r>
    <d v="2019-01-25T11:10:00"/>
    <n v="141491"/>
    <x v="7"/>
    <n v="9630000000000"/>
    <x v="1"/>
    <n v="1"/>
    <n v="99.99"/>
    <n v="49.994999999999997"/>
    <n v="99.99"/>
    <n v="49.994999999999997"/>
    <s v="Inexpensive"/>
  </r>
  <r>
    <d v="2019-01-18T09:23:00"/>
    <n v="141492"/>
    <x v="14"/>
    <n v="3200000000000"/>
    <x v="2"/>
    <n v="1"/>
    <n v="109.99"/>
    <n v="71.493499999999997"/>
    <n v="109.99"/>
    <n v="38.496499999999997"/>
    <s v="Inexpensive"/>
  </r>
  <r>
    <d v="2019-01-02T11:26:00"/>
    <n v="141493"/>
    <x v="15"/>
    <n v="4920000000000"/>
    <x v="2"/>
    <n v="1"/>
    <n v="379.99"/>
    <n v="125.3967"/>
    <n v="379.99"/>
    <n v="254.5933"/>
    <s v="Inexpensive"/>
  </r>
  <r>
    <d v="2019-01-07T00:40:00"/>
    <n v="141494"/>
    <x v="12"/>
    <n v="1840000000000"/>
    <x v="2"/>
    <n v="2"/>
    <n v="3.84"/>
    <n v="1.92"/>
    <n v="7.68"/>
    <n v="3.84"/>
    <s v="Inexpensive"/>
  </r>
  <r>
    <d v="2019-01-19T18:02:00"/>
    <n v="141495"/>
    <x v="9"/>
    <n v="4210000000000"/>
    <x v="1"/>
    <n v="1"/>
    <n v="1700"/>
    <n v="561"/>
    <n v="1700"/>
    <n v="1139"/>
    <s v="Expensive"/>
  </r>
  <r>
    <d v="2019-01-31T16:21:00"/>
    <n v="141496"/>
    <x v="2"/>
    <n v="3590000000000"/>
    <x v="2"/>
    <n v="1"/>
    <n v="11.99"/>
    <n v="5.9950000000000001"/>
    <n v="11.99"/>
    <n v="5.9950000000000001"/>
    <s v="Inexpensive"/>
  </r>
  <r>
    <d v="2019-01-29T18:07:00"/>
    <n v="141497"/>
    <x v="2"/>
    <n v="7460000000000"/>
    <x v="0"/>
    <n v="1"/>
    <n v="11.99"/>
    <n v="5.9950000000000001"/>
    <n v="11.99"/>
    <n v="5.9950000000000001"/>
    <s v="Inexpensive"/>
  </r>
  <r>
    <d v="2019-01-08T07:31:00"/>
    <n v="141498"/>
    <x v="12"/>
    <n v="5180000000000"/>
    <x v="0"/>
    <n v="1"/>
    <n v="3.84"/>
    <n v="1.92"/>
    <n v="3.84"/>
    <n v="1.92"/>
    <s v="Inexpensive"/>
  </r>
  <r>
    <d v="2019-01-19T15:17:00"/>
    <n v="141499"/>
    <x v="13"/>
    <n v="3330000000000"/>
    <x v="2"/>
    <n v="1"/>
    <n v="600"/>
    <n v="198"/>
    <n v="600"/>
    <n v="402"/>
    <s v="Inexpensive"/>
  </r>
  <r>
    <d v="2019-01-12T11:56:00"/>
    <n v="141500"/>
    <x v="13"/>
    <n v="7330000000000"/>
    <x v="0"/>
    <n v="1"/>
    <n v="600"/>
    <n v="198"/>
    <n v="600"/>
    <n v="402"/>
    <s v="Inexpensive"/>
  </r>
  <r>
    <d v="2019-01-25T12:38:00"/>
    <n v="141501"/>
    <x v="12"/>
    <n v="6080000000000"/>
    <x v="1"/>
    <n v="1"/>
    <n v="3.84"/>
    <n v="1.92"/>
    <n v="3.84"/>
    <n v="1.92"/>
    <s v="Inexpensive"/>
  </r>
  <r>
    <d v="2019-01-08T20:07:00"/>
    <n v="141502"/>
    <x v="12"/>
    <n v="9400000000000"/>
    <x v="2"/>
    <n v="2"/>
    <n v="3.84"/>
    <n v="1.92"/>
    <n v="7.68"/>
    <n v="3.84"/>
    <s v="Inexpensive"/>
  </r>
  <r>
    <d v="2019-01-03T19:54:00"/>
    <n v="141503"/>
    <x v="5"/>
    <n v="5950000000000"/>
    <x v="0"/>
    <n v="1"/>
    <n v="389.99"/>
    <n v="128.69669999999999"/>
    <n v="389.99"/>
    <n v="261.29329999999999"/>
    <s v="Inexpensive"/>
  </r>
  <r>
    <d v="2019-01-13T13:37:00"/>
    <n v="141504"/>
    <x v="0"/>
    <n v="4040000000000"/>
    <x v="1"/>
    <n v="1"/>
    <n v="700"/>
    <n v="231"/>
    <n v="700"/>
    <n v="469"/>
    <s v="Expensive"/>
  </r>
  <r>
    <d v="2019-01-05T06:59:00"/>
    <n v="141505"/>
    <x v="5"/>
    <n v="8440000000000"/>
    <x v="1"/>
    <n v="1"/>
    <n v="389.99"/>
    <n v="128.69669999999999"/>
    <n v="389.99"/>
    <n v="261.29329999999999"/>
    <s v="Inexpensive"/>
  </r>
  <r>
    <d v="2019-01-24T19:03:00"/>
    <n v="141506"/>
    <x v="13"/>
    <n v="5460000000000"/>
    <x v="1"/>
    <n v="1"/>
    <n v="600"/>
    <n v="198"/>
    <n v="600"/>
    <n v="402"/>
    <s v="Inexpensive"/>
  </r>
  <r>
    <d v="2019-01-19T20:07:00"/>
    <n v="141507"/>
    <x v="8"/>
    <n v="5810000000000"/>
    <x v="0"/>
    <n v="1"/>
    <n v="150"/>
    <n v="97.5"/>
    <n v="150"/>
    <n v="52.5"/>
    <s v="Inexpensive"/>
  </r>
  <r>
    <d v="2019-01-18T19:11:00"/>
    <n v="141508"/>
    <x v="6"/>
    <n v="5100000000000"/>
    <x v="1"/>
    <n v="1"/>
    <n v="11.95"/>
    <n v="5.9749999999999996"/>
    <n v="11.95"/>
    <n v="5.9749999999999996"/>
    <s v="Inexpensive"/>
  </r>
  <r>
    <d v="2019-01-16T11:11:00"/>
    <n v="141509"/>
    <x v="1"/>
    <n v="5700000000000"/>
    <x v="2"/>
    <n v="1"/>
    <n v="14.95"/>
    <n v="7.4749999999999996"/>
    <n v="14.95"/>
    <n v="7.4749999999999996"/>
    <s v="Inexpensive"/>
  </r>
  <r>
    <d v="2019-01-16T14:32:00"/>
    <n v="141510"/>
    <x v="2"/>
    <n v="3950000000000"/>
    <x v="1"/>
    <n v="2"/>
    <n v="11.99"/>
    <n v="5.9950000000000001"/>
    <n v="23.98"/>
    <n v="11.99"/>
    <s v="Inexpensive"/>
  </r>
  <r>
    <d v="2019-01-14T16:57:00"/>
    <n v="141511"/>
    <x v="5"/>
    <n v="7950000000000"/>
    <x v="2"/>
    <n v="1"/>
    <n v="389.99"/>
    <n v="128.69669999999999"/>
    <n v="389.99"/>
    <n v="261.29329999999999"/>
    <s v="Inexpensive"/>
  </r>
  <r>
    <d v="2019-01-08T20:12:00"/>
    <n v="141512"/>
    <x v="1"/>
    <n v="9070000000000"/>
    <x v="0"/>
    <n v="1"/>
    <n v="14.95"/>
    <n v="7.4749999999999996"/>
    <n v="14.95"/>
    <n v="7.4749999999999996"/>
    <s v="Inexpensive"/>
  </r>
  <r>
    <d v="2019-01-18T22:22:00"/>
    <n v="141513"/>
    <x v="8"/>
    <n v="7960000000000"/>
    <x v="1"/>
    <n v="1"/>
    <n v="150"/>
    <n v="97.5"/>
    <n v="150"/>
    <n v="52.5"/>
    <s v="Inexpensive"/>
  </r>
  <r>
    <d v="2019-01-27T21:26:00"/>
    <n v="141514"/>
    <x v="13"/>
    <n v="8000000000000"/>
    <x v="2"/>
    <n v="1"/>
    <n v="600"/>
    <n v="198"/>
    <n v="600"/>
    <n v="402"/>
    <s v="Inexpensive"/>
  </r>
  <r>
    <d v="2019-01-12T16:34:00"/>
    <n v="141515"/>
    <x v="15"/>
    <n v="1060000000000"/>
    <x v="0"/>
    <n v="1"/>
    <n v="379.99"/>
    <n v="125.3967"/>
    <n v="379.99"/>
    <n v="254.5933"/>
    <s v="Inexpensive"/>
  </r>
  <r>
    <d v="2019-01-17T19:53:00"/>
    <n v="141516"/>
    <x v="18"/>
    <n v="1070000000000"/>
    <x v="0"/>
    <n v="1"/>
    <n v="600"/>
    <n v="198"/>
    <n v="600"/>
    <n v="402"/>
    <s v="Inexpensive"/>
  </r>
  <r>
    <d v="2019-01-13T14:14:00"/>
    <n v="141517"/>
    <x v="0"/>
    <n v="4640000000000"/>
    <x v="2"/>
    <n v="1"/>
    <n v="700"/>
    <n v="231"/>
    <n v="700"/>
    <n v="469"/>
    <s v="Expensive"/>
  </r>
  <r>
    <d v="2019-01-01T11:41:00"/>
    <n v="141518"/>
    <x v="1"/>
    <n v="3890000000000"/>
    <x v="1"/>
    <n v="1"/>
    <n v="14.95"/>
    <n v="7.4749999999999996"/>
    <n v="14.95"/>
    <n v="7.4749999999999996"/>
    <s v="Inexpensive"/>
  </r>
  <r>
    <d v="2019-01-18T17:16:00"/>
    <n v="141519"/>
    <x v="1"/>
    <n v="3530000000000"/>
    <x v="2"/>
    <n v="1"/>
    <n v="14.95"/>
    <n v="7.4749999999999996"/>
    <n v="14.95"/>
    <n v="7.4749999999999996"/>
    <s v="Inexpensive"/>
  </r>
  <r>
    <d v="2019-01-15T11:24:00"/>
    <n v="141520"/>
    <x v="0"/>
    <n v="7840000000000"/>
    <x v="0"/>
    <n v="1"/>
    <n v="700"/>
    <n v="231"/>
    <n v="700"/>
    <n v="469"/>
    <s v="Expensive"/>
  </r>
  <r>
    <d v="2019-01-06T11:19:00"/>
    <n v="141521"/>
    <x v="2"/>
    <n v="5190000000000"/>
    <x v="2"/>
    <n v="1"/>
    <n v="11.99"/>
    <n v="5.9950000000000001"/>
    <n v="11.99"/>
    <n v="5.9950000000000001"/>
    <s v="Inexpensive"/>
  </r>
  <r>
    <d v="2019-01-02T23:35:00"/>
    <n v="141522"/>
    <x v="3"/>
    <n v="5210000000000"/>
    <x v="2"/>
    <n v="1"/>
    <n v="149.99"/>
    <n v="97.493499999999997"/>
    <n v="149.99"/>
    <n v="52.496499999999997"/>
    <s v="Inexpensive"/>
  </r>
  <r>
    <d v="2019-01-02T13:17:00"/>
    <n v="141523"/>
    <x v="13"/>
    <n v="7610000000000"/>
    <x v="0"/>
    <n v="1"/>
    <n v="600"/>
    <n v="198"/>
    <n v="600"/>
    <n v="402"/>
    <s v="Inexpensive"/>
  </r>
  <r>
    <d v="2019-01-11T13:18:00"/>
    <n v="141524"/>
    <x v="6"/>
    <n v="3450000000000"/>
    <x v="2"/>
    <n v="1"/>
    <n v="11.95"/>
    <n v="5.9749999999999996"/>
    <n v="11.95"/>
    <n v="5.9749999999999996"/>
    <s v="Inexpensive"/>
  </r>
  <r>
    <d v="2019-01-07T04:31:00"/>
    <n v="141525"/>
    <x v="4"/>
    <n v="9560000000000"/>
    <x v="0"/>
    <n v="2"/>
    <n v="2.99"/>
    <n v="1.4950000000000001"/>
    <n v="5.98"/>
    <n v="2.99"/>
    <s v="Inexpensive"/>
  </r>
  <r>
    <d v="2019-01-21T22:12:00"/>
    <n v="141526"/>
    <x v="12"/>
    <n v="3600000000000"/>
    <x v="0"/>
    <n v="2"/>
    <n v="3.84"/>
    <n v="1.92"/>
    <n v="7.68"/>
    <n v="3.84"/>
    <s v="Inexpensive"/>
  </r>
  <r>
    <d v="2019-01-25T18:52:00"/>
    <n v="141527"/>
    <x v="8"/>
    <n v="4900000000000"/>
    <x v="2"/>
    <n v="1"/>
    <n v="150"/>
    <n v="97.5"/>
    <n v="150"/>
    <n v="52.5"/>
    <s v="Inexpensive"/>
  </r>
  <r>
    <d v="2019-01-11T02:13:00"/>
    <n v="141528"/>
    <x v="4"/>
    <n v="4110000000000"/>
    <x v="1"/>
    <n v="3"/>
    <n v="2.99"/>
    <n v="1.4950000000000001"/>
    <n v="8.9700000000000006"/>
    <n v="4.4850000000000003"/>
    <s v="Inexpensive"/>
  </r>
  <r>
    <d v="2019-01-13T12:55:00"/>
    <n v="141529"/>
    <x v="7"/>
    <n v="10000000000000"/>
    <x v="2"/>
    <n v="1"/>
    <n v="99.99"/>
    <n v="49.994999999999997"/>
    <n v="99.99"/>
    <n v="49.994999999999997"/>
    <s v="Inexpensive"/>
  </r>
  <r>
    <d v="2019-01-19T18:13:00"/>
    <n v="141530"/>
    <x v="4"/>
    <n v="6850000000000"/>
    <x v="2"/>
    <n v="1"/>
    <n v="2.99"/>
    <n v="1.4950000000000001"/>
    <n v="2.99"/>
    <n v="1.4950000000000001"/>
    <s v="Inexpensive"/>
  </r>
  <r>
    <d v="2019-01-15T18:03:00"/>
    <n v="141531"/>
    <x v="10"/>
    <n v="1150000000000"/>
    <x v="1"/>
    <n v="1"/>
    <n v="300"/>
    <n v="99"/>
    <n v="300"/>
    <n v="201"/>
    <s v="Inexpensive"/>
  </r>
  <r>
    <d v="2019-01-12T08:44:00"/>
    <n v="141532"/>
    <x v="1"/>
    <n v="8990000000000"/>
    <x v="0"/>
    <n v="1"/>
    <n v="14.95"/>
    <n v="7.4749999999999996"/>
    <n v="14.95"/>
    <n v="7.4749999999999996"/>
    <s v="Inexpensive"/>
  </r>
  <r>
    <d v="2019-01-01T13:34:00"/>
    <n v="141533"/>
    <x v="15"/>
    <n v="2640000000000"/>
    <x v="1"/>
    <n v="1"/>
    <n v="379.99"/>
    <n v="125.3967"/>
    <n v="379.99"/>
    <n v="254.5933"/>
    <s v="Inexpensive"/>
  </r>
  <r>
    <d v="2019-01-05T10:02:00"/>
    <n v="141534"/>
    <x v="7"/>
    <n v="4700000000000"/>
    <x v="0"/>
    <n v="1"/>
    <n v="99.99"/>
    <n v="49.994999999999997"/>
    <n v="99.99"/>
    <n v="49.994999999999997"/>
    <s v="Inexpensive"/>
  </r>
  <r>
    <d v="2019-01-03T10:59:00"/>
    <n v="141535"/>
    <x v="2"/>
    <n v="7290000000000"/>
    <x v="0"/>
    <n v="1"/>
    <n v="11.99"/>
    <n v="5.9950000000000001"/>
    <n v="11.99"/>
    <n v="5.9950000000000001"/>
    <s v="Inexpensive"/>
  </r>
  <r>
    <d v="2019-01-30T16:35:00"/>
    <n v="141536"/>
    <x v="4"/>
    <n v="9710000000000"/>
    <x v="0"/>
    <n v="1"/>
    <n v="2.99"/>
    <n v="1.4950000000000001"/>
    <n v="2.99"/>
    <n v="1.4950000000000001"/>
    <s v="Inexpensive"/>
  </r>
  <r>
    <d v="2019-01-06T09:37:00"/>
    <n v="141537"/>
    <x v="1"/>
    <n v="7850000000000"/>
    <x v="1"/>
    <n v="1"/>
    <n v="14.95"/>
    <n v="7.4749999999999996"/>
    <n v="14.95"/>
    <n v="7.4749999999999996"/>
    <s v="Inexpensive"/>
  </r>
  <r>
    <d v="2019-01-12T15:38:00"/>
    <n v="141538"/>
    <x v="3"/>
    <n v="7800000000000"/>
    <x v="0"/>
    <n v="1"/>
    <n v="149.99"/>
    <n v="97.493499999999997"/>
    <n v="149.99"/>
    <n v="52.496499999999997"/>
    <s v="Inexpensive"/>
  </r>
  <r>
    <d v="2019-01-16T15:22:00"/>
    <n v="141539"/>
    <x v="3"/>
    <n v="2480000000000"/>
    <x v="1"/>
    <n v="1"/>
    <n v="149.99"/>
    <n v="97.493499999999997"/>
    <n v="149.99"/>
    <n v="52.496499999999997"/>
    <s v="Inexpensive"/>
  </r>
  <r>
    <d v="2019-01-10T14:07:00"/>
    <n v="141540"/>
    <x v="8"/>
    <n v="9730000000000"/>
    <x v="0"/>
    <n v="1"/>
    <n v="150"/>
    <n v="97.5"/>
    <n v="150"/>
    <n v="52.5"/>
    <s v="Inexpensive"/>
  </r>
  <r>
    <d v="2019-01-27T22:39:00"/>
    <n v="141541"/>
    <x v="4"/>
    <n v="7480000000000"/>
    <x v="1"/>
    <n v="1"/>
    <n v="2.99"/>
    <n v="1.4950000000000001"/>
    <n v="2.99"/>
    <n v="1.4950000000000001"/>
    <s v="Inexpensive"/>
  </r>
  <r>
    <d v="2019-01-20T18:33:00"/>
    <n v="141542"/>
    <x v="12"/>
    <n v="2240000000000"/>
    <x v="1"/>
    <n v="1"/>
    <n v="3.84"/>
    <n v="1.92"/>
    <n v="3.84"/>
    <n v="1.92"/>
    <s v="Inexpensive"/>
  </r>
  <r>
    <d v="2019-01-25T10:48:00"/>
    <n v="141543"/>
    <x v="1"/>
    <n v="3490000000000"/>
    <x v="2"/>
    <n v="1"/>
    <n v="14.95"/>
    <n v="7.4749999999999996"/>
    <n v="14.95"/>
    <n v="7.4749999999999996"/>
    <s v="Inexpensive"/>
  </r>
  <r>
    <d v="2019-01-03T18:32:00"/>
    <n v="141544"/>
    <x v="1"/>
    <n v="9150000000000"/>
    <x v="0"/>
    <n v="1"/>
    <n v="14.95"/>
    <n v="7.4749999999999996"/>
    <n v="14.95"/>
    <n v="7.4749999999999996"/>
    <s v="Inexpensive"/>
  </r>
  <r>
    <d v="2019-01-16T20:17:00"/>
    <n v="141545"/>
    <x v="13"/>
    <n v="9480000000000"/>
    <x v="1"/>
    <n v="1"/>
    <n v="600"/>
    <n v="198"/>
    <n v="600"/>
    <n v="402"/>
    <s v="Inexpensive"/>
  </r>
  <r>
    <d v="2019-01-22T02:39:00"/>
    <n v="141546"/>
    <x v="14"/>
    <n v="3050000000000"/>
    <x v="0"/>
    <n v="1"/>
    <n v="109.99"/>
    <n v="71.493499999999997"/>
    <n v="109.99"/>
    <n v="38.496499999999997"/>
    <s v="Inexpensive"/>
  </r>
  <r>
    <d v="2019-01-12T10:26:00"/>
    <n v="141547"/>
    <x v="6"/>
    <n v="3410000000000"/>
    <x v="0"/>
    <n v="2"/>
    <n v="11.95"/>
    <n v="5.9749999999999996"/>
    <n v="23.9"/>
    <n v="11.95"/>
    <s v="Inexpensive"/>
  </r>
  <r>
    <d v="2019-01-11T23:00:00"/>
    <n v="141548"/>
    <x v="1"/>
    <n v="9830000000000"/>
    <x v="1"/>
    <n v="1"/>
    <n v="14.95"/>
    <n v="7.4749999999999996"/>
    <n v="14.95"/>
    <n v="7.4749999999999996"/>
    <s v="Inexpensive"/>
  </r>
  <r>
    <d v="2019-01-15T10:53:00"/>
    <n v="141549"/>
    <x v="3"/>
    <n v="8770000000000"/>
    <x v="2"/>
    <n v="1"/>
    <n v="149.99"/>
    <n v="97.493499999999997"/>
    <n v="149.99"/>
    <n v="52.496499999999997"/>
    <s v="Inexpensive"/>
  </r>
  <r>
    <d v="2019-01-31T10:58:00"/>
    <n v="141550"/>
    <x v="8"/>
    <n v="2850000000000"/>
    <x v="1"/>
    <n v="2"/>
    <n v="150"/>
    <n v="97.5"/>
    <n v="300"/>
    <n v="105"/>
    <s v="Inexpensive"/>
  </r>
  <r>
    <d v="2019-01-31T10:58:00"/>
    <n v="141550"/>
    <x v="0"/>
    <n v="4590000000000"/>
    <x v="1"/>
    <n v="1"/>
    <n v="700"/>
    <n v="231"/>
    <n v="700"/>
    <n v="469"/>
    <s v="Expensive"/>
  </r>
  <r>
    <d v="2019-01-31T10:58:00"/>
    <n v="141550"/>
    <x v="2"/>
    <n v="1450000000000"/>
    <x v="1"/>
    <n v="1"/>
    <n v="11.99"/>
    <n v="5.9950000000000001"/>
    <n v="11.99"/>
    <n v="5.9950000000000001"/>
    <s v="Inexpensive"/>
  </r>
  <r>
    <d v="2019-01-19T16:39:00"/>
    <n v="141551"/>
    <x v="1"/>
    <n v="2360000000000"/>
    <x v="2"/>
    <n v="2"/>
    <n v="14.95"/>
    <n v="7.4749999999999996"/>
    <n v="29.9"/>
    <n v="14.95"/>
    <s v="Inexpensive"/>
  </r>
  <r>
    <d v="2019-01-10T10:40:00"/>
    <n v="141552"/>
    <x v="7"/>
    <n v="2850000000000"/>
    <x v="1"/>
    <n v="1"/>
    <n v="99.99"/>
    <n v="49.994999999999997"/>
    <n v="99.99"/>
    <n v="49.994999999999997"/>
    <s v="Inexpensive"/>
  </r>
  <r>
    <d v="2019-01-27T00:07:00"/>
    <n v="141553"/>
    <x v="7"/>
    <n v="5050000000000"/>
    <x v="2"/>
    <n v="1"/>
    <n v="99.99"/>
    <n v="49.994999999999997"/>
    <n v="99.99"/>
    <n v="49.994999999999997"/>
    <s v="Inexpensive"/>
  </r>
  <r>
    <d v="2019-01-04T12:57:00"/>
    <n v="141554"/>
    <x v="6"/>
    <n v="3720000000000"/>
    <x v="1"/>
    <n v="1"/>
    <n v="11.95"/>
    <n v="5.9749999999999996"/>
    <n v="11.95"/>
    <n v="5.9749999999999996"/>
    <s v="Inexpensive"/>
  </r>
  <r>
    <d v="2019-01-15T10:18:00"/>
    <n v="141555"/>
    <x v="4"/>
    <n v="4100000000000"/>
    <x v="2"/>
    <n v="3"/>
    <n v="2.99"/>
    <n v="1.4950000000000001"/>
    <n v="8.9700000000000006"/>
    <n v="4.4850000000000003"/>
    <s v="Inexpensive"/>
  </r>
  <r>
    <d v="2019-01-29T10:07:00"/>
    <n v="141556"/>
    <x v="6"/>
    <n v="1170000000000"/>
    <x v="2"/>
    <n v="1"/>
    <n v="11.95"/>
    <n v="5.9749999999999996"/>
    <n v="11.95"/>
    <n v="5.9749999999999996"/>
    <s v="Inexpensive"/>
  </r>
  <r>
    <d v="2019-01-23T22:54:00"/>
    <n v="141557"/>
    <x v="1"/>
    <n v="4640000000000"/>
    <x v="0"/>
    <n v="1"/>
    <n v="14.95"/>
    <n v="7.4749999999999996"/>
    <n v="14.95"/>
    <n v="7.4749999999999996"/>
    <s v="Inexpensive"/>
  </r>
  <r>
    <d v="2019-01-01T12:14:00"/>
    <n v="141558"/>
    <x v="5"/>
    <n v="2300000000000"/>
    <x v="0"/>
    <n v="1"/>
    <n v="389.99"/>
    <n v="128.69669999999999"/>
    <n v="389.99"/>
    <n v="261.29329999999999"/>
    <s v="Inexpensive"/>
  </r>
  <r>
    <d v="2019-01-26T22:08:00"/>
    <n v="141559"/>
    <x v="2"/>
    <n v="4730000000000"/>
    <x v="2"/>
    <n v="1"/>
    <n v="11.99"/>
    <n v="5.9950000000000001"/>
    <n v="11.99"/>
    <n v="5.9950000000000001"/>
    <s v="Inexpensive"/>
  </r>
  <r>
    <d v="2019-01-09T13:34:00"/>
    <n v="141560"/>
    <x v="15"/>
    <n v="3360000000000"/>
    <x v="2"/>
    <n v="1"/>
    <n v="379.99"/>
    <n v="125.3967"/>
    <n v="379.99"/>
    <n v="254.5933"/>
    <s v="Inexpensive"/>
  </r>
  <r>
    <d v="2019-01-09T17:19:00"/>
    <n v="141561"/>
    <x v="2"/>
    <n v="5750000000000"/>
    <x v="0"/>
    <n v="1"/>
    <n v="11.99"/>
    <n v="5.9950000000000001"/>
    <n v="11.99"/>
    <n v="5.9950000000000001"/>
    <s v="Inexpensive"/>
  </r>
  <r>
    <d v="2019-01-29T12:47:00"/>
    <n v="141562"/>
    <x v="7"/>
    <n v="4120000000000"/>
    <x v="0"/>
    <n v="1"/>
    <n v="99.99"/>
    <n v="49.994999999999997"/>
    <n v="99.99"/>
    <n v="49.994999999999997"/>
    <s v="Inexpensive"/>
  </r>
  <r>
    <d v="2019-01-15T15:52:00"/>
    <n v="141563"/>
    <x v="6"/>
    <n v="2690000000000"/>
    <x v="0"/>
    <n v="1"/>
    <n v="11.95"/>
    <n v="5.9749999999999996"/>
    <n v="11.95"/>
    <n v="5.9749999999999996"/>
    <s v="Inexpensive"/>
  </r>
  <r>
    <d v="2019-01-29T11:03:00"/>
    <n v="141564"/>
    <x v="8"/>
    <n v="4780000000000"/>
    <x v="2"/>
    <n v="1"/>
    <n v="150"/>
    <n v="97.5"/>
    <n v="150"/>
    <n v="52.5"/>
    <s v="Inexpensive"/>
  </r>
  <r>
    <d v="2019-01-13T06:05:00"/>
    <n v="141565"/>
    <x v="2"/>
    <n v="9970000000000"/>
    <x v="1"/>
    <n v="1"/>
    <n v="11.99"/>
    <n v="5.9950000000000001"/>
    <n v="11.99"/>
    <n v="5.9950000000000001"/>
    <s v="Inexpensive"/>
  </r>
  <r>
    <d v="2019-01-13T18:41:00"/>
    <n v="141566"/>
    <x v="3"/>
    <n v="4500000000000"/>
    <x v="0"/>
    <n v="1"/>
    <n v="149.99"/>
    <n v="97.493499999999997"/>
    <n v="149.99"/>
    <n v="52.496499999999997"/>
    <s v="Inexpensive"/>
  </r>
  <r>
    <d v="2019-01-09T20:37:00"/>
    <n v="141567"/>
    <x v="1"/>
    <n v="4130000000000"/>
    <x v="1"/>
    <n v="1"/>
    <n v="14.95"/>
    <n v="7.4749999999999996"/>
    <n v="14.95"/>
    <n v="7.4749999999999996"/>
    <s v="Inexpensive"/>
  </r>
  <r>
    <d v="2019-01-26T20:30:00"/>
    <n v="141568"/>
    <x v="16"/>
    <n v="6410000000000"/>
    <x v="2"/>
    <n v="1"/>
    <n v="999.99"/>
    <n v="329.99669999999998"/>
    <n v="999.99"/>
    <n v="669.99329999999998"/>
    <s v="Expensive"/>
  </r>
  <r>
    <d v="2019-01-11T11:15:00"/>
    <n v="141569"/>
    <x v="9"/>
    <n v="2630000000000"/>
    <x v="2"/>
    <n v="1"/>
    <n v="1700"/>
    <n v="561"/>
    <n v="1700"/>
    <n v="1139"/>
    <s v="Expensive"/>
  </r>
  <r>
    <d v="2019-01-11T16:49:00"/>
    <n v="141570"/>
    <x v="6"/>
    <n v="9180000000000"/>
    <x v="1"/>
    <n v="1"/>
    <n v="11.95"/>
    <n v="5.9749999999999996"/>
    <n v="11.95"/>
    <n v="5.9749999999999996"/>
    <s v="Inexpensive"/>
  </r>
  <r>
    <d v="2019-01-21T23:01:00"/>
    <n v="141571"/>
    <x v="1"/>
    <n v="3010000000000"/>
    <x v="2"/>
    <n v="1"/>
    <n v="14.95"/>
    <n v="7.4749999999999996"/>
    <n v="14.95"/>
    <n v="7.4749999999999996"/>
    <s v="Inexpensive"/>
  </r>
  <r>
    <d v="2019-01-13T23:51:00"/>
    <n v="141572"/>
    <x v="4"/>
    <n v="5140000000000"/>
    <x v="0"/>
    <n v="1"/>
    <n v="2.99"/>
    <n v="1.4950000000000001"/>
    <n v="2.99"/>
    <n v="1.4950000000000001"/>
    <s v="Inexpensive"/>
  </r>
  <r>
    <d v="2019-01-04T17:39:00"/>
    <n v="141573"/>
    <x v="1"/>
    <n v="5130000000000"/>
    <x v="0"/>
    <n v="1"/>
    <n v="14.95"/>
    <n v="7.4749999999999996"/>
    <n v="14.95"/>
    <n v="7.4749999999999996"/>
    <s v="Inexpensive"/>
  </r>
  <r>
    <d v="2019-01-19T16:56:00"/>
    <n v="141574"/>
    <x v="1"/>
    <n v="5270000000000"/>
    <x v="1"/>
    <n v="1"/>
    <n v="14.95"/>
    <n v="7.4749999999999996"/>
    <n v="14.95"/>
    <n v="7.4749999999999996"/>
    <s v="Inexpensive"/>
  </r>
  <r>
    <d v="2019-01-07T10:42:00"/>
    <n v="141575"/>
    <x v="6"/>
    <n v="3480000000000"/>
    <x v="2"/>
    <n v="1"/>
    <n v="11.95"/>
    <n v="5.9749999999999996"/>
    <n v="11.95"/>
    <n v="5.9749999999999996"/>
    <s v="Inexpensive"/>
  </r>
  <r>
    <d v="2019-01-05T20:21:00"/>
    <n v="141576"/>
    <x v="8"/>
    <n v="3520000000000"/>
    <x v="0"/>
    <n v="1"/>
    <n v="150"/>
    <n v="97.5"/>
    <n v="150"/>
    <n v="52.5"/>
    <s v="Inexpensive"/>
  </r>
  <r>
    <d v="2019-01-30T20:19:00"/>
    <n v="141577"/>
    <x v="10"/>
    <n v="9040000000000"/>
    <x v="2"/>
    <n v="1"/>
    <n v="300"/>
    <n v="99"/>
    <n v="300"/>
    <n v="201"/>
    <s v="Inexpensive"/>
  </r>
  <r>
    <d v="2019-01-24T05:51:00"/>
    <n v="141578"/>
    <x v="7"/>
    <n v="8290000000000"/>
    <x v="1"/>
    <n v="1"/>
    <n v="99.99"/>
    <n v="49.994999999999997"/>
    <n v="99.99"/>
    <n v="49.994999999999997"/>
    <s v="Inexpensive"/>
  </r>
  <r>
    <d v="2019-01-23T16:11:00"/>
    <n v="141579"/>
    <x v="1"/>
    <n v="6880000000000"/>
    <x v="2"/>
    <n v="1"/>
    <n v="14.95"/>
    <n v="7.4749999999999996"/>
    <n v="14.95"/>
    <n v="7.4749999999999996"/>
    <s v="Inexpensive"/>
  </r>
  <r>
    <d v="2019-01-28T11:02:00"/>
    <n v="141580"/>
    <x v="12"/>
    <n v="7620000000000"/>
    <x v="2"/>
    <n v="1"/>
    <n v="3.84"/>
    <n v="1.92"/>
    <n v="3.84"/>
    <n v="1.92"/>
    <s v="Inexpensive"/>
  </r>
  <r>
    <d v="2019-01-28T20:50:00"/>
    <n v="141581"/>
    <x v="8"/>
    <n v="8430000000000"/>
    <x v="1"/>
    <n v="1"/>
    <n v="150"/>
    <n v="97.5"/>
    <n v="150"/>
    <n v="52.5"/>
    <s v="Inexpensive"/>
  </r>
  <r>
    <d v="2019-01-15T01:45:00"/>
    <n v="141582"/>
    <x v="0"/>
    <n v="3910000000000"/>
    <x v="2"/>
    <n v="1"/>
    <n v="700"/>
    <n v="231"/>
    <n v="700"/>
    <n v="469"/>
    <s v="Expensive"/>
  </r>
  <r>
    <d v="2019-01-30T12:48:00"/>
    <n v="141583"/>
    <x v="6"/>
    <n v="8550000000000"/>
    <x v="0"/>
    <n v="1"/>
    <n v="11.95"/>
    <n v="5.9749999999999996"/>
    <n v="11.95"/>
    <n v="5.9749999999999996"/>
    <s v="Inexpensive"/>
  </r>
  <r>
    <d v="2019-01-14T16:51:00"/>
    <n v="141584"/>
    <x v="9"/>
    <n v="5190000000000"/>
    <x v="0"/>
    <n v="1"/>
    <n v="1700"/>
    <n v="561"/>
    <n v="1700"/>
    <n v="1139"/>
    <s v="Expensive"/>
  </r>
  <r>
    <d v="2019-01-11T10:04:00"/>
    <n v="141585"/>
    <x v="12"/>
    <n v="6720000000000"/>
    <x v="0"/>
    <n v="2"/>
    <n v="3.84"/>
    <n v="1.92"/>
    <n v="7.68"/>
    <n v="3.84"/>
    <s v="Inexpensive"/>
  </r>
  <r>
    <d v="2019-01-26T20:16:00"/>
    <n v="141586"/>
    <x v="1"/>
    <n v="2120000000000"/>
    <x v="0"/>
    <n v="1"/>
    <n v="14.95"/>
    <n v="7.4749999999999996"/>
    <n v="14.95"/>
    <n v="7.4749999999999996"/>
    <s v="Inexpensive"/>
  </r>
  <r>
    <d v="2019-01-29T15:14:00"/>
    <n v="141587"/>
    <x v="8"/>
    <n v="2860000000000"/>
    <x v="2"/>
    <n v="1"/>
    <n v="150"/>
    <n v="97.5"/>
    <n v="150"/>
    <n v="52.5"/>
    <s v="Inexpensive"/>
  </r>
  <r>
    <d v="2019-01-29T15:14:00"/>
    <n v="141587"/>
    <x v="6"/>
    <n v="6630000000000"/>
    <x v="1"/>
    <n v="1"/>
    <n v="11.95"/>
    <n v="5.9749999999999996"/>
    <n v="11.95"/>
    <n v="5.9749999999999996"/>
    <s v="Inexpensive"/>
  </r>
  <r>
    <d v="2019-01-03T01:43:00"/>
    <n v="141588"/>
    <x v="12"/>
    <n v="1750000000000"/>
    <x v="1"/>
    <n v="1"/>
    <n v="3.84"/>
    <n v="1.92"/>
    <n v="3.84"/>
    <n v="1.92"/>
    <s v="Inexpensive"/>
  </r>
  <r>
    <d v="2019-01-10T13:56:00"/>
    <n v="141589"/>
    <x v="2"/>
    <n v="2320000000000"/>
    <x v="2"/>
    <n v="1"/>
    <n v="11.99"/>
    <n v="5.9950000000000001"/>
    <n v="11.99"/>
    <n v="5.9950000000000001"/>
    <s v="Inexpensive"/>
  </r>
  <r>
    <d v="2019-01-05T16:40:00"/>
    <n v="141590"/>
    <x v="7"/>
    <n v="5260000000000"/>
    <x v="2"/>
    <n v="1"/>
    <n v="99.99"/>
    <n v="49.994999999999997"/>
    <n v="99.99"/>
    <n v="49.994999999999997"/>
    <s v="Inexpensive"/>
  </r>
  <r>
    <d v="2019-01-27T23:59:00"/>
    <n v="141591"/>
    <x v="16"/>
    <n v="3500000000000"/>
    <x v="0"/>
    <n v="1"/>
    <n v="999.99"/>
    <n v="329.99669999999998"/>
    <n v="999.99"/>
    <n v="669.99329999999998"/>
    <s v="Expensive"/>
  </r>
  <r>
    <d v="2019-01-05T11:30:00"/>
    <n v="141592"/>
    <x v="12"/>
    <n v="3350000000000"/>
    <x v="2"/>
    <n v="2"/>
    <n v="3.84"/>
    <n v="1.92"/>
    <n v="7.68"/>
    <n v="3.84"/>
    <s v="Inexpensive"/>
  </r>
  <r>
    <d v="2019-01-09T14:26:00"/>
    <n v="141593"/>
    <x v="7"/>
    <n v="5990000000000"/>
    <x v="0"/>
    <n v="1"/>
    <n v="99.99"/>
    <n v="49.994999999999997"/>
    <n v="99.99"/>
    <n v="49.994999999999997"/>
    <s v="Inexpensive"/>
  </r>
  <r>
    <d v="2019-01-30T12:09:00"/>
    <n v="141594"/>
    <x v="4"/>
    <n v="3330000000000"/>
    <x v="1"/>
    <n v="1"/>
    <n v="2.99"/>
    <n v="1.4950000000000001"/>
    <n v="2.99"/>
    <n v="1.4950000000000001"/>
    <s v="Inexpensive"/>
  </r>
  <r>
    <d v="2019-01-27T14:36:00"/>
    <n v="141595"/>
    <x v="16"/>
    <n v="1800000000000"/>
    <x v="1"/>
    <n v="1"/>
    <n v="999.99"/>
    <n v="329.99669999999998"/>
    <n v="999.99"/>
    <n v="669.99329999999998"/>
    <s v="Expensive"/>
  </r>
  <r>
    <d v="2019-01-01T17:30:00"/>
    <n v="141596"/>
    <x v="1"/>
    <n v="9590000000000"/>
    <x v="1"/>
    <n v="1"/>
    <n v="14.95"/>
    <n v="7.4749999999999996"/>
    <n v="14.95"/>
    <n v="7.4749999999999996"/>
    <s v="Inexpensive"/>
  </r>
  <r>
    <d v="2019-01-28T12:38:00"/>
    <n v="141597"/>
    <x v="4"/>
    <n v="7900000000000"/>
    <x v="2"/>
    <n v="2"/>
    <n v="2.99"/>
    <n v="1.4950000000000001"/>
    <n v="5.98"/>
    <n v="2.99"/>
    <s v="Inexpensive"/>
  </r>
  <r>
    <d v="2019-01-12T13:28:00"/>
    <n v="141598"/>
    <x v="14"/>
    <n v="1570000000000"/>
    <x v="1"/>
    <n v="1"/>
    <n v="109.99"/>
    <n v="71.493499999999997"/>
    <n v="109.99"/>
    <n v="38.496499999999997"/>
    <s v="Inexpensive"/>
  </r>
  <r>
    <d v="2019-01-17T11:59:00"/>
    <n v="141599"/>
    <x v="4"/>
    <n v="7360000000000"/>
    <x v="0"/>
    <n v="1"/>
    <n v="2.99"/>
    <n v="1.4950000000000001"/>
    <n v="2.99"/>
    <n v="1.4950000000000001"/>
    <s v="Inexpensive"/>
  </r>
  <r>
    <d v="2019-01-27T09:08:00"/>
    <n v="141600"/>
    <x v="4"/>
    <n v="2930000000000"/>
    <x v="1"/>
    <n v="2"/>
    <n v="2.99"/>
    <n v="1.4950000000000001"/>
    <n v="5.98"/>
    <n v="2.99"/>
    <s v="Inexpensive"/>
  </r>
  <r>
    <d v="2019-01-07T19:45:00"/>
    <n v="141601"/>
    <x v="1"/>
    <n v="3180000000000"/>
    <x v="2"/>
    <n v="1"/>
    <n v="14.95"/>
    <n v="7.4749999999999996"/>
    <n v="14.95"/>
    <n v="7.4749999999999996"/>
    <s v="Inexpensive"/>
  </r>
  <r>
    <d v="2019-01-13T20:17:00"/>
    <n v="141602"/>
    <x v="3"/>
    <n v="7850000000000"/>
    <x v="1"/>
    <n v="1"/>
    <n v="149.99"/>
    <n v="97.493499999999997"/>
    <n v="149.99"/>
    <n v="52.496499999999997"/>
    <s v="Inexpensive"/>
  </r>
  <r>
    <d v="2019-01-24T10:54:00"/>
    <n v="141603"/>
    <x v="2"/>
    <n v="5170000000000"/>
    <x v="0"/>
    <n v="1"/>
    <n v="11.99"/>
    <n v="5.9950000000000001"/>
    <n v="11.99"/>
    <n v="5.9950000000000001"/>
    <s v="Inexpensive"/>
  </r>
  <r>
    <d v="2019-01-01T23:58:00"/>
    <n v="141604"/>
    <x v="3"/>
    <n v="3030000000000"/>
    <x v="2"/>
    <n v="1"/>
    <n v="149.99"/>
    <n v="97.493499999999997"/>
    <n v="149.99"/>
    <n v="52.496499999999997"/>
    <s v="Inexpensive"/>
  </r>
  <r>
    <d v="2019-01-10T19:52:00"/>
    <n v="141605"/>
    <x v="2"/>
    <n v="4090000000000"/>
    <x v="1"/>
    <n v="1"/>
    <n v="11.99"/>
    <n v="5.9950000000000001"/>
    <n v="11.99"/>
    <n v="5.9950000000000001"/>
    <s v="Inexpensive"/>
  </r>
  <r>
    <d v="2019-01-02T01:26:00"/>
    <n v="141606"/>
    <x v="1"/>
    <n v="3620000000000"/>
    <x v="0"/>
    <n v="1"/>
    <n v="14.95"/>
    <n v="7.4749999999999996"/>
    <n v="14.95"/>
    <n v="7.4749999999999996"/>
    <s v="Inexpensive"/>
  </r>
  <r>
    <d v="2019-01-27T20:18:00"/>
    <n v="141607"/>
    <x v="12"/>
    <n v="9440000000000"/>
    <x v="0"/>
    <n v="2"/>
    <n v="3.84"/>
    <n v="1.92"/>
    <n v="7.68"/>
    <n v="3.84"/>
    <s v="Inexpensive"/>
  </r>
  <r>
    <d v="2019-01-14T17:47:00"/>
    <n v="141608"/>
    <x v="1"/>
    <n v="9320000000000"/>
    <x v="1"/>
    <n v="1"/>
    <n v="14.95"/>
    <n v="7.4749999999999996"/>
    <n v="14.95"/>
    <n v="7.4749999999999996"/>
    <s v="Inexpensive"/>
  </r>
  <r>
    <d v="2019-01-04T14:05:00"/>
    <n v="141609"/>
    <x v="8"/>
    <n v="7570000000000"/>
    <x v="0"/>
    <n v="1"/>
    <n v="150"/>
    <n v="97.5"/>
    <n v="150"/>
    <n v="52.5"/>
    <s v="Inexpensive"/>
  </r>
  <r>
    <d v="2019-01-29T16:55:00"/>
    <n v="141610"/>
    <x v="1"/>
    <n v="5970000000000"/>
    <x v="2"/>
    <n v="1"/>
    <n v="14.95"/>
    <n v="7.4749999999999996"/>
    <n v="14.95"/>
    <n v="7.4749999999999996"/>
    <s v="Inexpensive"/>
  </r>
  <r>
    <d v="2019-01-27T18:29:00"/>
    <n v="141611"/>
    <x v="8"/>
    <n v="6380000000000"/>
    <x v="1"/>
    <n v="1"/>
    <n v="150"/>
    <n v="97.5"/>
    <n v="150"/>
    <n v="52.5"/>
    <s v="Inexpensive"/>
  </r>
  <r>
    <d v="2019-01-24T10:33:00"/>
    <n v="141612"/>
    <x v="8"/>
    <n v="7770000000000"/>
    <x v="2"/>
    <n v="1"/>
    <n v="150"/>
    <n v="97.5"/>
    <n v="150"/>
    <n v="52.5"/>
    <s v="Inexpensive"/>
  </r>
  <r>
    <d v="2019-01-01T10:21:00"/>
    <n v="141613"/>
    <x v="4"/>
    <n v="9520000000000"/>
    <x v="2"/>
    <n v="1"/>
    <n v="2.99"/>
    <n v="1.4950000000000001"/>
    <n v="2.99"/>
    <n v="1.4950000000000001"/>
    <s v="Inexpensive"/>
  </r>
  <r>
    <d v="2019-01-09T13:03:00"/>
    <n v="141614"/>
    <x v="12"/>
    <n v="7610000000000"/>
    <x v="1"/>
    <n v="1"/>
    <n v="3.84"/>
    <n v="1.92"/>
    <n v="3.84"/>
    <n v="1.92"/>
    <s v="Inexpensive"/>
  </r>
  <r>
    <d v="2019-01-24T18:39:00"/>
    <n v="141615"/>
    <x v="2"/>
    <n v="1240000000000"/>
    <x v="2"/>
    <n v="1"/>
    <n v="11.99"/>
    <n v="5.9950000000000001"/>
    <n v="11.99"/>
    <n v="5.9950000000000001"/>
    <s v="Inexpensive"/>
  </r>
  <r>
    <d v="2019-01-24T00:56:00"/>
    <n v="141616"/>
    <x v="12"/>
    <n v="9190000000000"/>
    <x v="2"/>
    <n v="1"/>
    <n v="3.84"/>
    <n v="1.92"/>
    <n v="3.84"/>
    <n v="1.92"/>
    <s v="Inexpensive"/>
  </r>
  <r>
    <d v="2019-01-26T02:00:00"/>
    <n v="141617"/>
    <x v="2"/>
    <n v="6200000000000"/>
    <x v="0"/>
    <n v="1"/>
    <n v="11.99"/>
    <n v="5.9950000000000001"/>
    <n v="11.99"/>
    <n v="5.9950000000000001"/>
    <s v="Inexpensive"/>
  </r>
  <r>
    <d v="2019-01-09T11:07:00"/>
    <n v="141618"/>
    <x v="7"/>
    <n v="5070000000000"/>
    <x v="1"/>
    <n v="1"/>
    <n v="99.99"/>
    <n v="49.994999999999997"/>
    <n v="99.99"/>
    <n v="49.994999999999997"/>
    <s v="Inexpensive"/>
  </r>
  <r>
    <d v="2019-01-12T20:15:00"/>
    <n v="141619"/>
    <x v="3"/>
    <n v="8390000000000"/>
    <x v="0"/>
    <n v="1"/>
    <n v="149.99"/>
    <n v="97.493499999999997"/>
    <n v="149.99"/>
    <n v="52.496499999999997"/>
    <s v="Inexpensive"/>
  </r>
  <r>
    <d v="2019-01-09T10:56:00"/>
    <n v="141620"/>
    <x v="4"/>
    <n v="8270000000000"/>
    <x v="0"/>
    <n v="3"/>
    <n v="2.99"/>
    <n v="1.4950000000000001"/>
    <n v="8.9700000000000006"/>
    <n v="4.4850000000000003"/>
    <s v="Inexpensive"/>
  </r>
  <r>
    <d v="2019-01-12T09:49:00"/>
    <n v="141621"/>
    <x v="4"/>
    <n v="6300000000000"/>
    <x v="1"/>
    <n v="1"/>
    <n v="2.99"/>
    <n v="1.4950000000000001"/>
    <n v="2.99"/>
    <n v="1.4950000000000001"/>
    <s v="Inexpensive"/>
  </r>
  <r>
    <d v="2019-01-27T12:46:00"/>
    <n v="141622"/>
    <x v="6"/>
    <n v="2460000000000"/>
    <x v="2"/>
    <n v="1"/>
    <n v="11.95"/>
    <n v="5.9749999999999996"/>
    <n v="11.95"/>
    <n v="5.9749999999999996"/>
    <s v="Inexpensive"/>
  </r>
  <r>
    <d v="2019-01-06T14:21:00"/>
    <n v="141623"/>
    <x v="13"/>
    <n v="6980000000000"/>
    <x v="2"/>
    <n v="1"/>
    <n v="600"/>
    <n v="198"/>
    <n v="600"/>
    <n v="402"/>
    <s v="Inexpensive"/>
  </r>
  <r>
    <d v="2019-01-18T21:07:00"/>
    <n v="141624"/>
    <x v="6"/>
    <n v="9180000000000"/>
    <x v="0"/>
    <n v="1"/>
    <n v="11.95"/>
    <n v="5.9749999999999996"/>
    <n v="11.95"/>
    <n v="5.9749999999999996"/>
    <s v="Inexpensive"/>
  </r>
  <r>
    <d v="2019-01-29T08:48:00"/>
    <n v="141625"/>
    <x v="4"/>
    <n v="9420000000000"/>
    <x v="2"/>
    <n v="4"/>
    <n v="2.99"/>
    <n v="1.4950000000000001"/>
    <n v="11.96"/>
    <n v="5.98"/>
    <s v="Inexpensive"/>
  </r>
  <r>
    <d v="2019-01-24T08:19:00"/>
    <n v="141626"/>
    <x v="8"/>
    <n v="6970000000000"/>
    <x v="0"/>
    <n v="1"/>
    <n v="150"/>
    <n v="97.5"/>
    <n v="150"/>
    <n v="52.5"/>
    <s v="Inexpensive"/>
  </r>
  <r>
    <d v="2019-01-16T10:02:00"/>
    <n v="141627"/>
    <x v="10"/>
    <n v="1960000000000"/>
    <x v="0"/>
    <n v="1"/>
    <n v="300"/>
    <n v="99"/>
    <n v="300"/>
    <n v="201"/>
    <s v="Inexpensive"/>
  </r>
  <r>
    <d v="2019-01-20T13:03:00"/>
    <n v="141628"/>
    <x v="12"/>
    <n v="5040000000000"/>
    <x v="0"/>
    <n v="1"/>
    <n v="3.84"/>
    <n v="1.92"/>
    <n v="3.84"/>
    <n v="1.92"/>
    <s v="Inexpensive"/>
  </r>
  <r>
    <d v="2019-01-27T12:22:00"/>
    <n v="141629"/>
    <x v="3"/>
    <n v="7490000000000"/>
    <x v="1"/>
    <n v="1"/>
    <n v="149.99"/>
    <n v="97.493499999999997"/>
    <n v="149.99"/>
    <n v="52.496499999999997"/>
    <s v="Inexpensive"/>
  </r>
  <r>
    <d v="2019-01-20T17:28:00"/>
    <n v="141630"/>
    <x v="6"/>
    <n v="7390000000000"/>
    <x v="1"/>
    <n v="1"/>
    <n v="11.95"/>
    <n v="5.9749999999999996"/>
    <n v="11.95"/>
    <n v="5.9749999999999996"/>
    <s v="Inexpensive"/>
  </r>
  <r>
    <d v="2019-01-15T07:54:00"/>
    <n v="141631"/>
    <x v="1"/>
    <n v="9860000000000"/>
    <x v="0"/>
    <n v="1"/>
    <n v="14.95"/>
    <n v="7.4749999999999996"/>
    <n v="14.95"/>
    <n v="7.4749999999999996"/>
    <s v="Inexpensive"/>
  </r>
  <r>
    <d v="2019-01-21T05:00:00"/>
    <n v="141632"/>
    <x v="0"/>
    <n v="6730000000000"/>
    <x v="0"/>
    <n v="1"/>
    <n v="700"/>
    <n v="231"/>
    <n v="700"/>
    <n v="469"/>
    <s v="Expensive"/>
  </r>
  <r>
    <d v="2019-01-12T20:41:00"/>
    <n v="141633"/>
    <x v="12"/>
    <n v="1980000000000"/>
    <x v="1"/>
    <n v="1"/>
    <n v="3.84"/>
    <n v="1.92"/>
    <n v="3.84"/>
    <n v="1.92"/>
    <s v="Inexpensive"/>
  </r>
  <r>
    <d v="2019-01-20T18:23:00"/>
    <n v="141634"/>
    <x v="4"/>
    <n v="5300000000000"/>
    <x v="0"/>
    <n v="1"/>
    <n v="2.99"/>
    <n v="1.4950000000000001"/>
    <n v="2.99"/>
    <n v="1.4950000000000001"/>
    <s v="Inexpensive"/>
  </r>
  <r>
    <d v="2019-01-13T07:20:00"/>
    <n v="141635"/>
    <x v="2"/>
    <n v="6980000000000"/>
    <x v="1"/>
    <n v="1"/>
    <n v="11.99"/>
    <n v="5.9950000000000001"/>
    <n v="11.99"/>
    <n v="5.9950000000000001"/>
    <s v="Inexpensive"/>
  </r>
  <r>
    <d v="2019-01-09T10:24:00"/>
    <n v="141636"/>
    <x v="8"/>
    <n v="5020000000000"/>
    <x v="1"/>
    <n v="1"/>
    <n v="150"/>
    <n v="97.5"/>
    <n v="150"/>
    <n v="52.5"/>
    <s v="Inexpensive"/>
  </r>
  <r>
    <d v="2019-01-04T17:48:00"/>
    <n v="141637"/>
    <x v="12"/>
    <n v="3980000000000"/>
    <x v="2"/>
    <n v="2"/>
    <n v="3.84"/>
    <n v="1.92"/>
    <n v="7.68"/>
    <n v="3.84"/>
    <s v="Inexpensive"/>
  </r>
  <r>
    <d v="2019-01-05T08:07:00"/>
    <n v="141638"/>
    <x v="4"/>
    <n v="2170000000000"/>
    <x v="1"/>
    <n v="2"/>
    <n v="2.99"/>
    <n v="1.4950000000000001"/>
    <n v="5.98"/>
    <n v="2.99"/>
    <s v="Inexpensive"/>
  </r>
  <r>
    <d v="2019-01-23T16:39:00"/>
    <n v="141639"/>
    <x v="16"/>
    <n v="7030000000000"/>
    <x v="2"/>
    <n v="1"/>
    <n v="999.99"/>
    <n v="329.99669999999998"/>
    <n v="999.99"/>
    <n v="669.99329999999998"/>
    <s v="Expensive"/>
  </r>
  <r>
    <d v="2019-01-02T01:27:00"/>
    <n v="141640"/>
    <x v="9"/>
    <n v="9810000000000"/>
    <x v="1"/>
    <n v="1"/>
    <n v="1700"/>
    <n v="561"/>
    <n v="1700"/>
    <n v="1139"/>
    <s v="Expensive"/>
  </r>
  <r>
    <d v="2019-01-30T11:12:00"/>
    <n v="141641"/>
    <x v="14"/>
    <n v="7430000000000"/>
    <x v="2"/>
    <n v="1"/>
    <n v="109.99"/>
    <n v="71.493499999999997"/>
    <n v="109.99"/>
    <n v="38.496499999999997"/>
    <s v="Inexpensive"/>
  </r>
  <r>
    <d v="2019-01-04T19:21:00"/>
    <n v="141642"/>
    <x v="4"/>
    <n v="4510000000000"/>
    <x v="2"/>
    <n v="1"/>
    <n v="2.99"/>
    <n v="1.4950000000000001"/>
    <n v="2.99"/>
    <n v="1.4950000000000001"/>
    <s v="Inexpensive"/>
  </r>
  <r>
    <d v="2019-01-29T21:41:00"/>
    <n v="141643"/>
    <x v="7"/>
    <n v="6170000000000"/>
    <x v="2"/>
    <n v="1"/>
    <n v="99.99"/>
    <n v="49.994999999999997"/>
    <n v="99.99"/>
    <n v="49.994999999999997"/>
    <s v="Inexpensive"/>
  </r>
  <r>
    <d v="2019-01-01T14:21:00"/>
    <n v="141644"/>
    <x v="4"/>
    <n v="2700000000000"/>
    <x v="0"/>
    <n v="1"/>
    <n v="2.99"/>
    <n v="1.4950000000000001"/>
    <n v="2.99"/>
    <n v="1.4950000000000001"/>
    <s v="Inexpensive"/>
  </r>
  <r>
    <d v="2019-01-30T15:30:00"/>
    <n v="141645"/>
    <x v="1"/>
    <n v="9010000000000"/>
    <x v="1"/>
    <n v="1"/>
    <n v="14.95"/>
    <n v="7.4749999999999996"/>
    <n v="14.95"/>
    <n v="7.4749999999999996"/>
    <s v="Inexpensive"/>
  </r>
  <r>
    <d v="2019-01-30T15:30:00"/>
    <n v="141645"/>
    <x v="2"/>
    <n v="9710000000000"/>
    <x v="2"/>
    <n v="1"/>
    <n v="11.99"/>
    <n v="5.9950000000000001"/>
    <n v="11.99"/>
    <n v="5.9950000000000001"/>
    <s v="Inexpensive"/>
  </r>
  <r>
    <d v="2019-01-01T20:59:00"/>
    <n v="141646"/>
    <x v="1"/>
    <n v="5520000000000"/>
    <x v="2"/>
    <n v="1"/>
    <n v="14.95"/>
    <n v="7.4749999999999996"/>
    <n v="14.95"/>
    <n v="7.4749999999999996"/>
    <s v="Inexpensive"/>
  </r>
  <r>
    <d v="2019-01-01T14:36:00"/>
    <n v="141647"/>
    <x v="14"/>
    <n v="9590000000000"/>
    <x v="0"/>
    <n v="1"/>
    <n v="109.99"/>
    <n v="71.493499999999997"/>
    <n v="109.99"/>
    <n v="38.496499999999997"/>
    <s v="Inexpensive"/>
  </r>
  <r>
    <d v="2019-01-03T16:55:00"/>
    <n v="141648"/>
    <x v="13"/>
    <n v="2750000000000"/>
    <x v="0"/>
    <n v="1"/>
    <n v="600"/>
    <n v="198"/>
    <n v="600"/>
    <n v="402"/>
    <s v="Inexpensive"/>
  </r>
  <r>
    <d v="2019-01-30T15:16:00"/>
    <n v="141649"/>
    <x v="1"/>
    <n v="2970000000000"/>
    <x v="0"/>
    <n v="1"/>
    <n v="14.95"/>
    <n v="7.4749999999999996"/>
    <n v="14.95"/>
    <n v="7.4749999999999996"/>
    <s v="Inexpensive"/>
  </r>
  <r>
    <d v="2019-01-22T12:28:00"/>
    <n v="141650"/>
    <x v="4"/>
    <n v="4650000000000"/>
    <x v="1"/>
    <n v="2"/>
    <n v="2.99"/>
    <n v="1.4950000000000001"/>
    <n v="5.98"/>
    <n v="2.99"/>
    <s v="Inexpensive"/>
  </r>
  <r>
    <d v="2019-01-24T08:33:00"/>
    <n v="141651"/>
    <x v="12"/>
    <n v="8870000000000"/>
    <x v="0"/>
    <n v="1"/>
    <n v="3.84"/>
    <n v="1.92"/>
    <n v="3.84"/>
    <n v="1.92"/>
    <s v="Inexpensive"/>
  </r>
  <r>
    <d v="2019-01-05T21:58:00"/>
    <n v="141652"/>
    <x v="1"/>
    <n v="7830000000000"/>
    <x v="1"/>
    <n v="1"/>
    <n v="14.95"/>
    <n v="7.4749999999999996"/>
    <n v="14.95"/>
    <n v="7.4749999999999996"/>
    <s v="Inexpensive"/>
  </r>
  <r>
    <d v="2019-01-28T23:47:00"/>
    <n v="141653"/>
    <x v="12"/>
    <n v="2650000000000"/>
    <x v="1"/>
    <n v="1"/>
    <n v="3.84"/>
    <n v="1.92"/>
    <n v="3.84"/>
    <n v="1.92"/>
    <s v="Inexpensive"/>
  </r>
  <r>
    <d v="2019-01-23T14:48:00"/>
    <n v="141654"/>
    <x v="12"/>
    <n v="4860000000000"/>
    <x v="2"/>
    <n v="1"/>
    <n v="3.84"/>
    <n v="1.92"/>
    <n v="3.84"/>
    <n v="1.92"/>
    <s v="Inexpensive"/>
  </r>
  <r>
    <d v="2019-01-16T13:38:00"/>
    <n v="141655"/>
    <x v="2"/>
    <n v="3170000000000"/>
    <x v="0"/>
    <n v="1"/>
    <n v="11.99"/>
    <n v="5.9950000000000001"/>
    <n v="11.99"/>
    <n v="5.9950000000000001"/>
    <s v="Inexpensive"/>
  </r>
  <r>
    <d v="2019-01-02T10:40:00"/>
    <n v="141656"/>
    <x v="8"/>
    <n v="2040000000000"/>
    <x v="2"/>
    <n v="1"/>
    <n v="150"/>
    <n v="97.5"/>
    <n v="150"/>
    <n v="52.5"/>
    <s v="Inexpensive"/>
  </r>
  <r>
    <d v="2019-01-13T20:36:00"/>
    <n v="141657"/>
    <x v="4"/>
    <n v="5110000000000"/>
    <x v="2"/>
    <n v="1"/>
    <n v="2.99"/>
    <n v="1.4950000000000001"/>
    <n v="2.99"/>
    <n v="1.4950000000000001"/>
    <s v="Inexpensive"/>
  </r>
  <r>
    <d v="2019-01-26T23:47:00"/>
    <n v="141658"/>
    <x v="12"/>
    <n v="4060000000000"/>
    <x v="0"/>
    <n v="1"/>
    <n v="3.84"/>
    <n v="1.92"/>
    <n v="3.84"/>
    <n v="1.92"/>
    <s v="Inexpensive"/>
  </r>
  <r>
    <d v="2019-01-28T15:52:00"/>
    <n v="141659"/>
    <x v="9"/>
    <n v="4520000000000"/>
    <x v="2"/>
    <n v="1"/>
    <n v="1700"/>
    <n v="561"/>
    <n v="1700"/>
    <n v="1139"/>
    <s v="Expensive"/>
  </r>
  <r>
    <d v="2019-01-11T13:57:00"/>
    <n v="141660"/>
    <x v="6"/>
    <n v="7340000000000"/>
    <x v="2"/>
    <n v="1"/>
    <n v="11.95"/>
    <n v="5.9749999999999996"/>
    <n v="11.95"/>
    <n v="5.9749999999999996"/>
    <s v="Inexpensive"/>
  </r>
  <r>
    <d v="2019-01-05T01:25:00"/>
    <n v="141661"/>
    <x v="6"/>
    <n v="3140000000000"/>
    <x v="0"/>
    <n v="1"/>
    <n v="11.95"/>
    <n v="5.9749999999999996"/>
    <n v="11.95"/>
    <n v="5.9749999999999996"/>
    <s v="Inexpensive"/>
  </r>
  <r>
    <d v="2019-01-16T13:06:00"/>
    <n v="141662"/>
    <x v="4"/>
    <n v="2150000000000"/>
    <x v="0"/>
    <n v="1"/>
    <n v="2.99"/>
    <n v="1.4950000000000001"/>
    <n v="2.99"/>
    <n v="1.4950000000000001"/>
    <s v="Inexpensive"/>
  </r>
  <r>
    <d v="2019-01-01T11:01:00"/>
    <n v="141663"/>
    <x v="0"/>
    <n v="9460000000000"/>
    <x v="1"/>
    <n v="1"/>
    <n v="700"/>
    <n v="231"/>
    <n v="700"/>
    <n v="469"/>
    <s v="Expensive"/>
  </r>
  <r>
    <d v="2019-01-08T16:40:00"/>
    <n v="141664"/>
    <x v="13"/>
    <n v="2050000000000"/>
    <x v="1"/>
    <n v="1"/>
    <n v="600"/>
    <n v="198"/>
    <n v="600"/>
    <n v="402"/>
    <s v="Inexpensive"/>
  </r>
  <r>
    <d v="2019-01-23T18:55:00"/>
    <n v="141665"/>
    <x v="5"/>
    <n v="9350000000000"/>
    <x v="1"/>
    <n v="1"/>
    <n v="389.99"/>
    <n v="128.69669999999999"/>
    <n v="389.99"/>
    <n v="261.29329999999999"/>
    <s v="Inexpensive"/>
  </r>
  <r>
    <d v="2019-01-16T16:22:00"/>
    <n v="141666"/>
    <x v="12"/>
    <n v="6750000000000"/>
    <x v="1"/>
    <n v="2"/>
    <n v="3.84"/>
    <n v="1.92"/>
    <n v="7.68"/>
    <n v="3.84"/>
    <s v="Inexpensive"/>
  </r>
  <r>
    <d v="2019-01-23T15:14:00"/>
    <n v="141667"/>
    <x v="1"/>
    <n v="8800000000000"/>
    <x v="2"/>
    <n v="3"/>
    <n v="14.95"/>
    <n v="7.4749999999999996"/>
    <n v="44.85"/>
    <n v="22.425000000000001"/>
    <s v="Inexpensive"/>
  </r>
  <r>
    <d v="2019-01-15T14:18:00"/>
    <n v="141668"/>
    <x v="1"/>
    <n v="7610000000000"/>
    <x v="0"/>
    <n v="1"/>
    <n v="14.95"/>
    <n v="7.4749999999999996"/>
    <n v="14.95"/>
    <n v="7.4749999999999996"/>
    <s v="Inexpensive"/>
  </r>
  <r>
    <d v="2019-01-29T15:43:00"/>
    <n v="141669"/>
    <x v="5"/>
    <n v="7960000000000"/>
    <x v="2"/>
    <n v="1"/>
    <n v="389.99"/>
    <n v="128.69669999999999"/>
    <n v="389.99"/>
    <n v="261.29329999999999"/>
    <s v="Inexpensive"/>
  </r>
  <r>
    <d v="2019-01-31T12:52:00"/>
    <n v="141670"/>
    <x v="0"/>
    <n v="1500000000000"/>
    <x v="2"/>
    <n v="1"/>
    <n v="700"/>
    <n v="231"/>
    <n v="700"/>
    <n v="469"/>
    <s v="Expensive"/>
  </r>
  <r>
    <d v="2019-01-29T12:25:00"/>
    <n v="141671"/>
    <x v="4"/>
    <n v="7250000000000"/>
    <x v="1"/>
    <n v="2"/>
    <n v="2.99"/>
    <n v="1.4950000000000001"/>
    <n v="5.98"/>
    <n v="2.99"/>
    <s v="Inexpensive"/>
  </r>
  <r>
    <d v="2019-01-27T23:05:00"/>
    <n v="141672"/>
    <x v="2"/>
    <n v="3120000000000"/>
    <x v="1"/>
    <n v="1"/>
    <n v="11.99"/>
    <n v="5.9950000000000001"/>
    <n v="11.99"/>
    <n v="5.9950000000000001"/>
    <s v="Inexpensive"/>
  </r>
  <r>
    <d v="2019-01-27T19:23:00"/>
    <n v="141673"/>
    <x v="6"/>
    <n v="2170000000000"/>
    <x v="1"/>
    <n v="1"/>
    <n v="11.95"/>
    <n v="5.9749999999999996"/>
    <n v="11.95"/>
    <n v="5.9749999999999996"/>
    <s v="Inexpensive"/>
  </r>
  <r>
    <d v="2019-01-28T06:28:00"/>
    <n v="141674"/>
    <x v="4"/>
    <n v="9530000000000"/>
    <x v="2"/>
    <n v="1"/>
    <n v="2.99"/>
    <n v="1.4950000000000001"/>
    <n v="2.99"/>
    <n v="1.4950000000000001"/>
    <s v="Inexpensive"/>
  </r>
  <r>
    <d v="2019-01-04T10:09:00"/>
    <n v="141675"/>
    <x v="6"/>
    <n v="3170000000000"/>
    <x v="2"/>
    <n v="3"/>
    <n v="11.95"/>
    <n v="5.9749999999999996"/>
    <n v="35.85"/>
    <n v="17.925000000000001"/>
    <s v="Inexpensive"/>
  </r>
  <r>
    <d v="2019-01-13T11:41:00"/>
    <n v="141676"/>
    <x v="11"/>
    <n v="1090000000000"/>
    <x v="0"/>
    <n v="1"/>
    <n v="400"/>
    <n v="132"/>
    <n v="400"/>
    <n v="268"/>
    <s v="Inexpensive"/>
  </r>
  <r>
    <d v="2019-01-03T18:50:00"/>
    <n v="141677"/>
    <x v="3"/>
    <n v="9410000000000"/>
    <x v="2"/>
    <n v="1"/>
    <n v="149.99"/>
    <n v="97.493499999999997"/>
    <n v="149.99"/>
    <n v="52.496499999999997"/>
    <s v="Inexpensive"/>
  </r>
  <r>
    <d v="2019-01-08T20:27:00"/>
    <n v="141678"/>
    <x v="8"/>
    <n v="8730000000000"/>
    <x v="0"/>
    <n v="1"/>
    <n v="150"/>
    <n v="97.5"/>
    <n v="150"/>
    <n v="52.5"/>
    <s v="Inexpensive"/>
  </r>
  <r>
    <d v="2019-01-03T19:55:00"/>
    <n v="141679"/>
    <x v="15"/>
    <n v="9510000000000"/>
    <x v="0"/>
    <n v="1"/>
    <n v="379.99"/>
    <n v="125.3967"/>
    <n v="379.99"/>
    <n v="254.5933"/>
    <s v="Inexpensive"/>
  </r>
  <r>
    <d v="2019-01-14T14:03:00"/>
    <n v="141680"/>
    <x v="6"/>
    <n v="1300000000000"/>
    <x v="0"/>
    <n v="2"/>
    <n v="11.95"/>
    <n v="5.9749999999999996"/>
    <n v="23.9"/>
    <n v="11.95"/>
    <s v="Inexpensive"/>
  </r>
  <r>
    <d v="2019-01-03T21:53:00"/>
    <n v="141681"/>
    <x v="12"/>
    <n v="4500000000000"/>
    <x v="2"/>
    <n v="1"/>
    <n v="3.84"/>
    <n v="1.92"/>
    <n v="3.84"/>
    <n v="1.92"/>
    <s v="Inexpensive"/>
  </r>
  <r>
    <d v="2019-01-24T07:03:00"/>
    <n v="141682"/>
    <x v="15"/>
    <n v="2700000000000"/>
    <x v="1"/>
    <n v="1"/>
    <n v="379.99"/>
    <n v="125.3967"/>
    <n v="379.99"/>
    <n v="254.5933"/>
    <s v="Inexpensive"/>
  </r>
  <r>
    <d v="2019-01-27T16:18:00"/>
    <n v="141683"/>
    <x v="4"/>
    <n v="1500000000000"/>
    <x v="0"/>
    <n v="1"/>
    <n v="2.99"/>
    <n v="1.4950000000000001"/>
    <n v="2.99"/>
    <n v="1.4950000000000001"/>
    <s v="Inexpensive"/>
  </r>
  <r>
    <d v="2019-01-29T09:43:00"/>
    <n v="141684"/>
    <x v="5"/>
    <n v="1700000000000"/>
    <x v="0"/>
    <n v="1"/>
    <n v="389.99"/>
    <n v="128.69669999999999"/>
    <n v="389.99"/>
    <n v="261.29329999999999"/>
    <s v="Inexpensive"/>
  </r>
  <r>
    <d v="2019-01-14T00:38:00"/>
    <n v="141685"/>
    <x v="2"/>
    <n v="6070000000000"/>
    <x v="2"/>
    <n v="1"/>
    <n v="11.99"/>
    <n v="5.9950000000000001"/>
    <n v="11.99"/>
    <n v="5.9950000000000001"/>
    <s v="Inexpensive"/>
  </r>
  <r>
    <d v="2019-01-22T13:25:00"/>
    <n v="141686"/>
    <x v="8"/>
    <n v="8730000000000"/>
    <x v="1"/>
    <n v="1"/>
    <n v="150"/>
    <n v="97.5"/>
    <n v="150"/>
    <n v="52.5"/>
    <s v="Inexpensive"/>
  </r>
  <r>
    <d v="2019-01-17T19:12:00"/>
    <n v="141687"/>
    <x v="12"/>
    <n v="1100000000000"/>
    <x v="0"/>
    <n v="1"/>
    <n v="3.84"/>
    <n v="1.92"/>
    <n v="3.84"/>
    <n v="1.92"/>
    <s v="Inexpensive"/>
  </r>
  <r>
    <d v="2019-01-20T11:32:00"/>
    <n v="141688"/>
    <x v="12"/>
    <n v="3210000000000"/>
    <x v="1"/>
    <n v="1"/>
    <n v="3.84"/>
    <n v="1.92"/>
    <n v="3.84"/>
    <n v="1.92"/>
    <s v="Inexpensive"/>
  </r>
  <r>
    <d v="2019-01-09T13:56:00"/>
    <n v="141689"/>
    <x v="15"/>
    <n v="2750000000000"/>
    <x v="2"/>
    <n v="1"/>
    <n v="379.99"/>
    <n v="125.3967"/>
    <n v="379.99"/>
    <n v="254.5933"/>
    <s v="Inexpensive"/>
  </r>
  <r>
    <d v="2019-01-14T23:02:00"/>
    <n v="141690"/>
    <x v="9"/>
    <n v="2020000000000"/>
    <x v="0"/>
    <n v="1"/>
    <n v="1700"/>
    <n v="561"/>
    <n v="1700"/>
    <n v="1139"/>
    <s v="Expensive"/>
  </r>
  <r>
    <d v="2019-01-18T18:34:00"/>
    <n v="141691"/>
    <x v="15"/>
    <n v="9350000000000"/>
    <x v="0"/>
    <n v="1"/>
    <n v="379.99"/>
    <n v="125.3967"/>
    <n v="379.99"/>
    <n v="254.5933"/>
    <s v="Inexpensive"/>
  </r>
  <r>
    <d v="2019-01-27T19:46:00"/>
    <n v="141692"/>
    <x v="7"/>
    <n v="8590000000000"/>
    <x v="0"/>
    <n v="1"/>
    <n v="99.99"/>
    <n v="49.994999999999997"/>
    <n v="99.99"/>
    <n v="49.994999999999997"/>
    <s v="Inexpensive"/>
  </r>
  <r>
    <d v="2019-01-07T22:01:00"/>
    <n v="141693"/>
    <x v="2"/>
    <n v="8660000000000"/>
    <x v="0"/>
    <n v="1"/>
    <n v="11.99"/>
    <n v="5.9950000000000001"/>
    <n v="11.99"/>
    <n v="5.9950000000000001"/>
    <s v="Inexpensive"/>
  </r>
  <r>
    <d v="2019-01-12T15:43:00"/>
    <n v="141694"/>
    <x v="2"/>
    <n v="7800000000000"/>
    <x v="1"/>
    <n v="1"/>
    <n v="11.99"/>
    <n v="5.9950000000000001"/>
    <n v="11.99"/>
    <n v="5.9950000000000001"/>
    <s v="Inexpensive"/>
  </r>
  <r>
    <d v="2019-01-29T21:20:00"/>
    <n v="141695"/>
    <x v="4"/>
    <n v="7740000000000"/>
    <x v="1"/>
    <n v="1"/>
    <n v="2.99"/>
    <n v="1.4950000000000001"/>
    <n v="2.99"/>
    <n v="1.4950000000000001"/>
    <s v="Inexpensive"/>
  </r>
  <r>
    <d v="2019-01-15T22:33:00"/>
    <n v="141696"/>
    <x v="11"/>
    <n v="9830000000000"/>
    <x v="1"/>
    <n v="1"/>
    <n v="400"/>
    <n v="132"/>
    <n v="400"/>
    <n v="268"/>
    <s v="Inexpensive"/>
  </r>
  <r>
    <d v="2019-01-16T05:50:00"/>
    <n v="141697"/>
    <x v="1"/>
    <n v="1420000000000"/>
    <x v="1"/>
    <n v="1"/>
    <n v="14.95"/>
    <n v="7.4749999999999996"/>
    <n v="14.95"/>
    <n v="7.4749999999999996"/>
    <s v="Inexpensive"/>
  </r>
  <r>
    <d v="2019-01-06T19:56:00"/>
    <n v="141698"/>
    <x v="5"/>
    <n v="5090000000000"/>
    <x v="1"/>
    <n v="1"/>
    <n v="389.99"/>
    <n v="128.69669999999999"/>
    <n v="389.99"/>
    <n v="261.29329999999999"/>
    <s v="Inexpensive"/>
  </r>
  <r>
    <d v="2019-01-28T08:13:00"/>
    <n v="141699"/>
    <x v="6"/>
    <n v="1410000000000"/>
    <x v="1"/>
    <n v="1"/>
    <n v="11.95"/>
    <n v="5.9749999999999996"/>
    <n v="11.95"/>
    <n v="5.9749999999999996"/>
    <s v="Inexpensive"/>
  </r>
  <r>
    <d v="2019-01-02T12:00:00"/>
    <n v="141700"/>
    <x v="8"/>
    <n v="4650000000000"/>
    <x v="2"/>
    <n v="1"/>
    <n v="150"/>
    <n v="97.5"/>
    <n v="150"/>
    <n v="52.5"/>
    <s v="Inexpensive"/>
  </r>
  <r>
    <d v="2019-01-18T19:33:00"/>
    <n v="141701"/>
    <x v="9"/>
    <n v="4130000000000"/>
    <x v="1"/>
    <n v="1"/>
    <n v="1700"/>
    <n v="561"/>
    <n v="1700"/>
    <n v="1139"/>
    <s v="Expensive"/>
  </r>
  <r>
    <d v="2019-01-27T18:33:00"/>
    <n v="141702"/>
    <x v="0"/>
    <n v="2730000000000"/>
    <x v="0"/>
    <n v="1"/>
    <n v="700"/>
    <n v="231"/>
    <n v="700"/>
    <n v="469"/>
    <s v="Expensive"/>
  </r>
  <r>
    <d v="2019-01-29T11:04:00"/>
    <n v="141703"/>
    <x v="0"/>
    <n v="2540000000000"/>
    <x v="1"/>
    <n v="1"/>
    <n v="700"/>
    <n v="231"/>
    <n v="700"/>
    <n v="469"/>
    <s v="Expensive"/>
  </r>
  <r>
    <d v="2019-01-31T19:56:00"/>
    <n v="141704"/>
    <x v="5"/>
    <n v="2860000000000"/>
    <x v="2"/>
    <n v="1"/>
    <n v="389.99"/>
    <n v="128.69669999999999"/>
    <n v="389.99"/>
    <n v="261.29329999999999"/>
    <s v="Inexpensive"/>
  </r>
  <r>
    <d v="2019-01-01T14:15:00"/>
    <n v="141705"/>
    <x v="8"/>
    <n v="2750000000000"/>
    <x v="0"/>
    <n v="1"/>
    <n v="150"/>
    <n v="97.5"/>
    <n v="150"/>
    <n v="52.5"/>
    <s v="Inexpensive"/>
  </r>
  <r>
    <d v="2019-01-19T13:38:00"/>
    <n v="141706"/>
    <x v="6"/>
    <n v="8040000000000"/>
    <x v="2"/>
    <n v="1"/>
    <n v="11.95"/>
    <n v="5.9749999999999996"/>
    <n v="11.95"/>
    <n v="5.9749999999999996"/>
    <s v="Inexpensive"/>
  </r>
  <r>
    <d v="2019-01-13T00:53:00"/>
    <n v="141707"/>
    <x v="12"/>
    <n v="7650000000000"/>
    <x v="2"/>
    <n v="1"/>
    <n v="3.84"/>
    <n v="1.92"/>
    <n v="3.84"/>
    <n v="1.92"/>
    <s v="Inexpensive"/>
  </r>
  <r>
    <d v="2019-01-22T09:31:00"/>
    <n v="141708"/>
    <x v="2"/>
    <n v="9100000000000"/>
    <x v="2"/>
    <n v="1"/>
    <n v="11.99"/>
    <n v="5.9950000000000001"/>
    <n v="11.99"/>
    <n v="5.9950000000000001"/>
    <s v="Inexpensive"/>
  </r>
  <r>
    <d v="2019-01-24T23:45:00"/>
    <n v="141709"/>
    <x v="13"/>
    <n v="7390000000000"/>
    <x v="2"/>
    <n v="1"/>
    <n v="600"/>
    <n v="198"/>
    <n v="600"/>
    <n v="402"/>
    <s v="Inexpensive"/>
  </r>
  <r>
    <d v="2019-01-23T00:00:00"/>
    <n v="141710"/>
    <x v="6"/>
    <n v="7380000000000"/>
    <x v="0"/>
    <n v="1"/>
    <n v="11.95"/>
    <n v="5.9749999999999996"/>
    <n v="11.95"/>
    <n v="5.9749999999999996"/>
    <s v="Inexpensive"/>
  </r>
  <r>
    <d v="2019-01-18T13:11:00"/>
    <n v="141711"/>
    <x v="6"/>
    <n v="8100000000000"/>
    <x v="1"/>
    <n v="1"/>
    <n v="11.95"/>
    <n v="5.9749999999999996"/>
    <n v="11.95"/>
    <n v="5.9749999999999996"/>
    <s v="Inexpensive"/>
  </r>
  <r>
    <d v="2019-01-07T12:12:00"/>
    <n v="141712"/>
    <x v="12"/>
    <n v="2380000000000"/>
    <x v="0"/>
    <n v="1"/>
    <n v="3.84"/>
    <n v="1.92"/>
    <n v="3.84"/>
    <n v="1.92"/>
    <s v="Inexpensive"/>
  </r>
  <r>
    <d v="2019-01-25T13:49:00"/>
    <n v="141713"/>
    <x v="6"/>
    <n v="3890000000000"/>
    <x v="2"/>
    <n v="1"/>
    <n v="11.95"/>
    <n v="5.9749999999999996"/>
    <n v="11.95"/>
    <n v="5.9749999999999996"/>
    <s v="Inexpensive"/>
  </r>
  <r>
    <d v="2019-01-27T20:27:00"/>
    <n v="141714"/>
    <x v="6"/>
    <n v="1310000000000"/>
    <x v="0"/>
    <n v="1"/>
    <n v="11.95"/>
    <n v="5.9749999999999996"/>
    <n v="11.95"/>
    <n v="5.9749999999999996"/>
    <s v="Inexpensive"/>
  </r>
  <r>
    <d v="2019-01-22T00:30:00"/>
    <n v="141715"/>
    <x v="7"/>
    <n v="5160000000000"/>
    <x v="1"/>
    <n v="1"/>
    <n v="99.99"/>
    <n v="49.994999999999997"/>
    <n v="99.99"/>
    <n v="49.994999999999997"/>
    <s v="Inexpensive"/>
  </r>
  <r>
    <d v="2019-01-17T09:58:00"/>
    <n v="141716"/>
    <x v="7"/>
    <n v="6820000000000"/>
    <x v="2"/>
    <n v="1"/>
    <n v="99.99"/>
    <n v="49.994999999999997"/>
    <n v="99.99"/>
    <n v="49.994999999999997"/>
    <s v="Inexpensive"/>
  </r>
  <r>
    <d v="2019-01-31T17:15:00"/>
    <n v="141717"/>
    <x v="4"/>
    <n v="9800000000000"/>
    <x v="2"/>
    <n v="1"/>
    <n v="2.99"/>
    <n v="1.4950000000000001"/>
    <n v="2.99"/>
    <n v="1.4950000000000001"/>
    <s v="Inexpensive"/>
  </r>
  <r>
    <d v="2019-01-16T15:02:00"/>
    <n v="141718"/>
    <x v="13"/>
    <n v="4760000000000"/>
    <x v="0"/>
    <n v="1"/>
    <n v="600"/>
    <n v="198"/>
    <n v="600"/>
    <n v="402"/>
    <s v="Inexpensive"/>
  </r>
  <r>
    <d v="2019-01-10T13:34:00"/>
    <n v="141719"/>
    <x v="5"/>
    <n v="2580000000000"/>
    <x v="0"/>
    <n v="1"/>
    <n v="389.99"/>
    <n v="128.69669999999999"/>
    <n v="389.99"/>
    <n v="261.29329999999999"/>
    <s v="Inexpensive"/>
  </r>
  <r>
    <d v="2019-01-25T19:58:00"/>
    <n v="141720"/>
    <x v="6"/>
    <n v="5450000000000"/>
    <x v="1"/>
    <n v="1"/>
    <n v="11.95"/>
    <n v="5.9749999999999996"/>
    <n v="11.95"/>
    <n v="5.9749999999999996"/>
    <s v="Inexpensive"/>
  </r>
  <r>
    <d v="2019-01-11T12:03:00"/>
    <n v="141721"/>
    <x v="12"/>
    <n v="1300000000000"/>
    <x v="1"/>
    <n v="1"/>
    <n v="3.84"/>
    <n v="1.92"/>
    <n v="3.84"/>
    <n v="1.92"/>
    <s v="Inexpensive"/>
  </r>
  <r>
    <d v="2019-01-06T14:06:00"/>
    <n v="141722"/>
    <x v="9"/>
    <n v="7960000000000"/>
    <x v="2"/>
    <n v="1"/>
    <n v="1700"/>
    <n v="561"/>
    <n v="1700"/>
    <n v="1139"/>
    <s v="Expensive"/>
  </r>
  <r>
    <d v="2019-01-14T22:05:00"/>
    <n v="141723"/>
    <x v="2"/>
    <n v="1850000000000"/>
    <x v="0"/>
    <n v="1"/>
    <n v="11.99"/>
    <n v="5.9950000000000001"/>
    <n v="11.99"/>
    <n v="5.9950000000000001"/>
    <s v="Inexpensive"/>
  </r>
  <r>
    <d v="2019-01-06T18:43:00"/>
    <n v="141724"/>
    <x v="1"/>
    <n v="1230000000000"/>
    <x v="2"/>
    <n v="1"/>
    <n v="14.95"/>
    <n v="7.4749999999999996"/>
    <n v="14.95"/>
    <n v="7.4749999999999996"/>
    <s v="Inexpensive"/>
  </r>
  <r>
    <d v="2019-01-09T18:16:00"/>
    <n v="141725"/>
    <x v="2"/>
    <n v="5230000000000"/>
    <x v="1"/>
    <n v="1"/>
    <n v="11.99"/>
    <n v="5.9950000000000001"/>
    <n v="11.99"/>
    <n v="5.9950000000000001"/>
    <s v="Inexpensive"/>
  </r>
  <r>
    <d v="2019-01-20T07:13:00"/>
    <n v="141726"/>
    <x v="6"/>
    <n v="2920000000000"/>
    <x v="2"/>
    <n v="1"/>
    <n v="11.95"/>
    <n v="5.9749999999999996"/>
    <n v="11.95"/>
    <n v="5.9749999999999996"/>
    <s v="Inexpensive"/>
  </r>
  <r>
    <d v="2019-01-31T13:38:00"/>
    <n v="141727"/>
    <x v="1"/>
    <n v="2990000000000"/>
    <x v="0"/>
    <n v="2"/>
    <n v="14.95"/>
    <n v="7.4749999999999996"/>
    <n v="29.9"/>
    <n v="14.95"/>
    <s v="Inexpensive"/>
  </r>
  <r>
    <d v="2019-01-14T00:00:00"/>
    <n v="141728"/>
    <x v="4"/>
    <n v="2820000000000"/>
    <x v="0"/>
    <n v="1"/>
    <n v="2.99"/>
    <n v="1.4950000000000001"/>
    <n v="2.99"/>
    <n v="1.4950000000000001"/>
    <s v="Inexpensive"/>
  </r>
  <r>
    <d v="2019-01-09T11:01:00"/>
    <n v="141729"/>
    <x v="2"/>
    <n v="7110000000000"/>
    <x v="2"/>
    <n v="1"/>
    <n v="11.99"/>
    <n v="5.9950000000000001"/>
    <n v="11.99"/>
    <n v="5.9950000000000001"/>
    <s v="Inexpensive"/>
  </r>
  <r>
    <d v="2019-01-23T16:23:00"/>
    <n v="141730"/>
    <x v="1"/>
    <n v="4390000000000"/>
    <x v="1"/>
    <n v="1"/>
    <n v="14.95"/>
    <n v="7.4749999999999996"/>
    <n v="14.95"/>
    <n v="7.4749999999999996"/>
    <s v="Inexpensive"/>
  </r>
  <r>
    <d v="2019-01-29T19:24:00"/>
    <n v="141731"/>
    <x v="9"/>
    <n v="7480000000000"/>
    <x v="0"/>
    <n v="1"/>
    <n v="1700"/>
    <n v="561"/>
    <n v="1700"/>
    <n v="1139"/>
    <s v="Expensive"/>
  </r>
  <r>
    <d v="2019-01-01T06:13:00"/>
    <n v="141732"/>
    <x v="0"/>
    <n v="7420000000000"/>
    <x v="2"/>
    <n v="1"/>
    <n v="700"/>
    <n v="231"/>
    <n v="700"/>
    <n v="469"/>
    <s v="Expensive"/>
  </r>
  <r>
    <d v="2019-01-24T12:38:00"/>
    <n v="141733"/>
    <x v="5"/>
    <n v="6620000000000"/>
    <x v="1"/>
    <n v="1"/>
    <n v="389.99"/>
    <n v="128.69669999999999"/>
    <n v="389.99"/>
    <n v="261.29329999999999"/>
    <s v="Inexpensive"/>
  </r>
  <r>
    <d v="2019-01-29T15:48:00"/>
    <n v="141734"/>
    <x v="7"/>
    <n v="7560000000000"/>
    <x v="0"/>
    <n v="1"/>
    <n v="99.99"/>
    <n v="49.994999999999997"/>
    <n v="99.99"/>
    <n v="49.994999999999997"/>
    <s v="Inexpensive"/>
  </r>
  <r>
    <d v="2019-01-25T12:34:00"/>
    <n v="141735"/>
    <x v="15"/>
    <n v="3010000000000"/>
    <x v="1"/>
    <n v="1"/>
    <n v="379.99"/>
    <n v="125.3967"/>
    <n v="379.99"/>
    <n v="254.5933"/>
    <s v="Inexpensive"/>
  </r>
  <r>
    <d v="2019-01-18T12:47:00"/>
    <n v="141736"/>
    <x v="6"/>
    <n v="4430000000000"/>
    <x v="0"/>
    <n v="1"/>
    <n v="11.95"/>
    <n v="5.9749999999999996"/>
    <n v="11.95"/>
    <n v="5.9749999999999996"/>
    <s v="Inexpensive"/>
  </r>
  <r>
    <d v="2019-01-02T08:37:00"/>
    <n v="141737"/>
    <x v="16"/>
    <n v="8590000000000"/>
    <x v="0"/>
    <n v="1"/>
    <n v="999.99"/>
    <n v="329.99669999999998"/>
    <n v="999.99"/>
    <n v="669.99329999999998"/>
    <s v="Expensive"/>
  </r>
  <r>
    <d v="2019-01-14T20:53:00"/>
    <n v="141738"/>
    <x v="0"/>
    <n v="7240000000000"/>
    <x v="0"/>
    <n v="1"/>
    <n v="700"/>
    <n v="231"/>
    <n v="700"/>
    <n v="469"/>
    <s v="Expensive"/>
  </r>
  <r>
    <d v="2019-01-14T20:53:00"/>
    <n v="141738"/>
    <x v="1"/>
    <n v="2060000000000"/>
    <x v="2"/>
    <n v="1"/>
    <n v="14.95"/>
    <n v="7.4749999999999996"/>
    <n v="14.95"/>
    <n v="7.4749999999999996"/>
    <s v="Inexpensive"/>
  </r>
  <r>
    <d v="2019-01-27T10:55:00"/>
    <n v="141739"/>
    <x v="12"/>
    <n v="5410000000000"/>
    <x v="2"/>
    <n v="1"/>
    <n v="3.84"/>
    <n v="1.92"/>
    <n v="3.84"/>
    <n v="1.92"/>
    <s v="Inexpensive"/>
  </r>
  <r>
    <d v="2019-01-12T22:42:00"/>
    <n v="141740"/>
    <x v="12"/>
    <n v="2720000000000"/>
    <x v="0"/>
    <n v="1"/>
    <n v="3.84"/>
    <n v="1.92"/>
    <n v="3.84"/>
    <n v="1.92"/>
    <s v="Inexpensive"/>
  </r>
  <r>
    <d v="2019-01-19T18:56:00"/>
    <n v="141741"/>
    <x v="7"/>
    <n v="7360000000000"/>
    <x v="1"/>
    <n v="1"/>
    <n v="99.99"/>
    <n v="49.994999999999997"/>
    <n v="99.99"/>
    <n v="49.994999999999997"/>
    <s v="Inexpensive"/>
  </r>
  <r>
    <d v="2019-01-20T10:29:00"/>
    <n v="141742"/>
    <x v="6"/>
    <n v="5630000000000"/>
    <x v="1"/>
    <n v="1"/>
    <n v="11.95"/>
    <n v="5.9749999999999996"/>
    <n v="11.95"/>
    <n v="5.9749999999999996"/>
    <s v="Inexpensive"/>
  </r>
  <r>
    <d v="2019-01-18T10:44:00"/>
    <n v="141743"/>
    <x v="6"/>
    <n v="3370000000000"/>
    <x v="2"/>
    <n v="1"/>
    <n v="11.95"/>
    <n v="5.9749999999999996"/>
    <n v="11.95"/>
    <n v="5.9749999999999996"/>
    <s v="Inexpensive"/>
  </r>
  <r>
    <d v="2019-01-10T15:55:00"/>
    <n v="141744"/>
    <x v="8"/>
    <n v="4450000000000"/>
    <x v="1"/>
    <n v="1"/>
    <n v="150"/>
    <n v="97.5"/>
    <n v="150"/>
    <n v="52.5"/>
    <s v="Inexpensive"/>
  </r>
  <r>
    <d v="2019-01-19T00:24:00"/>
    <n v="141745"/>
    <x v="4"/>
    <n v="8580000000000"/>
    <x v="1"/>
    <n v="2"/>
    <n v="2.99"/>
    <n v="1.4950000000000001"/>
    <n v="5.98"/>
    <n v="2.99"/>
    <s v="Inexpensive"/>
  </r>
  <r>
    <d v="2019-01-14T21:39:00"/>
    <n v="141746"/>
    <x v="1"/>
    <n v="1590000000000"/>
    <x v="0"/>
    <n v="2"/>
    <n v="14.95"/>
    <n v="7.4749999999999996"/>
    <n v="29.9"/>
    <n v="14.95"/>
    <s v="Inexpensive"/>
  </r>
  <r>
    <d v="2019-01-12T05:12:00"/>
    <n v="141747"/>
    <x v="3"/>
    <n v="9120000000000"/>
    <x v="0"/>
    <n v="1"/>
    <n v="149.99"/>
    <n v="97.493499999999997"/>
    <n v="149.99"/>
    <n v="52.496499999999997"/>
    <s v="Inexpensive"/>
  </r>
  <r>
    <d v="2019-01-09T09:46:00"/>
    <n v="141748"/>
    <x v="8"/>
    <n v="5650000000000"/>
    <x v="2"/>
    <n v="1"/>
    <n v="150"/>
    <n v="97.5"/>
    <n v="150"/>
    <n v="52.5"/>
    <s v="Inexpensive"/>
  </r>
  <r>
    <d v="2019-01-24T15:16:00"/>
    <n v="141749"/>
    <x v="10"/>
    <n v="6200000000000"/>
    <x v="1"/>
    <n v="1"/>
    <n v="300"/>
    <n v="99"/>
    <n v="300"/>
    <n v="201"/>
    <s v="Inexpensive"/>
  </r>
  <r>
    <d v="2019-01-23T16:46:00"/>
    <n v="141750"/>
    <x v="3"/>
    <n v="3970000000000"/>
    <x v="1"/>
    <n v="1"/>
    <n v="149.99"/>
    <n v="97.493499999999997"/>
    <n v="149.99"/>
    <n v="52.496499999999997"/>
    <s v="Inexpensive"/>
  </r>
  <r>
    <d v="2019-01-08T13:27:00"/>
    <n v="141751"/>
    <x v="5"/>
    <n v="7820000000000"/>
    <x v="2"/>
    <n v="1"/>
    <n v="389.99"/>
    <n v="128.69669999999999"/>
    <n v="389.99"/>
    <n v="261.29329999999999"/>
    <s v="Inexpensive"/>
  </r>
  <r>
    <d v="2019-01-18T23:13:00"/>
    <n v="141752"/>
    <x v="1"/>
    <n v="7160000000000"/>
    <x v="1"/>
    <n v="1"/>
    <n v="14.95"/>
    <n v="7.4749999999999996"/>
    <n v="14.95"/>
    <n v="7.4749999999999996"/>
    <s v="Inexpensive"/>
  </r>
  <r>
    <d v="2019-01-15T19:30:00"/>
    <n v="141753"/>
    <x v="6"/>
    <n v="2260000000000"/>
    <x v="0"/>
    <n v="2"/>
    <n v="11.95"/>
    <n v="5.9749999999999996"/>
    <n v="23.9"/>
    <n v="11.95"/>
    <s v="Inexpensive"/>
  </r>
  <r>
    <d v="2019-01-02T23:09:00"/>
    <n v="141754"/>
    <x v="8"/>
    <n v="6470000000000"/>
    <x v="0"/>
    <n v="2"/>
    <n v="150"/>
    <n v="97.5"/>
    <n v="300"/>
    <n v="105"/>
    <s v="Inexpensive"/>
  </r>
  <r>
    <d v="2019-01-02T20:12:00"/>
    <n v="141755"/>
    <x v="12"/>
    <n v="8760000000000"/>
    <x v="1"/>
    <n v="3"/>
    <n v="3.84"/>
    <n v="1.92"/>
    <n v="11.52"/>
    <n v="5.76"/>
    <s v="Inexpensive"/>
  </r>
  <r>
    <d v="2019-01-19T21:53:00"/>
    <n v="141756"/>
    <x v="7"/>
    <n v="3140000000000"/>
    <x v="2"/>
    <n v="1"/>
    <n v="99.99"/>
    <n v="49.994999999999997"/>
    <n v="99.99"/>
    <n v="49.994999999999997"/>
    <s v="Inexpensive"/>
  </r>
  <r>
    <d v="2019-01-13T14:47:00"/>
    <n v="141757"/>
    <x v="3"/>
    <n v="9120000000000"/>
    <x v="2"/>
    <n v="1"/>
    <n v="149.99"/>
    <n v="97.493499999999997"/>
    <n v="149.99"/>
    <n v="52.496499999999997"/>
    <s v="Inexpensive"/>
  </r>
  <r>
    <d v="2019-01-21T15:21:00"/>
    <n v="141758"/>
    <x v="2"/>
    <n v="3770000000000"/>
    <x v="0"/>
    <n v="1"/>
    <n v="11.99"/>
    <n v="5.9950000000000001"/>
    <n v="11.99"/>
    <n v="5.9950000000000001"/>
    <s v="Inexpensive"/>
  </r>
  <r>
    <d v="2019-01-02T19:18:00"/>
    <n v="141759"/>
    <x v="4"/>
    <n v="3070000000000"/>
    <x v="2"/>
    <n v="1"/>
    <n v="2.99"/>
    <n v="1.4950000000000001"/>
    <n v="2.99"/>
    <n v="1.4950000000000001"/>
    <s v="Inexpensive"/>
  </r>
  <r>
    <d v="2019-01-21T11:09:00"/>
    <n v="141760"/>
    <x v="11"/>
    <n v="9650000000000"/>
    <x v="2"/>
    <n v="1"/>
    <n v="400"/>
    <n v="132"/>
    <n v="400"/>
    <n v="268"/>
    <s v="Inexpensive"/>
  </r>
  <r>
    <d v="2019-01-11T19:02:00"/>
    <n v="141761"/>
    <x v="1"/>
    <n v="4540000000000"/>
    <x v="2"/>
    <n v="1"/>
    <n v="14.95"/>
    <n v="7.4749999999999996"/>
    <n v="14.95"/>
    <n v="7.4749999999999996"/>
    <s v="Inexpensive"/>
  </r>
  <r>
    <d v="2019-01-28T17:52:00"/>
    <n v="141762"/>
    <x v="7"/>
    <n v="9630000000000"/>
    <x v="0"/>
    <n v="1"/>
    <n v="99.99"/>
    <n v="49.994999999999997"/>
    <n v="99.99"/>
    <n v="49.994999999999997"/>
    <s v="Inexpensive"/>
  </r>
  <r>
    <d v="2019-01-05T02:51:00"/>
    <n v="141763"/>
    <x v="3"/>
    <n v="1580000000000"/>
    <x v="0"/>
    <n v="2"/>
    <n v="149.99"/>
    <n v="97.493499999999997"/>
    <n v="299.98"/>
    <n v="104.99299999999999"/>
    <s v="Inexpensive"/>
  </r>
  <r>
    <d v="2019-01-04T17:43:00"/>
    <n v="141764"/>
    <x v="6"/>
    <n v="2000000000000"/>
    <x v="1"/>
    <n v="1"/>
    <n v="11.95"/>
    <n v="5.9749999999999996"/>
    <n v="11.95"/>
    <n v="5.9749999999999996"/>
    <s v="Inexpensive"/>
  </r>
  <r>
    <d v="2019-01-24T12:23:00"/>
    <n v="141765"/>
    <x v="1"/>
    <n v="7080000000000"/>
    <x v="0"/>
    <n v="1"/>
    <n v="14.95"/>
    <n v="7.4749999999999996"/>
    <n v="14.95"/>
    <n v="7.4749999999999996"/>
    <s v="Inexpensive"/>
  </r>
  <r>
    <d v="2019-01-16T21:08:00"/>
    <n v="141766"/>
    <x v="18"/>
    <n v="9370000000000"/>
    <x v="1"/>
    <n v="1"/>
    <n v="600"/>
    <n v="198"/>
    <n v="600"/>
    <n v="402"/>
    <s v="Inexpensive"/>
  </r>
  <r>
    <d v="2019-01-23T22:30:00"/>
    <n v="141767"/>
    <x v="14"/>
    <n v="5580000000000"/>
    <x v="1"/>
    <n v="1"/>
    <n v="109.99"/>
    <n v="71.493499999999997"/>
    <n v="109.99"/>
    <n v="38.496499999999997"/>
    <s v="Inexpensive"/>
  </r>
  <r>
    <d v="2019-01-14T11:50:00"/>
    <n v="141768"/>
    <x v="6"/>
    <n v="9100000000000"/>
    <x v="2"/>
    <n v="1"/>
    <n v="11.95"/>
    <n v="5.9749999999999996"/>
    <n v="11.95"/>
    <n v="5.9749999999999996"/>
    <s v="Inexpensive"/>
  </r>
  <r>
    <d v="2019-01-21T10:53:00"/>
    <n v="141769"/>
    <x v="12"/>
    <n v="9030000000000"/>
    <x v="2"/>
    <n v="2"/>
    <n v="3.84"/>
    <n v="1.92"/>
    <n v="7.68"/>
    <n v="3.84"/>
    <s v="Inexpensive"/>
  </r>
  <r>
    <d v="2019-01-04T19:50:00"/>
    <n v="141770"/>
    <x v="2"/>
    <n v="5950000000000"/>
    <x v="1"/>
    <n v="1"/>
    <n v="11.99"/>
    <n v="5.9950000000000001"/>
    <n v="11.99"/>
    <n v="5.9950000000000001"/>
    <s v="Inexpensive"/>
  </r>
  <r>
    <d v="2019-01-11T19:00:00"/>
    <n v="141771"/>
    <x v="1"/>
    <n v="9530000000000"/>
    <x v="1"/>
    <n v="1"/>
    <n v="14.95"/>
    <n v="7.4749999999999996"/>
    <n v="14.95"/>
    <n v="7.4749999999999996"/>
    <s v="Inexpensive"/>
  </r>
  <r>
    <d v="2019-01-30T08:16:00"/>
    <n v="141772"/>
    <x v="8"/>
    <n v="9480000000000"/>
    <x v="1"/>
    <n v="1"/>
    <n v="150"/>
    <n v="97.5"/>
    <n v="150"/>
    <n v="52.5"/>
    <s v="Inexpensive"/>
  </r>
  <r>
    <d v="2019-01-30T16:09:00"/>
    <n v="141773"/>
    <x v="6"/>
    <n v="1690000000000"/>
    <x v="0"/>
    <n v="1"/>
    <n v="11.95"/>
    <n v="5.9749999999999996"/>
    <n v="11.95"/>
    <n v="5.9749999999999996"/>
    <s v="Inexpensive"/>
  </r>
  <r>
    <d v="2019-01-02T22:11:00"/>
    <n v="141774"/>
    <x v="7"/>
    <n v="1270000000000"/>
    <x v="1"/>
    <n v="1"/>
    <n v="99.99"/>
    <n v="49.994999999999997"/>
    <n v="99.99"/>
    <n v="49.994999999999997"/>
    <s v="Inexpensive"/>
  </r>
  <r>
    <d v="2019-01-07T17:15:00"/>
    <n v="141775"/>
    <x v="6"/>
    <n v="4250000000000"/>
    <x v="1"/>
    <n v="1"/>
    <n v="11.95"/>
    <n v="5.9749999999999996"/>
    <n v="11.95"/>
    <n v="5.9749999999999996"/>
    <s v="Inexpensive"/>
  </r>
  <r>
    <d v="2019-01-21T19:20:00"/>
    <n v="141776"/>
    <x v="1"/>
    <n v="4840000000000"/>
    <x v="2"/>
    <n v="1"/>
    <n v="14.95"/>
    <n v="7.4749999999999996"/>
    <n v="14.95"/>
    <n v="7.4749999999999996"/>
    <s v="Inexpensive"/>
  </r>
  <r>
    <d v="2019-01-14T19:43:00"/>
    <n v="141777"/>
    <x v="6"/>
    <n v="8490000000000"/>
    <x v="2"/>
    <n v="1"/>
    <n v="11.95"/>
    <n v="5.9749999999999996"/>
    <n v="11.95"/>
    <n v="5.9749999999999996"/>
    <s v="Inexpensive"/>
  </r>
  <r>
    <d v="2019-01-27T05:25:00"/>
    <n v="141778"/>
    <x v="1"/>
    <n v="1720000000000"/>
    <x v="0"/>
    <n v="1"/>
    <n v="14.95"/>
    <n v="7.4749999999999996"/>
    <n v="14.95"/>
    <n v="7.4749999999999996"/>
    <s v="Inexpensive"/>
  </r>
  <r>
    <d v="2019-01-02T11:23:00"/>
    <n v="141779"/>
    <x v="1"/>
    <n v="1610000000000"/>
    <x v="1"/>
    <n v="1"/>
    <n v="14.95"/>
    <n v="7.4749999999999996"/>
    <n v="14.95"/>
    <n v="7.4749999999999996"/>
    <s v="Inexpensive"/>
  </r>
  <r>
    <d v="2019-01-20T20:15:00"/>
    <n v="141780"/>
    <x v="2"/>
    <n v="3520000000000"/>
    <x v="2"/>
    <n v="1"/>
    <n v="11.99"/>
    <n v="5.9950000000000001"/>
    <n v="11.99"/>
    <n v="5.9950000000000001"/>
    <s v="Inexpensive"/>
  </r>
  <r>
    <d v="2019-01-20T07:07:00"/>
    <n v="141781"/>
    <x v="8"/>
    <n v="7640000000000"/>
    <x v="2"/>
    <n v="1"/>
    <n v="150"/>
    <n v="97.5"/>
    <n v="150"/>
    <n v="52.5"/>
    <s v="Inexpensive"/>
  </r>
  <r>
    <d v="2019-01-11T21:13:00"/>
    <n v="141782"/>
    <x v="3"/>
    <n v="1050000000000"/>
    <x v="1"/>
    <n v="1"/>
    <n v="149.99"/>
    <n v="97.493499999999997"/>
    <n v="149.99"/>
    <n v="52.496499999999997"/>
    <s v="Inexpensive"/>
  </r>
  <r>
    <d v="2019-01-11T21:13:00"/>
    <n v="141782"/>
    <x v="7"/>
    <n v="4260000000000"/>
    <x v="2"/>
    <n v="1"/>
    <n v="99.99"/>
    <n v="49.994999999999997"/>
    <n v="99.99"/>
    <n v="49.994999999999997"/>
    <s v="Inexpensive"/>
  </r>
  <r>
    <d v="2019-01-27T17:48:00"/>
    <n v="141783"/>
    <x v="7"/>
    <n v="2840000000000"/>
    <x v="0"/>
    <n v="1"/>
    <n v="99.99"/>
    <n v="49.994999999999997"/>
    <n v="99.99"/>
    <n v="49.994999999999997"/>
    <s v="Inexpensive"/>
  </r>
  <r>
    <d v="2019-01-07T11:54:00"/>
    <n v="141784"/>
    <x v="5"/>
    <n v="3230000000000"/>
    <x v="0"/>
    <n v="1"/>
    <n v="389.99"/>
    <n v="128.69669999999999"/>
    <n v="389.99"/>
    <n v="261.29329999999999"/>
    <s v="Inexpensive"/>
  </r>
  <r>
    <d v="2019-01-20T18:27:00"/>
    <n v="141785"/>
    <x v="8"/>
    <n v="4690000000000"/>
    <x v="0"/>
    <n v="1"/>
    <n v="150"/>
    <n v="97.5"/>
    <n v="150"/>
    <n v="52.5"/>
    <s v="Inexpensive"/>
  </r>
  <r>
    <d v="2019-01-27T12:58:00"/>
    <n v="141786"/>
    <x v="9"/>
    <n v="1500000000000"/>
    <x v="1"/>
    <n v="1"/>
    <n v="1700"/>
    <n v="561"/>
    <n v="1700"/>
    <n v="1139"/>
    <s v="Expensive"/>
  </r>
  <r>
    <d v="2019-01-15T21:11:00"/>
    <n v="141787"/>
    <x v="8"/>
    <n v="3930000000000"/>
    <x v="1"/>
    <n v="1"/>
    <n v="150"/>
    <n v="97.5"/>
    <n v="150"/>
    <n v="52.5"/>
    <s v="Inexpensive"/>
  </r>
  <r>
    <d v="2019-01-23T14:39:00"/>
    <n v="141788"/>
    <x v="12"/>
    <n v="4640000000000"/>
    <x v="0"/>
    <n v="2"/>
    <n v="3.84"/>
    <n v="1.92"/>
    <n v="7.68"/>
    <n v="3.84"/>
    <s v="Inexpensive"/>
  </r>
  <r>
    <d v="2019-01-01T20:13:00"/>
    <n v="141789"/>
    <x v="13"/>
    <n v="1870000000000"/>
    <x v="1"/>
    <n v="1"/>
    <n v="600"/>
    <n v="198"/>
    <n v="600"/>
    <n v="402"/>
    <s v="Inexpensive"/>
  </r>
  <r>
    <d v="2019-01-01T20:13:00"/>
    <n v="141789"/>
    <x v="6"/>
    <n v="4010000000000"/>
    <x v="0"/>
    <n v="2"/>
    <n v="11.95"/>
    <n v="5.9749999999999996"/>
    <n v="23.9"/>
    <n v="11.95"/>
    <s v="Inexpensive"/>
  </r>
  <r>
    <d v="2019-01-09T15:27:00"/>
    <n v="141790"/>
    <x v="4"/>
    <n v="6000000000000"/>
    <x v="0"/>
    <n v="1"/>
    <n v="2.99"/>
    <n v="1.4950000000000001"/>
    <n v="2.99"/>
    <n v="1.4950000000000001"/>
    <s v="Inexpensive"/>
  </r>
  <r>
    <d v="2019-01-16T10:36:00"/>
    <n v="141791"/>
    <x v="6"/>
    <n v="6620000000000"/>
    <x v="1"/>
    <n v="1"/>
    <n v="11.95"/>
    <n v="5.9749999999999996"/>
    <n v="11.95"/>
    <n v="5.9749999999999996"/>
    <s v="Inexpensive"/>
  </r>
  <r>
    <d v="2019-01-08T22:13:00"/>
    <n v="141792"/>
    <x v="6"/>
    <n v="9200000000000"/>
    <x v="2"/>
    <n v="1"/>
    <n v="11.95"/>
    <n v="5.9749999999999996"/>
    <n v="11.95"/>
    <n v="5.9749999999999996"/>
    <s v="Inexpensive"/>
  </r>
  <r>
    <d v="2019-01-19T11:01:00"/>
    <n v="141793"/>
    <x v="12"/>
    <n v="5190000000000"/>
    <x v="1"/>
    <n v="1"/>
    <n v="3.84"/>
    <n v="1.92"/>
    <n v="3.84"/>
    <n v="1.92"/>
    <s v="Inexpensive"/>
  </r>
  <r>
    <d v="2019-01-24T10:49:00"/>
    <n v="141794"/>
    <x v="7"/>
    <n v="3140000000000"/>
    <x v="1"/>
    <n v="1"/>
    <n v="99.99"/>
    <n v="49.994999999999997"/>
    <n v="99.99"/>
    <n v="49.994999999999997"/>
    <s v="Inexpensive"/>
  </r>
  <r>
    <d v="2019-01-19T20:31:00"/>
    <n v="141795"/>
    <x v="0"/>
    <n v="8810000000000"/>
    <x v="1"/>
    <n v="1"/>
    <n v="700"/>
    <n v="231"/>
    <n v="700"/>
    <n v="469"/>
    <s v="Expensive"/>
  </r>
  <r>
    <d v="2019-01-19T20:31:00"/>
    <n v="141795"/>
    <x v="2"/>
    <n v="2750000000000"/>
    <x v="0"/>
    <n v="1"/>
    <n v="11.99"/>
    <n v="5.9950000000000001"/>
    <n v="11.99"/>
    <n v="5.9950000000000001"/>
    <s v="Inexpensive"/>
  </r>
  <r>
    <d v="2019-01-23T20:28:00"/>
    <n v="141796"/>
    <x v="4"/>
    <n v="7790000000000"/>
    <x v="1"/>
    <n v="1"/>
    <n v="2.99"/>
    <n v="1.4950000000000001"/>
    <n v="2.99"/>
    <n v="1.4950000000000001"/>
    <s v="Inexpensive"/>
  </r>
  <r>
    <d v="2019-01-02T10:29:00"/>
    <n v="141797"/>
    <x v="3"/>
    <n v="5770000000000"/>
    <x v="2"/>
    <n v="1"/>
    <n v="149.99"/>
    <n v="97.493499999999997"/>
    <n v="149.99"/>
    <n v="52.496499999999997"/>
    <s v="Inexpensive"/>
  </r>
  <r>
    <d v="2019-01-18T07:48:00"/>
    <n v="141798"/>
    <x v="14"/>
    <n v="4320000000000"/>
    <x v="1"/>
    <n v="1"/>
    <n v="109.99"/>
    <n v="71.493499999999997"/>
    <n v="109.99"/>
    <n v="38.496499999999997"/>
    <s v="Inexpensive"/>
  </r>
  <r>
    <d v="2019-01-02T20:10:00"/>
    <n v="141799"/>
    <x v="12"/>
    <n v="6940000000000"/>
    <x v="2"/>
    <n v="1"/>
    <n v="3.84"/>
    <n v="1.92"/>
    <n v="3.84"/>
    <n v="1.92"/>
    <s v="Inexpensive"/>
  </r>
  <r>
    <d v="2019-01-26T12:11:00"/>
    <n v="141800"/>
    <x v="3"/>
    <n v="5530000000000"/>
    <x v="0"/>
    <n v="1"/>
    <n v="149.99"/>
    <n v="97.493499999999997"/>
    <n v="149.99"/>
    <n v="52.496499999999997"/>
    <s v="Inexpensive"/>
  </r>
  <r>
    <d v="2019-01-21T17:24:00"/>
    <n v="141801"/>
    <x v="6"/>
    <n v="6610000000000"/>
    <x v="0"/>
    <n v="1"/>
    <n v="11.95"/>
    <n v="5.9749999999999996"/>
    <n v="11.95"/>
    <n v="5.9749999999999996"/>
    <s v="Inexpensive"/>
  </r>
  <r>
    <d v="2019-01-09T06:09:00"/>
    <n v="141802"/>
    <x v="10"/>
    <n v="2640000000000"/>
    <x v="2"/>
    <n v="1"/>
    <n v="300"/>
    <n v="99"/>
    <n v="300"/>
    <n v="201"/>
    <s v="Inexpensive"/>
  </r>
  <r>
    <d v="2019-01-02T09:53:00"/>
    <n v="141803"/>
    <x v="5"/>
    <n v="2140000000000"/>
    <x v="1"/>
    <n v="1"/>
    <n v="389.99"/>
    <n v="128.69669999999999"/>
    <n v="389.99"/>
    <n v="261.29329999999999"/>
    <s v="Inexpensive"/>
  </r>
  <r>
    <d v="2019-01-23T19:52:00"/>
    <n v="141804"/>
    <x v="7"/>
    <n v="5210000000000"/>
    <x v="2"/>
    <n v="1"/>
    <n v="99.99"/>
    <n v="49.994999999999997"/>
    <n v="99.99"/>
    <n v="49.994999999999997"/>
    <s v="Inexpensive"/>
  </r>
  <r>
    <d v="2019-01-18T08:36:00"/>
    <n v="141805"/>
    <x v="7"/>
    <n v="3320000000000"/>
    <x v="0"/>
    <n v="1"/>
    <n v="99.99"/>
    <n v="49.994999999999997"/>
    <n v="99.99"/>
    <n v="49.994999999999997"/>
    <s v="Inexpensive"/>
  </r>
  <r>
    <d v="2019-01-26T23:02:00"/>
    <n v="141806"/>
    <x v="5"/>
    <n v="5750000000000"/>
    <x v="2"/>
    <n v="1"/>
    <n v="389.99"/>
    <n v="128.69669999999999"/>
    <n v="389.99"/>
    <n v="261.29329999999999"/>
    <s v="Inexpensive"/>
  </r>
  <r>
    <d v="2019-01-11T20:23:00"/>
    <n v="141807"/>
    <x v="11"/>
    <n v="5860000000000"/>
    <x v="0"/>
    <n v="1"/>
    <n v="400"/>
    <n v="132"/>
    <n v="400"/>
    <n v="268"/>
    <s v="Inexpensive"/>
  </r>
  <r>
    <d v="2019-01-10T18:36:00"/>
    <n v="141808"/>
    <x v="1"/>
    <n v="3400000000000"/>
    <x v="2"/>
    <n v="1"/>
    <n v="14.95"/>
    <n v="7.4749999999999996"/>
    <n v="14.95"/>
    <n v="7.4749999999999996"/>
    <s v="Inexpensive"/>
  </r>
  <r>
    <d v="2019-01-08T15:38:00"/>
    <n v="141809"/>
    <x v="13"/>
    <n v="9840000000000"/>
    <x v="2"/>
    <n v="1"/>
    <n v="600"/>
    <n v="198"/>
    <n v="600"/>
    <n v="402"/>
    <s v="Inexpensive"/>
  </r>
  <r>
    <d v="2019-01-08T15:38:00"/>
    <n v="141809"/>
    <x v="6"/>
    <n v="2230000000000"/>
    <x v="1"/>
    <n v="1"/>
    <n v="11.95"/>
    <n v="5.9749999999999996"/>
    <n v="11.95"/>
    <n v="5.9749999999999996"/>
    <s v="Inexpensive"/>
  </r>
  <r>
    <d v="2019-01-16T12:23:00"/>
    <n v="141810"/>
    <x v="1"/>
    <n v="3790000000000"/>
    <x v="0"/>
    <n v="1"/>
    <n v="14.95"/>
    <n v="7.4749999999999996"/>
    <n v="14.95"/>
    <n v="7.4749999999999996"/>
    <s v="Inexpensive"/>
  </r>
  <r>
    <d v="2019-01-03T20:47:00"/>
    <n v="141811"/>
    <x v="4"/>
    <n v="6280000000000"/>
    <x v="2"/>
    <n v="1"/>
    <n v="2.99"/>
    <n v="1.4950000000000001"/>
    <n v="2.99"/>
    <n v="1.4950000000000001"/>
    <s v="Inexpensive"/>
  </r>
  <r>
    <d v="2019-01-19T22:03:00"/>
    <n v="141812"/>
    <x v="12"/>
    <n v="9630000000000"/>
    <x v="0"/>
    <n v="1"/>
    <n v="3.84"/>
    <n v="1.92"/>
    <n v="3.84"/>
    <n v="1.92"/>
    <s v="Inexpensive"/>
  </r>
  <r>
    <d v="2019-01-10T10:03:00"/>
    <n v="141813"/>
    <x v="6"/>
    <n v="2580000000000"/>
    <x v="2"/>
    <n v="1"/>
    <n v="11.95"/>
    <n v="5.9749999999999996"/>
    <n v="11.95"/>
    <n v="5.9749999999999996"/>
    <s v="Inexpensive"/>
  </r>
  <r>
    <d v="2019-01-08T15:32:00"/>
    <n v="141814"/>
    <x v="14"/>
    <n v="9210000000000"/>
    <x v="2"/>
    <n v="1"/>
    <n v="109.99"/>
    <n v="71.493499999999997"/>
    <n v="109.99"/>
    <n v="38.496499999999997"/>
    <s v="Inexpensive"/>
  </r>
  <r>
    <d v="2019-01-22T10:50:00"/>
    <n v="141815"/>
    <x v="4"/>
    <n v="9220000000000"/>
    <x v="0"/>
    <n v="2"/>
    <n v="2.99"/>
    <n v="1.4950000000000001"/>
    <n v="5.98"/>
    <n v="2.99"/>
    <s v="Inexpensive"/>
  </r>
  <r>
    <d v="2019-01-09T09:22:00"/>
    <n v="141816"/>
    <x v="15"/>
    <n v="2910000000000"/>
    <x v="2"/>
    <n v="1"/>
    <n v="379.99"/>
    <n v="125.3967"/>
    <n v="379.99"/>
    <n v="254.5933"/>
    <s v="Inexpensive"/>
  </r>
  <r>
    <d v="2019-01-04T09:03:00"/>
    <n v="141817"/>
    <x v="17"/>
    <n v="7600000000000"/>
    <x v="0"/>
    <n v="1"/>
    <n v="600"/>
    <n v="198"/>
    <n v="600"/>
    <n v="402"/>
    <s v="Inexpensive"/>
  </r>
  <r>
    <d v="2019-01-06T06:53:00"/>
    <n v="141818"/>
    <x v="12"/>
    <n v="1600000000000"/>
    <x v="1"/>
    <n v="1"/>
    <n v="3.84"/>
    <n v="1.92"/>
    <n v="3.84"/>
    <n v="1.92"/>
    <s v="Inexpensive"/>
  </r>
  <r>
    <d v="2019-01-26T22:06:00"/>
    <n v="141819"/>
    <x v="4"/>
    <n v="9830000000000"/>
    <x v="1"/>
    <n v="2"/>
    <n v="2.99"/>
    <n v="1.4950000000000001"/>
    <n v="5.98"/>
    <n v="2.99"/>
    <s v="Inexpensive"/>
  </r>
  <r>
    <d v="2019-01-21T17:53:00"/>
    <n v="141820"/>
    <x v="1"/>
    <n v="3280000000000"/>
    <x v="1"/>
    <n v="1"/>
    <n v="14.95"/>
    <n v="7.4749999999999996"/>
    <n v="14.95"/>
    <n v="7.4749999999999996"/>
    <s v="Inexpensive"/>
  </r>
  <r>
    <d v="2019-01-21T12:24:00"/>
    <n v="141821"/>
    <x v="6"/>
    <n v="6780000000000"/>
    <x v="0"/>
    <n v="1"/>
    <n v="11.95"/>
    <n v="5.9749999999999996"/>
    <n v="11.95"/>
    <n v="5.9749999999999996"/>
    <s v="Inexpensive"/>
  </r>
  <r>
    <d v="2019-01-09T18:53:00"/>
    <n v="141822"/>
    <x v="1"/>
    <n v="4440000000000"/>
    <x v="2"/>
    <n v="1"/>
    <n v="14.95"/>
    <n v="7.4749999999999996"/>
    <n v="14.95"/>
    <n v="7.4749999999999996"/>
    <s v="Inexpensive"/>
  </r>
  <r>
    <d v="2019-01-27T17:30:00"/>
    <n v="141823"/>
    <x v="6"/>
    <n v="9130000000000"/>
    <x v="1"/>
    <n v="1"/>
    <n v="11.95"/>
    <n v="5.9749999999999996"/>
    <n v="11.95"/>
    <n v="5.9749999999999996"/>
    <s v="Inexpensive"/>
  </r>
  <r>
    <d v="2019-01-14T12:34:00"/>
    <n v="141824"/>
    <x v="2"/>
    <n v="6890000000000"/>
    <x v="1"/>
    <n v="1"/>
    <n v="11.99"/>
    <n v="5.9950000000000001"/>
    <n v="11.99"/>
    <n v="5.9950000000000001"/>
    <s v="Inexpensive"/>
  </r>
  <r>
    <d v="2019-01-16T13:02:00"/>
    <n v="141825"/>
    <x v="1"/>
    <n v="6490000000000"/>
    <x v="0"/>
    <n v="1"/>
    <n v="14.95"/>
    <n v="7.4749999999999996"/>
    <n v="14.95"/>
    <n v="7.4749999999999996"/>
    <s v="Inexpensive"/>
  </r>
  <r>
    <d v="2019-01-25T21:34:00"/>
    <n v="141826"/>
    <x v="1"/>
    <n v="5650000000000"/>
    <x v="1"/>
    <n v="1"/>
    <n v="14.95"/>
    <n v="7.4749999999999996"/>
    <n v="14.95"/>
    <n v="7.4749999999999996"/>
    <s v="Inexpensive"/>
  </r>
  <r>
    <d v="2019-01-18T21:33:00"/>
    <n v="141827"/>
    <x v="14"/>
    <n v="1050000000000"/>
    <x v="0"/>
    <n v="1"/>
    <n v="109.99"/>
    <n v="71.493499999999997"/>
    <n v="109.99"/>
    <n v="38.496499999999997"/>
    <s v="Inexpensive"/>
  </r>
  <r>
    <d v="2019-01-13T11:05:00"/>
    <n v="141828"/>
    <x v="12"/>
    <n v="6590000000000"/>
    <x v="2"/>
    <n v="1"/>
    <n v="3.84"/>
    <n v="1.92"/>
    <n v="3.84"/>
    <n v="1.92"/>
    <s v="Inexpensive"/>
  </r>
  <r>
    <d v="2019-01-15T12:41:00"/>
    <n v="141829"/>
    <x v="10"/>
    <n v="1630000000000"/>
    <x v="0"/>
    <n v="1"/>
    <n v="300"/>
    <n v="99"/>
    <n v="300"/>
    <n v="201"/>
    <s v="Inexpensive"/>
  </r>
  <r>
    <d v="2019-01-24T08:24:00"/>
    <n v="141830"/>
    <x v="6"/>
    <n v="7000000000000"/>
    <x v="2"/>
    <n v="1"/>
    <n v="11.95"/>
    <n v="5.9749999999999996"/>
    <n v="11.95"/>
    <n v="5.9749999999999996"/>
    <s v="Inexpensive"/>
  </r>
  <r>
    <d v="2019-01-23T02:42:00"/>
    <n v="141831"/>
    <x v="7"/>
    <n v="4820000000000"/>
    <x v="1"/>
    <n v="1"/>
    <n v="99.99"/>
    <n v="49.994999999999997"/>
    <n v="99.99"/>
    <n v="49.994999999999997"/>
    <s v="Inexpensive"/>
  </r>
  <r>
    <d v="2019-01-03T19:01:00"/>
    <n v="141832"/>
    <x v="15"/>
    <n v="5150000000000"/>
    <x v="0"/>
    <n v="1"/>
    <n v="379.99"/>
    <n v="125.3967"/>
    <n v="379.99"/>
    <n v="254.5933"/>
    <s v="Inexpensive"/>
  </r>
  <r>
    <d v="2019-01-11T21:16:00"/>
    <n v="141833"/>
    <x v="15"/>
    <n v="1030000000000"/>
    <x v="1"/>
    <n v="1"/>
    <n v="379.99"/>
    <n v="125.3967"/>
    <n v="379.99"/>
    <n v="254.5933"/>
    <s v="Inexpensive"/>
  </r>
  <r>
    <d v="2019-01-05T12:07:00"/>
    <n v="141834"/>
    <x v="3"/>
    <n v="7160000000000"/>
    <x v="1"/>
    <n v="1"/>
    <n v="149.99"/>
    <n v="97.493499999999997"/>
    <n v="149.99"/>
    <n v="52.496499999999997"/>
    <s v="Inexpensive"/>
  </r>
  <r>
    <d v="2019-01-23T20:33:00"/>
    <n v="141835"/>
    <x v="10"/>
    <n v="1750000000000"/>
    <x v="1"/>
    <n v="1"/>
    <n v="300"/>
    <n v="99"/>
    <n v="300"/>
    <n v="201"/>
    <s v="Inexpensive"/>
  </r>
  <r>
    <d v="2019-01-10T22:46:00"/>
    <n v="141836"/>
    <x v="4"/>
    <n v="6790000000000"/>
    <x v="2"/>
    <n v="2"/>
    <n v="2.99"/>
    <n v="1.4950000000000001"/>
    <n v="5.98"/>
    <n v="2.99"/>
    <s v="Inexpensive"/>
  </r>
  <r>
    <d v="2019-01-11T08:57:00"/>
    <n v="141837"/>
    <x v="7"/>
    <n v="2250000000000"/>
    <x v="2"/>
    <n v="1"/>
    <n v="99.99"/>
    <n v="49.994999999999997"/>
    <n v="99.99"/>
    <n v="49.994999999999997"/>
    <s v="Inexpensive"/>
  </r>
  <r>
    <d v="2019-01-15T15:07:00"/>
    <n v="141838"/>
    <x v="2"/>
    <n v="4070000000000"/>
    <x v="2"/>
    <n v="1"/>
    <n v="11.99"/>
    <n v="5.9950000000000001"/>
    <n v="11.99"/>
    <n v="5.9950000000000001"/>
    <s v="Inexpensive"/>
  </r>
  <r>
    <d v="2019-01-05T10:47:00"/>
    <n v="141839"/>
    <x v="6"/>
    <n v="6850000000000"/>
    <x v="0"/>
    <n v="1"/>
    <n v="11.95"/>
    <n v="5.9749999999999996"/>
    <n v="11.95"/>
    <n v="5.9749999999999996"/>
    <s v="Inexpensive"/>
  </r>
  <r>
    <d v="2019-01-24T23:40:00"/>
    <n v="141840"/>
    <x v="6"/>
    <n v="6850000000000"/>
    <x v="1"/>
    <n v="1"/>
    <n v="11.95"/>
    <n v="5.9749999999999996"/>
    <n v="11.95"/>
    <n v="5.9749999999999996"/>
    <s v="Inexpensive"/>
  </r>
  <r>
    <d v="2019-01-10T20:43:00"/>
    <n v="141841"/>
    <x v="7"/>
    <n v="9350000000000"/>
    <x v="0"/>
    <n v="1"/>
    <n v="99.99"/>
    <n v="49.994999999999997"/>
    <n v="99.99"/>
    <n v="49.994999999999997"/>
    <s v="Inexpensive"/>
  </r>
  <r>
    <d v="2019-01-19T14:11:00"/>
    <n v="141842"/>
    <x v="7"/>
    <n v="8260000000000"/>
    <x v="1"/>
    <n v="1"/>
    <n v="99.99"/>
    <n v="49.994999999999997"/>
    <n v="99.99"/>
    <n v="49.994999999999997"/>
    <s v="Inexpensive"/>
  </r>
  <r>
    <d v="2019-01-10T09:59:00"/>
    <n v="141843"/>
    <x v="12"/>
    <n v="6790000000000"/>
    <x v="0"/>
    <n v="1"/>
    <n v="3.84"/>
    <n v="1.92"/>
    <n v="3.84"/>
    <n v="1.92"/>
    <s v="Inexpensive"/>
  </r>
  <r>
    <d v="2019-01-10T09:59:00"/>
    <n v="141843"/>
    <x v="4"/>
    <n v="8950000000000"/>
    <x v="0"/>
    <n v="1"/>
    <n v="2.99"/>
    <n v="1.4950000000000001"/>
    <n v="2.99"/>
    <n v="1.4950000000000001"/>
    <s v="Inexpensive"/>
  </r>
  <r>
    <d v="2019-01-21T20:45:00"/>
    <n v="141844"/>
    <x v="1"/>
    <n v="3590000000000"/>
    <x v="2"/>
    <n v="1"/>
    <n v="14.95"/>
    <n v="7.4749999999999996"/>
    <n v="14.95"/>
    <n v="7.4749999999999996"/>
    <s v="Inexpensive"/>
  </r>
  <r>
    <d v="2019-01-24T23:20:00"/>
    <n v="141845"/>
    <x v="4"/>
    <n v="4340000000000"/>
    <x v="1"/>
    <n v="1"/>
    <n v="2.99"/>
    <n v="1.4950000000000001"/>
    <n v="2.99"/>
    <n v="1.4950000000000001"/>
    <s v="Inexpensive"/>
  </r>
  <r>
    <d v="2019-01-10T09:03:00"/>
    <n v="141846"/>
    <x v="12"/>
    <n v="7960000000000"/>
    <x v="1"/>
    <n v="1"/>
    <n v="3.84"/>
    <n v="1.92"/>
    <n v="3.84"/>
    <n v="1.92"/>
    <s v="Inexpensive"/>
  </r>
  <r>
    <d v="2019-01-08T15:52:00"/>
    <n v="141847"/>
    <x v="7"/>
    <n v="9020000000000"/>
    <x v="2"/>
    <n v="1"/>
    <n v="99.99"/>
    <n v="49.994999999999997"/>
    <n v="99.99"/>
    <n v="49.994999999999997"/>
    <s v="Inexpensive"/>
  </r>
  <r>
    <d v="2019-01-12T16:47:00"/>
    <n v="141848"/>
    <x v="6"/>
    <n v="3640000000000"/>
    <x v="2"/>
    <n v="1"/>
    <n v="11.95"/>
    <n v="5.9749999999999996"/>
    <n v="11.95"/>
    <n v="5.9749999999999996"/>
    <s v="Inexpensive"/>
  </r>
  <r>
    <d v="2019-01-15T06:28:00"/>
    <n v="141849"/>
    <x v="7"/>
    <n v="2780000000000"/>
    <x v="0"/>
    <n v="1"/>
    <n v="99.99"/>
    <n v="49.994999999999997"/>
    <n v="99.99"/>
    <n v="49.994999999999997"/>
    <s v="Inexpensive"/>
  </r>
  <r>
    <d v="2019-01-28T18:44:00"/>
    <n v="141850"/>
    <x v="4"/>
    <n v="3510000000000"/>
    <x v="2"/>
    <n v="1"/>
    <n v="2.99"/>
    <n v="1.4950000000000001"/>
    <n v="2.99"/>
    <n v="1.4950000000000001"/>
    <s v="Inexpensive"/>
  </r>
  <r>
    <d v="2019-01-20T10:43:00"/>
    <n v="141851"/>
    <x v="3"/>
    <n v="7420000000000"/>
    <x v="2"/>
    <n v="1"/>
    <n v="149.99"/>
    <n v="97.493499999999997"/>
    <n v="149.99"/>
    <n v="52.496499999999997"/>
    <s v="Inexpensive"/>
  </r>
  <r>
    <d v="2019-01-09T20:04:00"/>
    <n v="141852"/>
    <x v="6"/>
    <n v="9300000000000"/>
    <x v="0"/>
    <n v="1"/>
    <n v="11.95"/>
    <n v="5.9749999999999996"/>
    <n v="11.95"/>
    <n v="5.9749999999999996"/>
    <s v="Inexpensive"/>
  </r>
  <r>
    <d v="2019-01-11T12:32:00"/>
    <n v="141853"/>
    <x v="8"/>
    <n v="9670000000000"/>
    <x v="2"/>
    <n v="1"/>
    <n v="150"/>
    <n v="97.5"/>
    <n v="150"/>
    <n v="52.5"/>
    <s v="Inexpensive"/>
  </r>
  <r>
    <d v="2019-01-03T12:55:00"/>
    <n v="141854"/>
    <x v="14"/>
    <n v="6020000000000"/>
    <x v="1"/>
    <n v="1"/>
    <n v="109.99"/>
    <n v="71.493499999999997"/>
    <n v="109.99"/>
    <n v="38.496499999999997"/>
    <s v="Inexpensive"/>
  </r>
  <r>
    <d v="2019-01-01T15:01:00"/>
    <n v="141855"/>
    <x v="16"/>
    <n v="1630000000000"/>
    <x v="1"/>
    <n v="1"/>
    <n v="999.99"/>
    <n v="329.99669999999998"/>
    <n v="999.99"/>
    <n v="669.99329999999998"/>
    <s v="Expensive"/>
  </r>
  <r>
    <d v="2019-01-10T12:38:00"/>
    <n v="141856"/>
    <x v="1"/>
    <n v="3570000000000"/>
    <x v="0"/>
    <n v="1"/>
    <n v="14.95"/>
    <n v="7.4749999999999996"/>
    <n v="14.95"/>
    <n v="7.4749999999999996"/>
    <s v="Inexpensive"/>
  </r>
  <r>
    <d v="2019-01-10T00:35:00"/>
    <n v="141857"/>
    <x v="7"/>
    <n v="7930000000000"/>
    <x v="1"/>
    <n v="1"/>
    <n v="99.99"/>
    <n v="49.994999999999997"/>
    <n v="99.99"/>
    <n v="49.994999999999997"/>
    <s v="Inexpensive"/>
  </r>
  <r>
    <d v="2019-01-10T19:57:00"/>
    <n v="141858"/>
    <x v="6"/>
    <n v="6750000000000"/>
    <x v="1"/>
    <n v="1"/>
    <n v="11.95"/>
    <n v="5.9749999999999996"/>
    <n v="11.95"/>
    <n v="5.9749999999999996"/>
    <s v="Inexpensive"/>
  </r>
  <r>
    <d v="2019-01-24T06:38:00"/>
    <n v="141859"/>
    <x v="12"/>
    <n v="5460000000000"/>
    <x v="2"/>
    <n v="1"/>
    <n v="3.84"/>
    <n v="1.92"/>
    <n v="3.84"/>
    <n v="1.92"/>
    <s v="Inexpensive"/>
  </r>
  <r>
    <d v="2019-01-08T15:17:00"/>
    <n v="141860"/>
    <x v="16"/>
    <n v="3500000000000"/>
    <x v="2"/>
    <n v="1"/>
    <n v="999.99"/>
    <n v="329.99669999999998"/>
    <n v="999.99"/>
    <n v="669.99329999999998"/>
    <s v="Expensive"/>
  </r>
  <r>
    <d v="2019-01-15T20:15:00"/>
    <n v="141861"/>
    <x v="3"/>
    <n v="7820000000000"/>
    <x v="0"/>
    <n v="1"/>
    <n v="149.99"/>
    <n v="97.493499999999997"/>
    <n v="149.99"/>
    <n v="52.496499999999997"/>
    <s v="Inexpensive"/>
  </r>
  <r>
    <d v="2019-01-12T11:02:00"/>
    <n v="141862"/>
    <x v="2"/>
    <n v="4100000000000"/>
    <x v="0"/>
    <n v="1"/>
    <n v="11.99"/>
    <n v="5.9950000000000001"/>
    <n v="11.99"/>
    <n v="5.9950000000000001"/>
    <s v="Inexpensive"/>
  </r>
  <r>
    <d v="2019-01-26T16:21:00"/>
    <n v="141863"/>
    <x v="4"/>
    <n v="2740000000000"/>
    <x v="0"/>
    <n v="1"/>
    <n v="2.99"/>
    <n v="1.4950000000000001"/>
    <n v="2.99"/>
    <n v="1.4950000000000001"/>
    <s v="Inexpensive"/>
  </r>
  <r>
    <d v="2019-01-18T22:08:00"/>
    <n v="141864"/>
    <x v="5"/>
    <n v="8780000000000"/>
    <x v="0"/>
    <n v="1"/>
    <n v="389.99"/>
    <n v="128.69669999999999"/>
    <n v="389.99"/>
    <n v="261.29329999999999"/>
    <s v="Inexpensive"/>
  </r>
  <r>
    <d v="2019-01-25T22:16:00"/>
    <n v="141865"/>
    <x v="2"/>
    <n v="3550000000000"/>
    <x v="1"/>
    <n v="2"/>
    <n v="11.99"/>
    <n v="5.9950000000000001"/>
    <n v="23.98"/>
    <n v="11.99"/>
    <s v="Inexpensive"/>
  </r>
  <r>
    <d v="2019-01-27T13:57:00"/>
    <n v="141866"/>
    <x v="7"/>
    <n v="1430000000000"/>
    <x v="2"/>
    <n v="1"/>
    <n v="99.99"/>
    <n v="49.994999999999997"/>
    <n v="99.99"/>
    <n v="49.994999999999997"/>
    <s v="Inexpensive"/>
  </r>
  <r>
    <d v="2019-01-29T13:58:00"/>
    <n v="141867"/>
    <x v="8"/>
    <n v="6510000000000"/>
    <x v="0"/>
    <n v="1"/>
    <n v="150"/>
    <n v="97.5"/>
    <n v="150"/>
    <n v="52.5"/>
    <s v="Inexpensive"/>
  </r>
  <r>
    <d v="2019-01-31T20:56:00"/>
    <n v="141868"/>
    <x v="2"/>
    <n v="8800000000000"/>
    <x v="2"/>
    <n v="1"/>
    <n v="11.99"/>
    <n v="5.9950000000000001"/>
    <n v="11.99"/>
    <n v="5.9950000000000001"/>
    <s v="Inexpensive"/>
  </r>
  <r>
    <d v="2019-01-25T11:13:00"/>
    <n v="141869"/>
    <x v="14"/>
    <n v="3240000000000"/>
    <x v="2"/>
    <n v="1"/>
    <n v="109.99"/>
    <n v="71.493499999999997"/>
    <n v="109.99"/>
    <n v="38.496499999999997"/>
    <s v="Inexpensive"/>
  </r>
  <r>
    <d v="2019-01-25T22:23:00"/>
    <n v="141870"/>
    <x v="12"/>
    <n v="3720000000000"/>
    <x v="0"/>
    <n v="2"/>
    <n v="3.84"/>
    <n v="1.92"/>
    <n v="7.68"/>
    <n v="3.84"/>
    <s v="Inexpensive"/>
  </r>
  <r>
    <d v="2019-01-05T06:28:00"/>
    <n v="141871"/>
    <x v="1"/>
    <n v="1660000000000"/>
    <x v="1"/>
    <n v="1"/>
    <n v="14.95"/>
    <n v="7.4749999999999996"/>
    <n v="14.95"/>
    <n v="7.4749999999999996"/>
    <s v="Inexpensive"/>
  </r>
  <r>
    <d v="2019-01-19T12:46:00"/>
    <n v="141872"/>
    <x v="15"/>
    <n v="5400000000000"/>
    <x v="2"/>
    <n v="1"/>
    <n v="379.99"/>
    <n v="125.3967"/>
    <n v="379.99"/>
    <n v="254.5933"/>
    <s v="Inexpensive"/>
  </r>
  <r>
    <d v="2019-01-19T19:12:00"/>
    <n v="141873"/>
    <x v="15"/>
    <n v="6830000000000"/>
    <x v="0"/>
    <n v="1"/>
    <n v="379.99"/>
    <n v="125.3967"/>
    <n v="379.99"/>
    <n v="254.5933"/>
    <s v="Inexpensive"/>
  </r>
  <r>
    <d v="2019-01-29T20:04:00"/>
    <n v="141874"/>
    <x v="1"/>
    <n v="6940000000000"/>
    <x v="2"/>
    <n v="1"/>
    <n v="14.95"/>
    <n v="7.4749999999999996"/>
    <n v="14.95"/>
    <n v="7.4749999999999996"/>
    <s v="Inexpensive"/>
  </r>
  <r>
    <d v="2019-01-26T14:00:00"/>
    <n v="141875"/>
    <x v="12"/>
    <n v="8050000000000"/>
    <x v="1"/>
    <n v="1"/>
    <n v="3.84"/>
    <n v="1.92"/>
    <n v="3.84"/>
    <n v="1.92"/>
    <s v="Inexpensive"/>
  </r>
  <r>
    <d v="2019-01-13T11:16:00"/>
    <n v="141876"/>
    <x v="8"/>
    <n v="8730000000000"/>
    <x v="1"/>
    <n v="1"/>
    <n v="150"/>
    <n v="97.5"/>
    <n v="150"/>
    <n v="52.5"/>
    <s v="Inexpensive"/>
  </r>
  <r>
    <d v="2019-01-01T15:49:00"/>
    <n v="141877"/>
    <x v="6"/>
    <n v="4280000000000"/>
    <x v="2"/>
    <n v="1"/>
    <n v="11.95"/>
    <n v="5.9749999999999996"/>
    <n v="11.95"/>
    <n v="5.9749999999999996"/>
    <s v="Inexpensive"/>
  </r>
  <r>
    <d v="2019-01-17T16:06:00"/>
    <n v="141878"/>
    <x v="8"/>
    <n v="4390000000000"/>
    <x v="2"/>
    <n v="1"/>
    <n v="150"/>
    <n v="97.5"/>
    <n v="150"/>
    <n v="52.5"/>
    <s v="Inexpensive"/>
  </r>
  <r>
    <d v="2019-01-20T20:03:00"/>
    <n v="141879"/>
    <x v="12"/>
    <n v="8780000000000"/>
    <x v="2"/>
    <n v="1"/>
    <n v="3.84"/>
    <n v="1.92"/>
    <n v="3.84"/>
    <n v="1.92"/>
    <s v="Inexpensive"/>
  </r>
  <r>
    <d v="2019-01-31T01:21:00"/>
    <n v="141880"/>
    <x v="4"/>
    <n v="2950000000000"/>
    <x v="1"/>
    <n v="2"/>
    <n v="2.99"/>
    <n v="1.4950000000000001"/>
    <n v="5.98"/>
    <n v="2.99"/>
    <s v="Inexpensive"/>
  </r>
  <r>
    <d v="2019-01-19T16:36:00"/>
    <n v="141881"/>
    <x v="4"/>
    <n v="5810000000000"/>
    <x v="2"/>
    <n v="7"/>
    <n v="2.99"/>
    <n v="1.4950000000000001"/>
    <n v="20.93"/>
    <n v="10.465"/>
    <s v="Inexpensive"/>
  </r>
  <r>
    <d v="2019-01-08T22:08:00"/>
    <n v="141882"/>
    <x v="12"/>
    <n v="9080000000000"/>
    <x v="0"/>
    <n v="1"/>
    <n v="3.84"/>
    <n v="1.92"/>
    <n v="3.84"/>
    <n v="1.92"/>
    <s v="Inexpensive"/>
  </r>
  <r>
    <d v="2019-01-15T21:42:00"/>
    <n v="141883"/>
    <x v="12"/>
    <n v="4850000000000"/>
    <x v="1"/>
    <n v="1"/>
    <n v="3.84"/>
    <n v="1.92"/>
    <n v="3.84"/>
    <n v="1.92"/>
    <s v="Inexpensive"/>
  </r>
  <r>
    <d v="2019-01-08T10:18:00"/>
    <n v="141884"/>
    <x v="13"/>
    <n v="9420000000000"/>
    <x v="0"/>
    <n v="1"/>
    <n v="600"/>
    <n v="198"/>
    <n v="600"/>
    <n v="402"/>
    <s v="Inexpensive"/>
  </r>
  <r>
    <d v="2019-01-02T13:18:00"/>
    <n v="141885"/>
    <x v="2"/>
    <n v="4710000000000"/>
    <x v="0"/>
    <n v="1"/>
    <n v="11.99"/>
    <n v="5.9950000000000001"/>
    <n v="11.99"/>
    <n v="5.9950000000000001"/>
    <s v="Inexpensive"/>
  </r>
  <r>
    <d v="2019-01-10T06:37:00"/>
    <n v="141886"/>
    <x v="0"/>
    <n v="5930000000000"/>
    <x v="2"/>
    <n v="1"/>
    <n v="700"/>
    <n v="231"/>
    <n v="700"/>
    <n v="469"/>
    <s v="Expensive"/>
  </r>
  <r>
    <d v="2019-01-13T13:41:00"/>
    <n v="141887"/>
    <x v="4"/>
    <n v="8850000000000"/>
    <x v="0"/>
    <n v="2"/>
    <n v="2.99"/>
    <n v="1.4950000000000001"/>
    <n v="5.98"/>
    <n v="2.99"/>
    <s v="Inexpensive"/>
  </r>
  <r>
    <d v="2019-01-09T11:01:00"/>
    <n v="141888"/>
    <x v="0"/>
    <n v="3520000000000"/>
    <x v="0"/>
    <n v="1"/>
    <n v="700"/>
    <n v="231"/>
    <n v="700"/>
    <n v="469"/>
    <s v="Expensive"/>
  </r>
  <r>
    <d v="2019-01-12T13:03:00"/>
    <n v="141889"/>
    <x v="15"/>
    <n v="5240000000000"/>
    <x v="1"/>
    <n v="1"/>
    <n v="379.99"/>
    <n v="125.3967"/>
    <n v="379.99"/>
    <n v="254.5933"/>
    <s v="Inexpensive"/>
  </r>
  <r>
    <d v="2019-01-21T08:05:00"/>
    <n v="141890"/>
    <x v="1"/>
    <n v="6210000000000"/>
    <x v="0"/>
    <n v="1"/>
    <n v="14.95"/>
    <n v="7.4749999999999996"/>
    <n v="14.95"/>
    <n v="7.4749999999999996"/>
    <s v="Inexpensive"/>
  </r>
  <r>
    <d v="2019-01-31T22:14:00"/>
    <n v="141891"/>
    <x v="6"/>
    <n v="7910000000000"/>
    <x v="0"/>
    <n v="1"/>
    <n v="11.95"/>
    <n v="5.9749999999999996"/>
    <n v="11.95"/>
    <n v="5.9749999999999996"/>
    <s v="Inexpensive"/>
  </r>
  <r>
    <d v="2019-01-06T10:07:00"/>
    <n v="141892"/>
    <x v="12"/>
    <n v="9010000000000"/>
    <x v="2"/>
    <n v="2"/>
    <n v="3.84"/>
    <n v="1.92"/>
    <n v="7.68"/>
    <n v="3.84"/>
    <s v="Inexpensive"/>
  </r>
  <r>
    <d v="2019-01-23T16:19:00"/>
    <n v="141893"/>
    <x v="12"/>
    <n v="5780000000000"/>
    <x v="0"/>
    <n v="1"/>
    <n v="3.84"/>
    <n v="1.92"/>
    <n v="3.84"/>
    <n v="1.92"/>
    <s v="Inexpensive"/>
  </r>
  <r>
    <d v="2019-01-12T14:20:00"/>
    <n v="141894"/>
    <x v="8"/>
    <n v="9870000000000"/>
    <x v="0"/>
    <n v="1"/>
    <n v="150"/>
    <n v="97.5"/>
    <n v="150"/>
    <n v="52.5"/>
    <s v="Inexpensive"/>
  </r>
  <r>
    <d v="2019-01-18T17:37:00"/>
    <n v="141895"/>
    <x v="12"/>
    <n v="1470000000000"/>
    <x v="1"/>
    <n v="3"/>
    <n v="3.84"/>
    <n v="1.92"/>
    <n v="11.52"/>
    <n v="5.76"/>
    <s v="Inexpensive"/>
  </r>
  <r>
    <d v="2019-01-20T21:38:00"/>
    <n v="141896"/>
    <x v="12"/>
    <n v="2100000000000"/>
    <x v="2"/>
    <n v="1"/>
    <n v="3.84"/>
    <n v="1.92"/>
    <n v="3.84"/>
    <n v="1.92"/>
    <s v="Inexpensive"/>
  </r>
  <r>
    <d v="2019-01-06T20:16:00"/>
    <n v="141897"/>
    <x v="13"/>
    <n v="3840000000000"/>
    <x v="1"/>
    <n v="1"/>
    <n v="600"/>
    <n v="198"/>
    <n v="600"/>
    <n v="402"/>
    <s v="Inexpensive"/>
  </r>
  <r>
    <d v="2019-01-15T13:17:00"/>
    <n v="141898"/>
    <x v="10"/>
    <n v="1440000000000"/>
    <x v="2"/>
    <n v="1"/>
    <n v="300"/>
    <n v="99"/>
    <n v="300"/>
    <n v="201"/>
    <s v="Inexpensive"/>
  </r>
  <r>
    <d v="2019-01-12T22:33:00"/>
    <n v="141899"/>
    <x v="4"/>
    <n v="3460000000000"/>
    <x v="1"/>
    <n v="2"/>
    <n v="2.99"/>
    <n v="1.4950000000000001"/>
    <n v="5.98"/>
    <n v="2.99"/>
    <s v="Inexpensive"/>
  </r>
  <r>
    <d v="2019-01-18T09:53:00"/>
    <n v="141900"/>
    <x v="6"/>
    <n v="2930000000000"/>
    <x v="1"/>
    <n v="1"/>
    <n v="11.95"/>
    <n v="5.9749999999999996"/>
    <n v="11.95"/>
    <n v="5.9749999999999996"/>
    <s v="Inexpensive"/>
  </r>
  <r>
    <d v="2019-01-18T09:53:00"/>
    <n v="141900"/>
    <x v="11"/>
    <n v="3780000000000"/>
    <x v="1"/>
    <n v="1"/>
    <n v="400"/>
    <n v="132"/>
    <n v="400"/>
    <n v="268"/>
    <s v="Inexpensive"/>
  </r>
  <r>
    <d v="2019-01-18T09:53:00"/>
    <n v="141900"/>
    <x v="2"/>
    <n v="2940000000000"/>
    <x v="1"/>
    <n v="1"/>
    <n v="11.99"/>
    <n v="5.9950000000000001"/>
    <n v="11.99"/>
    <n v="5.9950000000000001"/>
    <s v="Inexpensive"/>
  </r>
  <r>
    <d v="2019-01-26T22:12:00"/>
    <n v="141901"/>
    <x v="13"/>
    <n v="9300000000000"/>
    <x v="2"/>
    <n v="1"/>
    <n v="600"/>
    <n v="198"/>
    <n v="600"/>
    <n v="402"/>
    <s v="Inexpensive"/>
  </r>
  <r>
    <d v="2019-01-26T22:12:00"/>
    <n v="141901"/>
    <x v="6"/>
    <n v="5180000000000"/>
    <x v="2"/>
    <n v="1"/>
    <n v="11.95"/>
    <n v="5.9749999999999996"/>
    <n v="11.95"/>
    <n v="5.9749999999999996"/>
    <s v="Inexpensive"/>
  </r>
  <r>
    <d v="2019-01-06T13:43:00"/>
    <n v="141902"/>
    <x v="2"/>
    <n v="8670000000000"/>
    <x v="2"/>
    <n v="1"/>
    <n v="11.99"/>
    <n v="5.9950000000000001"/>
    <n v="11.99"/>
    <n v="5.9950000000000001"/>
    <s v="Inexpensive"/>
  </r>
  <r>
    <d v="2019-01-30T20:01:00"/>
    <n v="141903"/>
    <x v="16"/>
    <n v="7880000000000"/>
    <x v="0"/>
    <n v="1"/>
    <n v="999.99"/>
    <n v="329.99669999999998"/>
    <n v="999.99"/>
    <n v="669.99329999999998"/>
    <s v="Expensive"/>
  </r>
  <r>
    <d v="2019-01-09T18:03:00"/>
    <n v="141904"/>
    <x v="8"/>
    <n v="1750000000000"/>
    <x v="1"/>
    <n v="1"/>
    <n v="150"/>
    <n v="97.5"/>
    <n v="150"/>
    <n v="52.5"/>
    <s v="Inexpensive"/>
  </r>
  <r>
    <d v="2019-01-02T07:10:00"/>
    <n v="141905"/>
    <x v="6"/>
    <n v="9700000000000"/>
    <x v="0"/>
    <n v="1"/>
    <n v="11.95"/>
    <n v="5.9749999999999996"/>
    <n v="11.95"/>
    <n v="5.9749999999999996"/>
    <s v="Inexpensive"/>
  </r>
  <r>
    <d v="2019-01-26T14:27:00"/>
    <n v="141906"/>
    <x v="4"/>
    <n v="9750000000000"/>
    <x v="2"/>
    <n v="2"/>
    <n v="2.99"/>
    <n v="1.4950000000000001"/>
    <n v="5.98"/>
    <n v="2.99"/>
    <s v="Inexpensive"/>
  </r>
  <r>
    <d v="2019-01-13T17:46:00"/>
    <n v="141907"/>
    <x v="6"/>
    <n v="1590000000000"/>
    <x v="1"/>
    <n v="1"/>
    <n v="11.95"/>
    <n v="5.9749999999999996"/>
    <n v="11.95"/>
    <n v="5.9749999999999996"/>
    <s v="Inexpensive"/>
  </r>
  <r>
    <d v="2019-01-27T23:33:00"/>
    <n v="141908"/>
    <x v="8"/>
    <n v="7100000000000"/>
    <x v="2"/>
    <n v="1"/>
    <n v="150"/>
    <n v="97.5"/>
    <n v="150"/>
    <n v="52.5"/>
    <s v="Inexpensive"/>
  </r>
  <r>
    <d v="2019-01-17T16:29:00"/>
    <n v="141909"/>
    <x v="12"/>
    <n v="9730000000000"/>
    <x v="0"/>
    <n v="2"/>
    <n v="3.84"/>
    <n v="1.92"/>
    <n v="7.68"/>
    <n v="3.84"/>
    <s v="Inexpensive"/>
  </r>
  <r>
    <d v="2019-01-19T10:52:00"/>
    <n v="141910"/>
    <x v="11"/>
    <n v="7940000000000"/>
    <x v="2"/>
    <n v="1"/>
    <n v="400"/>
    <n v="132"/>
    <n v="400"/>
    <n v="268"/>
    <s v="Inexpensive"/>
  </r>
  <r>
    <d v="2019-01-19T10:52:00"/>
    <n v="141910"/>
    <x v="2"/>
    <n v="1300000000000"/>
    <x v="0"/>
    <n v="1"/>
    <n v="11.99"/>
    <n v="5.9950000000000001"/>
    <n v="11.99"/>
    <n v="5.9950000000000001"/>
    <s v="Inexpensive"/>
  </r>
  <r>
    <d v="2019-01-20T14:35:00"/>
    <n v="141911"/>
    <x v="1"/>
    <n v="2440000000000"/>
    <x v="1"/>
    <n v="1"/>
    <n v="14.95"/>
    <n v="7.4749999999999996"/>
    <n v="14.95"/>
    <n v="7.4749999999999996"/>
    <s v="Inexpensive"/>
  </r>
  <r>
    <d v="2019-01-23T19:41:00"/>
    <n v="141912"/>
    <x v="8"/>
    <n v="9170000000000"/>
    <x v="0"/>
    <n v="1"/>
    <n v="150"/>
    <n v="97.5"/>
    <n v="150"/>
    <n v="52.5"/>
    <s v="Inexpensive"/>
  </r>
  <r>
    <d v="2019-01-27T11:35:00"/>
    <n v="141913"/>
    <x v="4"/>
    <n v="5880000000000"/>
    <x v="0"/>
    <n v="1"/>
    <n v="2.99"/>
    <n v="1.4950000000000001"/>
    <n v="2.99"/>
    <n v="1.4950000000000001"/>
    <s v="Inexpensive"/>
  </r>
  <r>
    <d v="2019-01-05T15:01:00"/>
    <n v="141914"/>
    <x v="7"/>
    <n v="8470000000000"/>
    <x v="0"/>
    <n v="1"/>
    <n v="99.99"/>
    <n v="49.994999999999997"/>
    <n v="99.99"/>
    <n v="49.994999999999997"/>
    <s v="Inexpensive"/>
  </r>
  <r>
    <d v="2019-01-28T16:51:00"/>
    <n v="141915"/>
    <x v="4"/>
    <n v="2500000000000"/>
    <x v="1"/>
    <n v="2"/>
    <n v="2.99"/>
    <n v="1.4950000000000001"/>
    <n v="5.98"/>
    <n v="2.99"/>
    <s v="Inexpensive"/>
  </r>
  <r>
    <d v="2019-01-26T14:03:00"/>
    <n v="141916"/>
    <x v="2"/>
    <n v="7760000000000"/>
    <x v="1"/>
    <n v="1"/>
    <n v="11.99"/>
    <n v="5.9950000000000001"/>
    <n v="11.99"/>
    <n v="5.9950000000000001"/>
    <s v="Inexpensive"/>
  </r>
  <r>
    <d v="2019-01-16T19:54:00"/>
    <n v="141917"/>
    <x v="4"/>
    <n v="5740000000000"/>
    <x v="2"/>
    <n v="1"/>
    <n v="2.99"/>
    <n v="1.4950000000000001"/>
    <n v="2.99"/>
    <n v="1.4950000000000001"/>
    <s v="Inexpensive"/>
  </r>
  <r>
    <d v="2019-01-21T17:04:00"/>
    <n v="141918"/>
    <x v="7"/>
    <n v="4140000000000"/>
    <x v="1"/>
    <n v="1"/>
    <n v="99.99"/>
    <n v="49.994999999999997"/>
    <n v="99.99"/>
    <n v="49.994999999999997"/>
    <s v="Inexpensive"/>
  </r>
  <r>
    <d v="2019-01-02T12:55:00"/>
    <n v="141919"/>
    <x v="2"/>
    <n v="6990000000000"/>
    <x v="2"/>
    <n v="1"/>
    <n v="11.99"/>
    <n v="5.9950000000000001"/>
    <n v="11.99"/>
    <n v="5.9950000000000001"/>
    <s v="Inexpensive"/>
  </r>
  <r>
    <d v="2019-01-23T18:39:00"/>
    <n v="141920"/>
    <x v="2"/>
    <n v="4610000000000"/>
    <x v="0"/>
    <n v="1"/>
    <n v="11.99"/>
    <n v="5.9950000000000001"/>
    <n v="11.99"/>
    <n v="5.9950000000000001"/>
    <s v="Inexpensive"/>
  </r>
  <r>
    <d v="2019-01-07T02:22:00"/>
    <n v="141921"/>
    <x v="1"/>
    <n v="1940000000000"/>
    <x v="2"/>
    <n v="1"/>
    <n v="14.95"/>
    <n v="7.4749999999999996"/>
    <n v="14.95"/>
    <n v="7.4749999999999996"/>
    <s v="Inexpensive"/>
  </r>
  <r>
    <d v="2019-01-10T11:05:00"/>
    <n v="141922"/>
    <x v="12"/>
    <n v="6700000000000"/>
    <x v="1"/>
    <n v="1"/>
    <n v="3.84"/>
    <n v="1.92"/>
    <n v="3.84"/>
    <n v="1.92"/>
    <s v="Inexpensive"/>
  </r>
  <r>
    <d v="2019-01-20T21:26:00"/>
    <n v="141923"/>
    <x v="1"/>
    <n v="8280000000000"/>
    <x v="0"/>
    <n v="1"/>
    <n v="14.95"/>
    <n v="7.4749999999999996"/>
    <n v="14.95"/>
    <n v="7.4749999999999996"/>
    <s v="Inexpensive"/>
  </r>
  <r>
    <d v="2019-01-09T10:47:00"/>
    <n v="141924"/>
    <x v="6"/>
    <n v="9210000000000"/>
    <x v="2"/>
    <n v="1"/>
    <n v="11.95"/>
    <n v="5.9749999999999996"/>
    <n v="11.95"/>
    <n v="5.9749999999999996"/>
    <s v="Inexpensive"/>
  </r>
  <r>
    <d v="2019-01-17T10:24:00"/>
    <n v="141925"/>
    <x v="1"/>
    <n v="7720000000000"/>
    <x v="1"/>
    <n v="1"/>
    <n v="14.95"/>
    <n v="7.4749999999999996"/>
    <n v="14.95"/>
    <n v="7.4749999999999996"/>
    <s v="Inexpensive"/>
  </r>
  <r>
    <d v="2019-01-23T22:09:00"/>
    <n v="141926"/>
    <x v="14"/>
    <n v="9310000000000"/>
    <x v="0"/>
    <n v="2"/>
    <n v="109.99"/>
    <n v="71.493499999999997"/>
    <n v="219.98"/>
    <n v="76.992999999999995"/>
    <s v="Inexpensive"/>
  </r>
  <r>
    <d v="2019-01-31T21:37:00"/>
    <n v="141927"/>
    <x v="3"/>
    <n v="2920000000000"/>
    <x v="1"/>
    <n v="1"/>
    <n v="149.99"/>
    <n v="97.493499999999997"/>
    <n v="149.99"/>
    <n v="52.496499999999997"/>
    <s v="Inexpensive"/>
  </r>
  <r>
    <d v="2019-01-06T14:01:00"/>
    <n v="141928"/>
    <x v="8"/>
    <n v="8130000000000"/>
    <x v="1"/>
    <n v="1"/>
    <n v="150"/>
    <n v="97.5"/>
    <n v="150"/>
    <n v="52.5"/>
    <s v="Inexpensive"/>
  </r>
  <r>
    <d v="2019-01-02T14:42:00"/>
    <n v="141929"/>
    <x v="12"/>
    <n v="3320000000000"/>
    <x v="2"/>
    <n v="2"/>
    <n v="3.84"/>
    <n v="1.92"/>
    <n v="7.68"/>
    <n v="3.84"/>
    <s v="Inexpensive"/>
  </r>
  <r>
    <d v="2019-01-18T14:21:00"/>
    <n v="141930"/>
    <x v="14"/>
    <n v="2530000000000"/>
    <x v="1"/>
    <n v="1"/>
    <n v="109.99"/>
    <n v="71.493499999999997"/>
    <n v="109.99"/>
    <n v="38.496499999999997"/>
    <s v="Inexpensive"/>
  </r>
  <r>
    <d v="2019-01-02T13:31:00"/>
    <n v="141931"/>
    <x v="6"/>
    <n v="4560000000000"/>
    <x v="0"/>
    <n v="1"/>
    <n v="11.95"/>
    <n v="5.9749999999999996"/>
    <n v="11.95"/>
    <n v="5.9749999999999996"/>
    <s v="Inexpensive"/>
  </r>
  <r>
    <d v="2019-01-24T18:49:00"/>
    <n v="141932"/>
    <x v="1"/>
    <n v="6330000000000"/>
    <x v="2"/>
    <n v="1"/>
    <n v="14.95"/>
    <n v="7.4749999999999996"/>
    <n v="14.95"/>
    <n v="7.4749999999999996"/>
    <s v="Inexpensive"/>
  </r>
  <r>
    <d v="2019-01-17T16:31:00"/>
    <n v="141933"/>
    <x v="2"/>
    <n v="7320000000000"/>
    <x v="1"/>
    <n v="1"/>
    <n v="11.99"/>
    <n v="5.9950000000000001"/>
    <n v="11.99"/>
    <n v="5.9950000000000001"/>
    <s v="Inexpensive"/>
  </r>
  <r>
    <d v="2019-01-19T15:56:00"/>
    <n v="141934"/>
    <x v="10"/>
    <n v="3190000000000"/>
    <x v="0"/>
    <n v="1"/>
    <n v="300"/>
    <n v="99"/>
    <n v="300"/>
    <n v="201"/>
    <s v="Inexpensive"/>
  </r>
  <r>
    <d v="2019-01-17T20:12:00"/>
    <n v="141935"/>
    <x v="15"/>
    <n v="5990000000000"/>
    <x v="2"/>
    <n v="1"/>
    <n v="379.99"/>
    <n v="125.3967"/>
    <n v="379.99"/>
    <n v="254.5933"/>
    <s v="Inexpensive"/>
  </r>
  <r>
    <d v="2019-01-27T17:04:00"/>
    <n v="141936"/>
    <x v="1"/>
    <n v="3750000000000"/>
    <x v="0"/>
    <n v="1"/>
    <n v="14.95"/>
    <n v="7.4749999999999996"/>
    <n v="14.95"/>
    <n v="7.4749999999999996"/>
    <s v="Inexpensive"/>
  </r>
  <r>
    <d v="2019-01-02T08:31:00"/>
    <n v="141937"/>
    <x v="6"/>
    <n v="4650000000000"/>
    <x v="1"/>
    <n v="1"/>
    <n v="11.95"/>
    <n v="5.9749999999999996"/>
    <n v="11.95"/>
    <n v="5.9749999999999996"/>
    <s v="Inexpensive"/>
  </r>
  <r>
    <d v="2019-01-16T16:34:00"/>
    <n v="141938"/>
    <x v="9"/>
    <n v="5670000000000"/>
    <x v="2"/>
    <n v="1"/>
    <n v="1700"/>
    <n v="561"/>
    <n v="1700"/>
    <n v="1139"/>
    <s v="Expensive"/>
  </r>
  <r>
    <d v="2019-01-11T14:36:00"/>
    <n v="141939"/>
    <x v="15"/>
    <n v="3140000000000"/>
    <x v="0"/>
    <n v="1"/>
    <n v="379.99"/>
    <n v="125.3967"/>
    <n v="379.99"/>
    <n v="254.5933"/>
    <s v="Inexpensive"/>
  </r>
  <r>
    <d v="2019-01-11T14:36:00"/>
    <n v="141939"/>
    <x v="1"/>
    <n v="9090000000000"/>
    <x v="1"/>
    <n v="1"/>
    <n v="14.95"/>
    <n v="7.4749999999999996"/>
    <n v="14.95"/>
    <n v="7.4749999999999996"/>
    <s v="Inexpensive"/>
  </r>
  <r>
    <d v="2019-01-14T16:19:00"/>
    <n v="141940"/>
    <x v="7"/>
    <n v="2920000000000"/>
    <x v="2"/>
    <n v="1"/>
    <n v="99.99"/>
    <n v="49.994999999999997"/>
    <n v="99.99"/>
    <n v="49.994999999999997"/>
    <s v="Inexpensive"/>
  </r>
  <r>
    <d v="2019-01-27T10:50:00"/>
    <n v="141941"/>
    <x v="14"/>
    <n v="6390000000000"/>
    <x v="2"/>
    <n v="1"/>
    <n v="109.99"/>
    <n v="71.493499999999997"/>
    <n v="109.99"/>
    <n v="38.496499999999997"/>
    <s v="Inexpensive"/>
  </r>
  <r>
    <d v="2019-01-06T12:24:00"/>
    <n v="141942"/>
    <x v="4"/>
    <n v="1630000000000"/>
    <x v="0"/>
    <n v="1"/>
    <n v="2.99"/>
    <n v="1.4950000000000001"/>
    <n v="2.99"/>
    <n v="1.4950000000000001"/>
    <s v="Inexpensive"/>
  </r>
  <r>
    <d v="2019-01-10T23:06:00"/>
    <n v="141943"/>
    <x v="1"/>
    <n v="9310000000000"/>
    <x v="2"/>
    <n v="1"/>
    <n v="14.95"/>
    <n v="7.4749999999999996"/>
    <n v="14.95"/>
    <n v="7.4749999999999996"/>
    <s v="Inexpensive"/>
  </r>
  <r>
    <d v="2019-01-31T18:04:00"/>
    <n v="141944"/>
    <x v="14"/>
    <n v="3480000000000"/>
    <x v="0"/>
    <n v="1"/>
    <n v="109.99"/>
    <n v="71.493499999999997"/>
    <n v="109.99"/>
    <n v="38.496499999999997"/>
    <s v="Inexpensive"/>
  </r>
  <r>
    <d v="2019-01-26T14:12:00"/>
    <n v="141945"/>
    <x v="6"/>
    <n v="7090000000000"/>
    <x v="2"/>
    <n v="1"/>
    <n v="11.95"/>
    <n v="5.9749999999999996"/>
    <n v="11.95"/>
    <n v="5.9749999999999996"/>
    <s v="Inexpensive"/>
  </r>
  <r>
    <d v="2019-01-11T17:24:00"/>
    <n v="141946"/>
    <x v="6"/>
    <n v="5720000000000"/>
    <x v="0"/>
    <n v="1"/>
    <n v="11.95"/>
    <n v="5.9749999999999996"/>
    <n v="11.95"/>
    <n v="5.9749999999999996"/>
    <s v="Inexpensive"/>
  </r>
  <r>
    <d v="2019-01-11T17:24:00"/>
    <n v="141946"/>
    <x v="2"/>
    <n v="6220000000000"/>
    <x v="2"/>
    <n v="1"/>
    <n v="11.99"/>
    <n v="5.9950000000000001"/>
    <n v="11.99"/>
    <n v="5.9950000000000001"/>
    <s v="Inexpensive"/>
  </r>
  <r>
    <d v="2019-01-17T11:05:00"/>
    <n v="141947"/>
    <x v="7"/>
    <n v="7220000000000"/>
    <x v="0"/>
    <n v="1"/>
    <n v="99.99"/>
    <n v="49.994999999999997"/>
    <n v="99.99"/>
    <n v="49.994999999999997"/>
    <s v="Inexpensive"/>
  </r>
  <r>
    <d v="2019-01-17T11:05:00"/>
    <n v="141947"/>
    <x v="1"/>
    <n v="6860000000000"/>
    <x v="0"/>
    <n v="1"/>
    <n v="14.95"/>
    <n v="7.4749999999999996"/>
    <n v="14.95"/>
    <n v="7.4749999999999996"/>
    <s v="Inexpensive"/>
  </r>
  <r>
    <d v="2019-01-24T14:04:00"/>
    <n v="141948"/>
    <x v="3"/>
    <n v="5850000000000"/>
    <x v="2"/>
    <n v="1"/>
    <n v="149.99"/>
    <n v="97.493499999999997"/>
    <n v="149.99"/>
    <n v="52.496499999999997"/>
    <s v="Inexpensive"/>
  </r>
  <r>
    <d v="2019-01-07T06:43:00"/>
    <n v="141949"/>
    <x v="6"/>
    <n v="5850000000000"/>
    <x v="1"/>
    <n v="1"/>
    <n v="11.95"/>
    <n v="5.9749999999999996"/>
    <n v="11.95"/>
    <n v="5.9749999999999996"/>
    <s v="Inexpensive"/>
  </r>
  <r>
    <d v="2019-01-01T19:54:00"/>
    <n v="141950"/>
    <x v="4"/>
    <n v="8380000000000"/>
    <x v="1"/>
    <n v="1"/>
    <n v="2.99"/>
    <n v="1.4950000000000001"/>
    <n v="2.99"/>
    <n v="1.4950000000000001"/>
    <s v="Inexpensive"/>
  </r>
  <r>
    <d v="2019-01-16T06:54:00"/>
    <n v="141951"/>
    <x v="16"/>
    <n v="3720000000000"/>
    <x v="1"/>
    <n v="1"/>
    <n v="999.99"/>
    <n v="329.99669999999998"/>
    <n v="999.99"/>
    <n v="669.99329999999998"/>
    <s v="Expensive"/>
  </r>
  <r>
    <d v="2019-01-04T21:13:00"/>
    <n v="141952"/>
    <x v="1"/>
    <n v="5280000000000"/>
    <x v="1"/>
    <n v="1"/>
    <n v="14.95"/>
    <n v="7.4749999999999996"/>
    <n v="14.95"/>
    <n v="7.4749999999999996"/>
    <s v="Inexpensive"/>
  </r>
  <r>
    <d v="2019-01-11T10:03:00"/>
    <n v="141953"/>
    <x v="9"/>
    <n v="2740000000000"/>
    <x v="0"/>
    <n v="1"/>
    <n v="1700"/>
    <n v="561"/>
    <n v="1700"/>
    <n v="1139"/>
    <s v="Expensive"/>
  </r>
  <r>
    <d v="2019-01-28T17:05:00"/>
    <n v="141954"/>
    <x v="13"/>
    <n v="9760000000000"/>
    <x v="0"/>
    <n v="1"/>
    <n v="600"/>
    <n v="198"/>
    <n v="600"/>
    <n v="402"/>
    <s v="Inexpensive"/>
  </r>
  <r>
    <d v="2019-01-26T15:04:00"/>
    <n v="141955"/>
    <x v="1"/>
    <n v="7930000000000"/>
    <x v="2"/>
    <n v="1"/>
    <n v="14.95"/>
    <n v="7.4749999999999996"/>
    <n v="14.95"/>
    <n v="7.4749999999999996"/>
    <s v="Inexpensive"/>
  </r>
  <r>
    <d v="2019-01-18T17:55:00"/>
    <n v="141956"/>
    <x v="10"/>
    <n v="6660000000000"/>
    <x v="1"/>
    <n v="1"/>
    <n v="300"/>
    <n v="99"/>
    <n v="300"/>
    <n v="201"/>
    <s v="Inexpensive"/>
  </r>
  <r>
    <d v="2019-01-25T20:06:00"/>
    <n v="141957"/>
    <x v="6"/>
    <n v="8750000000000"/>
    <x v="2"/>
    <n v="2"/>
    <n v="11.95"/>
    <n v="5.9749999999999996"/>
    <n v="23.9"/>
    <n v="11.95"/>
    <s v="Inexpensive"/>
  </r>
  <r>
    <d v="2019-01-16T15:23:00"/>
    <n v="141958"/>
    <x v="1"/>
    <n v="2960000000000"/>
    <x v="0"/>
    <n v="1"/>
    <n v="14.95"/>
    <n v="7.4749999999999996"/>
    <n v="14.95"/>
    <n v="7.4749999999999996"/>
    <s v="Inexpensive"/>
  </r>
  <r>
    <d v="2019-01-26T20:31:00"/>
    <n v="141959"/>
    <x v="2"/>
    <n v="7410000000000"/>
    <x v="0"/>
    <n v="1"/>
    <n v="11.99"/>
    <n v="5.9950000000000001"/>
    <n v="11.99"/>
    <n v="5.9950000000000001"/>
    <s v="Inexpensive"/>
  </r>
  <r>
    <d v="2019-01-12T18:02:00"/>
    <n v="141960"/>
    <x v="12"/>
    <n v="3910000000000"/>
    <x v="0"/>
    <n v="3"/>
    <n v="3.84"/>
    <n v="1.92"/>
    <n v="11.52"/>
    <n v="5.76"/>
    <s v="Inexpensive"/>
  </r>
  <r>
    <d v="2019-01-12T17:39:00"/>
    <n v="141961"/>
    <x v="0"/>
    <n v="6640000000000"/>
    <x v="1"/>
    <n v="1"/>
    <n v="700"/>
    <n v="231"/>
    <n v="700"/>
    <n v="469"/>
    <s v="Expensive"/>
  </r>
  <r>
    <d v="2019-01-30T11:47:00"/>
    <n v="141962"/>
    <x v="12"/>
    <n v="8770000000000"/>
    <x v="1"/>
    <n v="1"/>
    <n v="3.84"/>
    <n v="1.92"/>
    <n v="3.84"/>
    <n v="1.92"/>
    <s v="Inexpensive"/>
  </r>
  <r>
    <d v="2019-01-24T11:13:00"/>
    <n v="141963"/>
    <x v="7"/>
    <n v="4830000000000"/>
    <x v="1"/>
    <n v="1"/>
    <n v="99.99"/>
    <n v="49.994999999999997"/>
    <n v="99.99"/>
    <n v="49.994999999999997"/>
    <s v="Inexpensive"/>
  </r>
  <r>
    <d v="2019-01-21T12:36:00"/>
    <n v="141964"/>
    <x v="12"/>
    <n v="1360000000000"/>
    <x v="2"/>
    <n v="1"/>
    <n v="3.84"/>
    <n v="1.92"/>
    <n v="3.84"/>
    <n v="1.92"/>
    <s v="Inexpensive"/>
  </r>
  <r>
    <d v="2019-01-09T13:55:00"/>
    <n v="141965"/>
    <x v="13"/>
    <n v="3080000000000"/>
    <x v="1"/>
    <n v="1"/>
    <n v="600"/>
    <n v="198"/>
    <n v="600"/>
    <n v="402"/>
    <s v="Inexpensive"/>
  </r>
  <r>
    <d v="2019-01-09T13:55:00"/>
    <n v="141965"/>
    <x v="2"/>
    <n v="1250000000000"/>
    <x v="1"/>
    <n v="1"/>
    <n v="11.99"/>
    <n v="5.9950000000000001"/>
    <n v="11.99"/>
    <n v="5.9950000000000001"/>
    <s v="Inexpensive"/>
  </r>
  <r>
    <d v="2019-01-15T17:43:00"/>
    <n v="141966"/>
    <x v="1"/>
    <n v="4350000000000"/>
    <x v="1"/>
    <n v="1"/>
    <n v="14.95"/>
    <n v="7.4749999999999996"/>
    <n v="14.95"/>
    <n v="7.4749999999999996"/>
    <s v="Inexpensive"/>
  </r>
  <r>
    <d v="2019-01-25T12:02:00"/>
    <n v="141967"/>
    <x v="0"/>
    <n v="1020000000000"/>
    <x v="2"/>
    <n v="1"/>
    <n v="700"/>
    <n v="231"/>
    <n v="700"/>
    <n v="469"/>
    <s v="Expensive"/>
  </r>
  <r>
    <d v="2019-01-25T12:02:00"/>
    <n v="141967"/>
    <x v="2"/>
    <n v="3980000000000"/>
    <x v="2"/>
    <n v="1"/>
    <n v="11.99"/>
    <n v="5.9950000000000001"/>
    <n v="11.99"/>
    <n v="5.9950000000000001"/>
    <s v="Inexpensive"/>
  </r>
  <r>
    <d v="2019-01-15T19:50:00"/>
    <n v="141968"/>
    <x v="10"/>
    <n v="4620000000000"/>
    <x v="2"/>
    <n v="1"/>
    <n v="300"/>
    <n v="99"/>
    <n v="300"/>
    <n v="201"/>
    <s v="Inexpensive"/>
  </r>
  <r>
    <d v="2019-01-15T22:50:00"/>
    <n v="141969"/>
    <x v="3"/>
    <n v="3620000000000"/>
    <x v="0"/>
    <n v="1"/>
    <n v="149.99"/>
    <n v="97.493499999999997"/>
    <n v="149.99"/>
    <n v="52.496499999999997"/>
    <s v="Inexpensive"/>
  </r>
  <r>
    <d v="2019-01-05T13:06:00"/>
    <n v="141970"/>
    <x v="8"/>
    <n v="3560000000000"/>
    <x v="2"/>
    <n v="1"/>
    <n v="150"/>
    <n v="97.5"/>
    <n v="150"/>
    <n v="52.5"/>
    <s v="Inexpensive"/>
  </r>
  <r>
    <d v="2019-01-05T13:06:00"/>
    <n v="141970"/>
    <x v="1"/>
    <n v="6270000000000"/>
    <x v="2"/>
    <n v="1"/>
    <n v="14.95"/>
    <n v="7.4749999999999996"/>
    <n v="14.95"/>
    <n v="7.4749999999999996"/>
    <s v="Inexpensive"/>
  </r>
  <r>
    <d v="2019-01-19T07:00:00"/>
    <n v="141971"/>
    <x v="15"/>
    <n v="4420000000000"/>
    <x v="1"/>
    <n v="1"/>
    <n v="379.99"/>
    <n v="125.3967"/>
    <n v="379.99"/>
    <n v="254.5933"/>
    <s v="Inexpensive"/>
  </r>
  <r>
    <d v="2019-01-24T15:25:00"/>
    <n v="141972"/>
    <x v="13"/>
    <n v="7050000000000"/>
    <x v="2"/>
    <n v="1"/>
    <n v="600"/>
    <n v="198"/>
    <n v="600"/>
    <n v="402"/>
    <s v="Inexpensive"/>
  </r>
  <r>
    <d v="2019-01-24T15:25:00"/>
    <n v="141972"/>
    <x v="0"/>
    <n v="5030000000000"/>
    <x v="0"/>
    <n v="1"/>
    <n v="700"/>
    <n v="231"/>
    <n v="700"/>
    <n v="469"/>
    <s v="Expensive"/>
  </r>
  <r>
    <d v="2019-01-23T07:37:00"/>
    <n v="141973"/>
    <x v="4"/>
    <n v="5360000000000"/>
    <x v="2"/>
    <n v="1"/>
    <n v="2.99"/>
    <n v="1.4950000000000001"/>
    <n v="2.99"/>
    <n v="1.4950000000000001"/>
    <s v="Inexpensive"/>
  </r>
  <r>
    <d v="2019-01-23T20:54:00"/>
    <n v="141974"/>
    <x v="4"/>
    <n v="1480000000000"/>
    <x v="0"/>
    <n v="1"/>
    <n v="2.99"/>
    <n v="1.4950000000000001"/>
    <n v="2.99"/>
    <n v="1.4950000000000001"/>
    <s v="Inexpensive"/>
  </r>
  <r>
    <d v="2019-01-18T21:53:00"/>
    <n v="141975"/>
    <x v="12"/>
    <n v="7550000000000"/>
    <x v="0"/>
    <n v="1"/>
    <n v="3.84"/>
    <n v="1.92"/>
    <n v="3.84"/>
    <n v="1.92"/>
    <s v="Inexpensive"/>
  </r>
  <r>
    <d v="2019-01-15T09:41:00"/>
    <n v="141976"/>
    <x v="6"/>
    <n v="2040000000000"/>
    <x v="0"/>
    <n v="1"/>
    <n v="11.95"/>
    <n v="5.9749999999999996"/>
    <n v="11.95"/>
    <n v="5.9749999999999996"/>
    <s v="Inexpensive"/>
  </r>
  <r>
    <d v="2019-01-09T04:01:00"/>
    <n v="141977"/>
    <x v="3"/>
    <n v="2560000000000"/>
    <x v="1"/>
    <n v="1"/>
    <n v="149.99"/>
    <n v="97.493499999999997"/>
    <n v="149.99"/>
    <n v="52.496499999999997"/>
    <s v="Inexpensive"/>
  </r>
  <r>
    <d v="2019-01-26T13:02:00"/>
    <n v="141978"/>
    <x v="2"/>
    <n v="8230000000000"/>
    <x v="0"/>
    <n v="1"/>
    <n v="11.99"/>
    <n v="5.9950000000000001"/>
    <n v="11.99"/>
    <n v="5.9950000000000001"/>
    <s v="Inexpensive"/>
  </r>
  <r>
    <d v="2019-01-08T20:21:00"/>
    <n v="141979"/>
    <x v="10"/>
    <n v="9730000000000"/>
    <x v="0"/>
    <n v="1"/>
    <n v="300"/>
    <n v="99"/>
    <n v="300"/>
    <n v="201"/>
    <s v="Inexpensive"/>
  </r>
  <r>
    <d v="2019-01-05T21:57:00"/>
    <n v="141980"/>
    <x v="7"/>
    <n v="8350000000000"/>
    <x v="2"/>
    <n v="1"/>
    <n v="99.99"/>
    <n v="49.994999999999997"/>
    <n v="99.99"/>
    <n v="49.994999999999997"/>
    <s v="Inexpensive"/>
  </r>
  <r>
    <d v="2019-01-02T22:10:00"/>
    <n v="141981"/>
    <x v="14"/>
    <n v="8590000000000"/>
    <x v="1"/>
    <n v="1"/>
    <n v="109.99"/>
    <n v="71.493499999999997"/>
    <n v="109.99"/>
    <n v="38.496499999999997"/>
    <s v="Inexpensive"/>
  </r>
  <r>
    <d v="2019-01-11T15:57:00"/>
    <n v="141982"/>
    <x v="3"/>
    <n v="2910000000000"/>
    <x v="2"/>
    <n v="1"/>
    <n v="149.99"/>
    <n v="97.493499999999997"/>
    <n v="149.99"/>
    <n v="52.496499999999997"/>
    <s v="Inexpensive"/>
  </r>
  <r>
    <d v="2019-01-05T17:27:00"/>
    <n v="141983"/>
    <x v="5"/>
    <n v="8620000000000"/>
    <x v="1"/>
    <n v="1"/>
    <n v="389.99"/>
    <n v="128.69669999999999"/>
    <n v="389.99"/>
    <n v="261.29329999999999"/>
    <s v="Inexpensive"/>
  </r>
  <r>
    <d v="2019-01-23T16:48:00"/>
    <n v="141984"/>
    <x v="11"/>
    <n v="3280000000000"/>
    <x v="0"/>
    <n v="1"/>
    <n v="400"/>
    <n v="132"/>
    <n v="400"/>
    <n v="268"/>
    <s v="Inexpensive"/>
  </r>
  <r>
    <d v="2019-01-26T19:48:00"/>
    <n v="141985"/>
    <x v="8"/>
    <n v="8540000000000"/>
    <x v="0"/>
    <n v="1"/>
    <n v="150"/>
    <n v="97.5"/>
    <n v="150"/>
    <n v="52.5"/>
    <s v="Inexpensive"/>
  </r>
  <r>
    <d v="2019-01-31T14:21:00"/>
    <n v="141986"/>
    <x v="1"/>
    <n v="6550000000000"/>
    <x v="0"/>
    <n v="1"/>
    <n v="14.95"/>
    <n v="7.4749999999999996"/>
    <n v="14.95"/>
    <n v="7.4749999999999996"/>
    <s v="Inexpensive"/>
  </r>
  <r>
    <d v="2019-01-29T16:56:00"/>
    <n v="141987"/>
    <x v="13"/>
    <n v="8210000000000"/>
    <x v="0"/>
    <n v="1"/>
    <n v="600"/>
    <n v="198"/>
    <n v="600"/>
    <n v="402"/>
    <s v="Inexpensive"/>
  </r>
  <r>
    <d v="2019-01-17T11:28:00"/>
    <n v="141988"/>
    <x v="7"/>
    <n v="2980000000000"/>
    <x v="0"/>
    <n v="1"/>
    <n v="99.99"/>
    <n v="49.994999999999997"/>
    <n v="99.99"/>
    <n v="49.994999999999997"/>
    <s v="Inexpensive"/>
  </r>
  <r>
    <d v="2019-01-15T11:36:00"/>
    <n v="141989"/>
    <x v="7"/>
    <n v="5630000000000"/>
    <x v="1"/>
    <n v="1"/>
    <n v="99.99"/>
    <n v="49.994999999999997"/>
    <n v="99.99"/>
    <n v="49.994999999999997"/>
    <s v="Inexpensive"/>
  </r>
  <r>
    <d v="2019-01-18T00:39:00"/>
    <n v="141990"/>
    <x v="6"/>
    <n v="4650000000000"/>
    <x v="1"/>
    <n v="1"/>
    <n v="11.95"/>
    <n v="5.9749999999999996"/>
    <n v="11.95"/>
    <n v="5.9749999999999996"/>
    <s v="Inexpensive"/>
  </r>
  <r>
    <d v="2019-01-01T19:51:00"/>
    <n v="141991"/>
    <x v="4"/>
    <n v="2640000000000"/>
    <x v="1"/>
    <n v="2"/>
    <n v="2.99"/>
    <n v="1.4950000000000001"/>
    <n v="5.98"/>
    <n v="2.99"/>
    <s v="Inexpensive"/>
  </r>
  <r>
    <d v="2019-01-02T22:27:00"/>
    <n v="141992"/>
    <x v="7"/>
    <n v="9270000000000"/>
    <x v="2"/>
    <n v="1"/>
    <n v="99.99"/>
    <n v="49.994999999999997"/>
    <n v="99.99"/>
    <n v="49.994999999999997"/>
    <s v="Inexpensive"/>
  </r>
  <r>
    <d v="2019-01-06T09:19:00"/>
    <n v="141993"/>
    <x v="0"/>
    <n v="9150000000000"/>
    <x v="1"/>
    <n v="1"/>
    <n v="700"/>
    <n v="231"/>
    <n v="700"/>
    <n v="469"/>
    <s v="Expensive"/>
  </r>
  <r>
    <d v="2019-01-06T09:19:00"/>
    <n v="141993"/>
    <x v="2"/>
    <n v="3260000000000"/>
    <x v="1"/>
    <n v="1"/>
    <n v="11.99"/>
    <n v="5.9950000000000001"/>
    <n v="11.99"/>
    <n v="5.9950000000000001"/>
    <s v="Inexpensive"/>
  </r>
  <r>
    <d v="2019-01-02T08:47:00"/>
    <n v="141994"/>
    <x v="1"/>
    <n v="3100000000000"/>
    <x v="1"/>
    <n v="1"/>
    <n v="14.95"/>
    <n v="7.4749999999999996"/>
    <n v="14.95"/>
    <n v="7.4749999999999996"/>
    <s v="Inexpensive"/>
  </r>
  <r>
    <d v="2019-01-11T10:49:00"/>
    <n v="141995"/>
    <x v="12"/>
    <n v="8660000000000"/>
    <x v="1"/>
    <n v="1"/>
    <n v="3.84"/>
    <n v="1.92"/>
    <n v="3.84"/>
    <n v="1.92"/>
    <s v="Inexpensive"/>
  </r>
  <r>
    <d v="2019-01-20T20:53:00"/>
    <n v="141996"/>
    <x v="1"/>
    <n v="7680000000000"/>
    <x v="2"/>
    <n v="1"/>
    <n v="14.95"/>
    <n v="7.4749999999999996"/>
    <n v="14.95"/>
    <n v="7.4749999999999996"/>
    <s v="Inexpensive"/>
  </r>
  <r>
    <d v="2019-01-26T12:55:00"/>
    <n v="141997"/>
    <x v="3"/>
    <n v="5410000000000"/>
    <x v="0"/>
    <n v="1"/>
    <n v="149.99"/>
    <n v="97.493499999999997"/>
    <n v="149.99"/>
    <n v="52.496499999999997"/>
    <s v="Inexpensive"/>
  </r>
  <r>
    <d v="2019-01-26T19:19:00"/>
    <n v="141998"/>
    <x v="4"/>
    <n v="7500000000000"/>
    <x v="2"/>
    <n v="3"/>
    <n v="2.99"/>
    <n v="1.4950000000000001"/>
    <n v="8.9700000000000006"/>
    <n v="4.4850000000000003"/>
    <s v="Inexpensive"/>
  </r>
  <r>
    <d v="2019-01-24T08:21:00"/>
    <n v="141999"/>
    <x v="3"/>
    <n v="9350000000000"/>
    <x v="1"/>
    <n v="1"/>
    <n v="149.99"/>
    <n v="97.493499999999997"/>
    <n v="149.99"/>
    <n v="52.496499999999997"/>
    <s v="Inexpensive"/>
  </r>
  <r>
    <d v="2019-01-23T10:54:00"/>
    <n v="142000"/>
    <x v="5"/>
    <n v="9860000000000"/>
    <x v="2"/>
    <n v="1"/>
    <n v="389.99"/>
    <n v="128.69669999999999"/>
    <n v="389.99"/>
    <n v="261.29329999999999"/>
    <s v="Inexpensive"/>
  </r>
  <r>
    <d v="2019-01-29T16:58:00"/>
    <n v="142001"/>
    <x v="4"/>
    <n v="3160000000000"/>
    <x v="0"/>
    <n v="1"/>
    <n v="2.99"/>
    <n v="1.4950000000000001"/>
    <n v="2.99"/>
    <n v="1.4950000000000001"/>
    <s v="Inexpensive"/>
  </r>
  <r>
    <d v="2019-01-20T21:45:00"/>
    <n v="142002"/>
    <x v="3"/>
    <n v="1210000000000"/>
    <x v="2"/>
    <n v="1"/>
    <n v="149.99"/>
    <n v="97.493499999999997"/>
    <n v="149.99"/>
    <n v="52.496499999999997"/>
    <s v="Inexpensive"/>
  </r>
  <r>
    <d v="2019-01-19T17:52:00"/>
    <n v="142003"/>
    <x v="1"/>
    <n v="8010000000000"/>
    <x v="0"/>
    <n v="1"/>
    <n v="14.95"/>
    <n v="7.4749999999999996"/>
    <n v="14.95"/>
    <n v="7.4749999999999996"/>
    <s v="Inexpensive"/>
  </r>
  <r>
    <d v="2019-01-04T09:04:00"/>
    <n v="142004"/>
    <x v="7"/>
    <n v="2070000000000"/>
    <x v="0"/>
    <n v="1"/>
    <n v="99.99"/>
    <n v="49.994999999999997"/>
    <n v="99.99"/>
    <n v="49.994999999999997"/>
    <s v="Inexpensive"/>
  </r>
  <r>
    <d v="2019-01-06T23:13:00"/>
    <n v="142005"/>
    <x v="6"/>
    <n v="1310000000000"/>
    <x v="2"/>
    <n v="1"/>
    <n v="11.95"/>
    <n v="5.9749999999999996"/>
    <n v="11.95"/>
    <n v="5.9749999999999996"/>
    <s v="Inexpensive"/>
  </r>
  <r>
    <d v="2019-01-23T13:46:00"/>
    <n v="142006"/>
    <x v="7"/>
    <n v="4410000000000"/>
    <x v="1"/>
    <n v="1"/>
    <n v="99.99"/>
    <n v="49.994999999999997"/>
    <n v="99.99"/>
    <n v="49.994999999999997"/>
    <s v="Inexpensive"/>
  </r>
  <r>
    <d v="2019-01-03T12:54:00"/>
    <n v="142007"/>
    <x v="3"/>
    <n v="9360000000000"/>
    <x v="0"/>
    <n v="1"/>
    <n v="149.99"/>
    <n v="97.493499999999997"/>
    <n v="149.99"/>
    <n v="52.496499999999997"/>
    <s v="Inexpensive"/>
  </r>
  <r>
    <d v="2019-01-21T15:57:00"/>
    <n v="142008"/>
    <x v="2"/>
    <n v="4220000000000"/>
    <x v="2"/>
    <n v="1"/>
    <n v="11.99"/>
    <n v="5.9950000000000001"/>
    <n v="11.99"/>
    <n v="5.9950000000000001"/>
    <s v="Inexpensive"/>
  </r>
  <r>
    <d v="2019-01-15T13:59:00"/>
    <n v="142009"/>
    <x v="0"/>
    <n v="6650000000000"/>
    <x v="2"/>
    <n v="1"/>
    <n v="700"/>
    <n v="231"/>
    <n v="700"/>
    <n v="469"/>
    <s v="Expensive"/>
  </r>
  <r>
    <d v="2019-01-04T06:28:00"/>
    <n v="142010"/>
    <x v="0"/>
    <n v="2360000000000"/>
    <x v="0"/>
    <n v="1"/>
    <n v="700"/>
    <n v="231"/>
    <n v="700"/>
    <n v="469"/>
    <s v="Expensive"/>
  </r>
  <r>
    <d v="2019-01-04T06:28:00"/>
    <n v="142010"/>
    <x v="1"/>
    <n v="1590000000000"/>
    <x v="1"/>
    <n v="1"/>
    <n v="14.95"/>
    <n v="7.4749999999999996"/>
    <n v="14.95"/>
    <n v="7.4749999999999996"/>
    <s v="Inexpensive"/>
  </r>
  <r>
    <d v="2019-01-18T09:36:00"/>
    <n v="142011"/>
    <x v="8"/>
    <n v="3820000000000"/>
    <x v="1"/>
    <n v="1"/>
    <n v="150"/>
    <n v="97.5"/>
    <n v="150"/>
    <n v="52.5"/>
    <s v="Inexpensive"/>
  </r>
  <r>
    <d v="2019-01-27T13:42:00"/>
    <n v="142012"/>
    <x v="4"/>
    <n v="7910000000000"/>
    <x v="1"/>
    <n v="2"/>
    <n v="2.99"/>
    <n v="1.4950000000000001"/>
    <n v="5.98"/>
    <n v="2.99"/>
    <s v="Inexpensive"/>
  </r>
  <r>
    <d v="2019-01-08T18:02:00"/>
    <n v="142013"/>
    <x v="7"/>
    <n v="6230000000000"/>
    <x v="2"/>
    <n v="1"/>
    <n v="99.99"/>
    <n v="49.994999999999997"/>
    <n v="99.99"/>
    <n v="49.994999999999997"/>
    <s v="Inexpensive"/>
  </r>
  <r>
    <d v="2019-01-02T20:41:00"/>
    <n v="142014"/>
    <x v="9"/>
    <n v="7350000000000"/>
    <x v="1"/>
    <n v="1"/>
    <n v="1700"/>
    <n v="561"/>
    <n v="1700"/>
    <n v="1139"/>
    <s v="Expensive"/>
  </r>
  <r>
    <d v="2019-01-01T13:26:00"/>
    <n v="142015"/>
    <x v="8"/>
    <n v="3290000000000"/>
    <x v="2"/>
    <n v="1"/>
    <n v="150"/>
    <n v="97.5"/>
    <n v="150"/>
    <n v="52.5"/>
    <s v="Inexpensive"/>
  </r>
  <r>
    <d v="2019-01-13T21:47:00"/>
    <n v="142016"/>
    <x v="4"/>
    <n v="2200000000000"/>
    <x v="2"/>
    <n v="2"/>
    <n v="2.99"/>
    <n v="1.4950000000000001"/>
    <n v="5.98"/>
    <n v="2.99"/>
    <s v="Inexpensive"/>
  </r>
  <r>
    <d v="2019-01-22T14:17:00"/>
    <n v="142017"/>
    <x v="5"/>
    <n v="9910000000000"/>
    <x v="0"/>
    <n v="1"/>
    <n v="389.99"/>
    <n v="128.69669999999999"/>
    <n v="389.99"/>
    <n v="261.29329999999999"/>
    <s v="Inexpensive"/>
  </r>
  <r>
    <d v="2019-01-09T16:38:00"/>
    <n v="142018"/>
    <x v="6"/>
    <n v="9500000000000"/>
    <x v="0"/>
    <n v="1"/>
    <n v="11.95"/>
    <n v="5.9749999999999996"/>
    <n v="11.95"/>
    <n v="5.9749999999999996"/>
    <s v="Inexpensive"/>
  </r>
  <r>
    <d v="2019-01-03T19:58:00"/>
    <n v="142019"/>
    <x v="1"/>
    <n v="8330000000000"/>
    <x v="2"/>
    <n v="1"/>
    <n v="14.95"/>
    <n v="7.4749999999999996"/>
    <n v="14.95"/>
    <n v="7.4749999999999996"/>
    <s v="Inexpensive"/>
  </r>
  <r>
    <d v="2019-01-10T08:33:00"/>
    <n v="142020"/>
    <x v="6"/>
    <n v="8520000000000"/>
    <x v="1"/>
    <n v="1"/>
    <n v="11.95"/>
    <n v="5.9749999999999996"/>
    <n v="11.95"/>
    <n v="5.9749999999999996"/>
    <s v="Inexpensive"/>
  </r>
  <r>
    <d v="2019-01-07T09:39:00"/>
    <n v="142021"/>
    <x v="1"/>
    <n v="3130000000000"/>
    <x v="0"/>
    <n v="1"/>
    <n v="14.95"/>
    <n v="7.4749999999999996"/>
    <n v="14.95"/>
    <n v="7.4749999999999996"/>
    <s v="Inexpensive"/>
  </r>
  <r>
    <d v="2019-01-27T09:14:00"/>
    <n v="142022"/>
    <x v="12"/>
    <n v="2170000000000"/>
    <x v="2"/>
    <n v="1"/>
    <n v="3.84"/>
    <n v="1.92"/>
    <n v="3.84"/>
    <n v="1.92"/>
    <s v="Inexpensive"/>
  </r>
  <r>
    <d v="2019-01-29T20:02:00"/>
    <n v="142023"/>
    <x v="14"/>
    <n v="3670000000000"/>
    <x v="2"/>
    <n v="1"/>
    <n v="109.99"/>
    <n v="71.493499999999997"/>
    <n v="109.99"/>
    <n v="38.496499999999997"/>
    <s v="Inexpensive"/>
  </r>
  <r>
    <d v="2019-01-29T20:02:00"/>
    <n v="142023"/>
    <x v="2"/>
    <n v="4010000000000"/>
    <x v="0"/>
    <n v="1"/>
    <n v="11.99"/>
    <n v="5.9950000000000001"/>
    <n v="11.99"/>
    <n v="5.9950000000000001"/>
    <s v="Inexpensive"/>
  </r>
  <r>
    <d v="2019-01-26T13:22:00"/>
    <n v="142024"/>
    <x v="4"/>
    <n v="6320000000000"/>
    <x v="0"/>
    <n v="1"/>
    <n v="2.99"/>
    <n v="1.4950000000000001"/>
    <n v="2.99"/>
    <n v="1.4950000000000001"/>
    <s v="Inexpensive"/>
  </r>
  <r>
    <d v="2019-01-15T00:06:00"/>
    <n v="142025"/>
    <x v="10"/>
    <n v="1210000000000"/>
    <x v="1"/>
    <n v="1"/>
    <n v="300"/>
    <n v="99"/>
    <n v="300"/>
    <n v="201"/>
    <s v="Inexpensive"/>
  </r>
  <r>
    <d v="2019-01-18T17:41:00"/>
    <n v="142026"/>
    <x v="13"/>
    <n v="4830000000000"/>
    <x v="1"/>
    <n v="1"/>
    <n v="600"/>
    <n v="198"/>
    <n v="600"/>
    <n v="402"/>
    <s v="Inexpensive"/>
  </r>
  <r>
    <d v="2019-01-28T17:32:00"/>
    <n v="142027"/>
    <x v="2"/>
    <n v="1540000000000"/>
    <x v="1"/>
    <n v="1"/>
    <n v="11.99"/>
    <n v="5.9950000000000001"/>
    <n v="11.99"/>
    <n v="5.9950000000000001"/>
    <s v="Inexpensive"/>
  </r>
  <r>
    <d v="2019-01-09T12:44:00"/>
    <n v="142028"/>
    <x v="12"/>
    <n v="5820000000000"/>
    <x v="0"/>
    <n v="1"/>
    <n v="3.84"/>
    <n v="1.92"/>
    <n v="3.84"/>
    <n v="1.92"/>
    <s v="Inexpensive"/>
  </r>
  <r>
    <d v="2019-01-08T12:39:00"/>
    <n v="142029"/>
    <x v="14"/>
    <n v="4040000000000"/>
    <x v="0"/>
    <n v="1"/>
    <n v="109.99"/>
    <n v="71.493499999999997"/>
    <n v="109.99"/>
    <n v="38.496499999999997"/>
    <s v="Inexpensive"/>
  </r>
  <r>
    <d v="2019-01-02T13:45:00"/>
    <n v="142030"/>
    <x v="4"/>
    <n v="3380000000000"/>
    <x v="1"/>
    <n v="1"/>
    <n v="2.99"/>
    <n v="1.4950000000000001"/>
    <n v="2.99"/>
    <n v="1.4950000000000001"/>
    <s v="Inexpensive"/>
  </r>
  <r>
    <d v="2019-01-09T23:38:00"/>
    <n v="142031"/>
    <x v="12"/>
    <n v="6610000000000"/>
    <x v="1"/>
    <n v="1"/>
    <n v="3.84"/>
    <n v="1.92"/>
    <n v="3.84"/>
    <n v="1.92"/>
    <s v="Inexpensive"/>
  </r>
  <r>
    <d v="2019-01-14T09:14:00"/>
    <n v="142032"/>
    <x v="10"/>
    <n v="3830000000000"/>
    <x v="2"/>
    <n v="1"/>
    <n v="300"/>
    <n v="99"/>
    <n v="300"/>
    <n v="201"/>
    <s v="Inexpensive"/>
  </r>
  <r>
    <d v="2019-01-26T19:25:00"/>
    <n v="142033"/>
    <x v="8"/>
    <n v="7290000000000"/>
    <x v="0"/>
    <n v="1"/>
    <n v="150"/>
    <n v="97.5"/>
    <n v="150"/>
    <n v="52.5"/>
    <s v="Inexpensive"/>
  </r>
  <r>
    <d v="2019-01-16T10:27:00"/>
    <n v="142034"/>
    <x v="8"/>
    <n v="1280000000000"/>
    <x v="1"/>
    <n v="1"/>
    <n v="150"/>
    <n v="97.5"/>
    <n v="150"/>
    <n v="52.5"/>
    <s v="Inexpensive"/>
  </r>
  <r>
    <d v="2019-01-17T11:06:00"/>
    <n v="142035"/>
    <x v="0"/>
    <n v="1430000000000"/>
    <x v="1"/>
    <n v="1"/>
    <n v="700"/>
    <n v="231"/>
    <n v="700"/>
    <n v="469"/>
    <s v="Expensive"/>
  </r>
  <r>
    <d v="2019-01-26T19:20:00"/>
    <n v="142036"/>
    <x v="16"/>
    <n v="7730000000000"/>
    <x v="2"/>
    <n v="1"/>
    <n v="999.99"/>
    <n v="329.99669999999998"/>
    <n v="999.99"/>
    <n v="669.99329999999998"/>
    <s v="Expensive"/>
  </r>
  <r>
    <d v="2019-01-11T21:48:00"/>
    <n v="142037"/>
    <x v="8"/>
    <n v="8350000000000"/>
    <x v="2"/>
    <n v="1"/>
    <n v="150"/>
    <n v="97.5"/>
    <n v="150"/>
    <n v="52.5"/>
    <s v="Inexpensive"/>
  </r>
  <r>
    <d v="2019-01-11T21:48:00"/>
    <n v="142037"/>
    <x v="0"/>
    <n v="6700000000000"/>
    <x v="2"/>
    <n v="1"/>
    <n v="700"/>
    <n v="231"/>
    <n v="700"/>
    <n v="469"/>
    <s v="Expensive"/>
  </r>
  <r>
    <d v="2019-01-07T08:07:00"/>
    <n v="142038"/>
    <x v="4"/>
    <n v="2640000000000"/>
    <x v="2"/>
    <n v="3"/>
    <n v="2.99"/>
    <n v="1.4950000000000001"/>
    <n v="8.9700000000000006"/>
    <n v="4.4850000000000003"/>
    <s v="Inexpensive"/>
  </r>
  <r>
    <d v="2019-01-31T16:13:00"/>
    <n v="142039"/>
    <x v="13"/>
    <n v="6390000000000"/>
    <x v="2"/>
    <n v="1"/>
    <n v="600"/>
    <n v="198"/>
    <n v="600"/>
    <n v="402"/>
    <s v="Inexpensive"/>
  </r>
  <r>
    <d v="2019-01-31T16:13:00"/>
    <n v="142039"/>
    <x v="6"/>
    <n v="9170000000000"/>
    <x v="2"/>
    <n v="3"/>
    <n v="11.95"/>
    <n v="5.9749999999999996"/>
    <n v="35.85"/>
    <n v="17.925000000000001"/>
    <s v="Inexpensive"/>
  </r>
  <r>
    <d v="2019-01-30T20:38:00"/>
    <n v="142040"/>
    <x v="1"/>
    <n v="4050000000000"/>
    <x v="1"/>
    <n v="1"/>
    <n v="14.95"/>
    <n v="7.4749999999999996"/>
    <n v="14.95"/>
    <n v="7.4749999999999996"/>
    <s v="Inexpensive"/>
  </r>
  <r>
    <d v="2019-01-09T12:09:00"/>
    <n v="142041"/>
    <x v="1"/>
    <n v="5340000000000"/>
    <x v="2"/>
    <n v="1"/>
    <n v="14.95"/>
    <n v="7.4749999999999996"/>
    <n v="14.95"/>
    <n v="7.4749999999999996"/>
    <s v="Inexpensive"/>
  </r>
  <r>
    <d v="2019-01-07T21:48:00"/>
    <n v="142042"/>
    <x v="1"/>
    <n v="8690000000000"/>
    <x v="0"/>
    <n v="2"/>
    <n v="14.95"/>
    <n v="7.4749999999999996"/>
    <n v="29.9"/>
    <n v="14.95"/>
    <s v="Inexpensive"/>
  </r>
  <r>
    <d v="2019-01-22T12:55:00"/>
    <n v="142043"/>
    <x v="10"/>
    <n v="4870000000000"/>
    <x v="0"/>
    <n v="1"/>
    <n v="300"/>
    <n v="99"/>
    <n v="300"/>
    <n v="201"/>
    <s v="Inexpensive"/>
  </r>
  <r>
    <d v="2019-01-19T12:50:00"/>
    <n v="142044"/>
    <x v="6"/>
    <n v="5850000000000"/>
    <x v="0"/>
    <n v="1"/>
    <n v="11.95"/>
    <n v="5.9749999999999996"/>
    <n v="11.95"/>
    <n v="5.9749999999999996"/>
    <s v="Inexpensive"/>
  </r>
  <r>
    <d v="2019-01-07T12:34:00"/>
    <n v="142045"/>
    <x v="16"/>
    <n v="8450000000000"/>
    <x v="0"/>
    <n v="1"/>
    <n v="999.99"/>
    <n v="329.99669999999998"/>
    <n v="999.99"/>
    <n v="669.99329999999998"/>
    <s v="Expensive"/>
  </r>
  <r>
    <d v="2019-01-20T19:40:00"/>
    <n v="142046"/>
    <x v="2"/>
    <n v="4120000000000"/>
    <x v="2"/>
    <n v="2"/>
    <n v="11.99"/>
    <n v="5.9950000000000001"/>
    <n v="23.98"/>
    <n v="11.99"/>
    <s v="Inexpensive"/>
  </r>
  <r>
    <d v="2019-01-26T17:17:00"/>
    <n v="142047"/>
    <x v="12"/>
    <n v="4090000000000"/>
    <x v="2"/>
    <n v="1"/>
    <n v="3.84"/>
    <n v="1.92"/>
    <n v="3.84"/>
    <n v="1.92"/>
    <s v="Inexpensive"/>
  </r>
  <r>
    <d v="2019-01-04T15:30:00"/>
    <n v="142048"/>
    <x v="13"/>
    <n v="9910000000000"/>
    <x v="0"/>
    <n v="1"/>
    <n v="600"/>
    <n v="198"/>
    <n v="600"/>
    <n v="402"/>
    <s v="Inexpensive"/>
  </r>
  <r>
    <d v="2019-01-04T15:30:00"/>
    <n v="142048"/>
    <x v="2"/>
    <n v="3740000000000"/>
    <x v="0"/>
    <n v="1"/>
    <n v="11.99"/>
    <n v="5.9950000000000001"/>
    <n v="11.99"/>
    <n v="5.9950000000000001"/>
    <s v="Inexpensive"/>
  </r>
  <r>
    <d v="2019-01-11T12:56:00"/>
    <n v="142049"/>
    <x v="4"/>
    <n v="6060000000000"/>
    <x v="0"/>
    <n v="1"/>
    <n v="2.99"/>
    <n v="1.4950000000000001"/>
    <n v="2.99"/>
    <n v="1.4950000000000001"/>
    <s v="Inexpensive"/>
  </r>
  <r>
    <d v="2019-01-22T17:00:00"/>
    <n v="142050"/>
    <x v="3"/>
    <n v="5200000000000"/>
    <x v="1"/>
    <n v="1"/>
    <n v="149.99"/>
    <n v="97.493499999999997"/>
    <n v="149.99"/>
    <n v="52.496499999999997"/>
    <s v="Inexpensive"/>
  </r>
  <r>
    <d v="2019-01-04T16:40:00"/>
    <n v="142051"/>
    <x v="6"/>
    <n v="9100000000000"/>
    <x v="1"/>
    <n v="1"/>
    <n v="11.95"/>
    <n v="5.9749999999999996"/>
    <n v="11.95"/>
    <n v="5.9749999999999996"/>
    <s v="Inexpensive"/>
  </r>
  <r>
    <d v="2019-01-02T17:26:00"/>
    <n v="142052"/>
    <x v="9"/>
    <n v="1970000000000"/>
    <x v="2"/>
    <n v="1"/>
    <n v="1700"/>
    <n v="561"/>
    <n v="1700"/>
    <n v="1139"/>
    <s v="Expensive"/>
  </r>
  <r>
    <d v="2019-01-30T10:53:00"/>
    <n v="142053"/>
    <x v="8"/>
    <n v="9790000000000"/>
    <x v="0"/>
    <n v="1"/>
    <n v="150"/>
    <n v="97.5"/>
    <n v="150"/>
    <n v="52.5"/>
    <s v="Inexpensive"/>
  </r>
  <r>
    <d v="2019-01-11T19:29:00"/>
    <n v="142054"/>
    <x v="7"/>
    <n v="5600000000000"/>
    <x v="0"/>
    <n v="1"/>
    <n v="99.99"/>
    <n v="49.994999999999997"/>
    <n v="99.99"/>
    <n v="49.994999999999997"/>
    <s v="Inexpensive"/>
  </r>
  <r>
    <d v="2019-01-05T02:03:00"/>
    <n v="142055"/>
    <x v="7"/>
    <n v="3520000000000"/>
    <x v="1"/>
    <n v="1"/>
    <n v="99.99"/>
    <n v="49.994999999999997"/>
    <n v="99.99"/>
    <n v="49.994999999999997"/>
    <s v="Inexpensive"/>
  </r>
  <r>
    <d v="2019-01-08T09:16:00"/>
    <n v="142056"/>
    <x v="6"/>
    <n v="1950000000000"/>
    <x v="2"/>
    <n v="1"/>
    <n v="11.95"/>
    <n v="5.9749999999999996"/>
    <n v="11.95"/>
    <n v="5.9749999999999996"/>
    <s v="Inexpensive"/>
  </r>
  <r>
    <d v="2019-01-04T11:15:00"/>
    <n v="142057"/>
    <x v="13"/>
    <n v="6430000000000"/>
    <x v="1"/>
    <n v="1"/>
    <n v="600"/>
    <n v="198"/>
    <n v="600"/>
    <n v="402"/>
    <s v="Inexpensive"/>
  </r>
  <r>
    <d v="2019-01-24T21:33:00"/>
    <n v="142058"/>
    <x v="0"/>
    <n v="6290000000000"/>
    <x v="0"/>
    <n v="1"/>
    <n v="700"/>
    <n v="231"/>
    <n v="700"/>
    <n v="469"/>
    <s v="Expensive"/>
  </r>
  <r>
    <d v="2019-01-08T20:49:00"/>
    <n v="142059"/>
    <x v="9"/>
    <n v="1200000000000"/>
    <x v="0"/>
    <n v="1"/>
    <n v="1700"/>
    <n v="561"/>
    <n v="1700"/>
    <n v="1139"/>
    <s v="Expensive"/>
  </r>
  <r>
    <d v="2019-01-14T11:36:00"/>
    <n v="142060"/>
    <x v="1"/>
    <n v="7460000000000"/>
    <x v="1"/>
    <n v="1"/>
    <n v="14.95"/>
    <n v="7.4749999999999996"/>
    <n v="14.95"/>
    <n v="7.4749999999999996"/>
    <s v="Inexpensive"/>
  </r>
  <r>
    <d v="2019-01-18T19:56:00"/>
    <n v="142061"/>
    <x v="12"/>
    <n v="7920000000000"/>
    <x v="0"/>
    <n v="1"/>
    <n v="3.84"/>
    <n v="1.92"/>
    <n v="3.84"/>
    <n v="1.92"/>
    <s v="Inexpensive"/>
  </r>
  <r>
    <d v="2019-01-24T12:31:00"/>
    <n v="142062"/>
    <x v="2"/>
    <n v="6570000000000"/>
    <x v="1"/>
    <n v="1"/>
    <n v="11.99"/>
    <n v="5.9950000000000001"/>
    <n v="11.99"/>
    <n v="5.9950000000000001"/>
    <s v="Inexpensive"/>
  </r>
  <r>
    <d v="2019-01-01T17:45:00"/>
    <n v="142063"/>
    <x v="4"/>
    <n v="6320000000000"/>
    <x v="1"/>
    <n v="1"/>
    <n v="2.99"/>
    <n v="1.4950000000000001"/>
    <n v="2.99"/>
    <n v="1.4950000000000001"/>
    <s v="Inexpensive"/>
  </r>
  <r>
    <d v="2019-01-08T19:52:00"/>
    <n v="142064"/>
    <x v="12"/>
    <n v="8090000000000"/>
    <x v="1"/>
    <n v="2"/>
    <n v="3.84"/>
    <n v="1.92"/>
    <n v="7.68"/>
    <n v="3.84"/>
    <s v="Inexpensive"/>
  </r>
  <r>
    <d v="2019-01-24T01:17:00"/>
    <n v="142065"/>
    <x v="4"/>
    <n v="5390000000000"/>
    <x v="2"/>
    <n v="2"/>
    <n v="2.99"/>
    <n v="1.4950000000000001"/>
    <n v="5.98"/>
    <n v="2.99"/>
    <s v="Inexpensive"/>
  </r>
  <r>
    <d v="2019-01-01T22:02:00"/>
    <n v="142066"/>
    <x v="5"/>
    <n v="1830000000000"/>
    <x v="1"/>
    <n v="1"/>
    <n v="389.99"/>
    <n v="128.69669999999999"/>
    <n v="389.99"/>
    <n v="261.29329999999999"/>
    <s v="Inexpensive"/>
  </r>
  <r>
    <d v="2019-01-30T09:23:00"/>
    <n v="142067"/>
    <x v="3"/>
    <n v="6160000000000"/>
    <x v="2"/>
    <n v="1"/>
    <n v="149.99"/>
    <n v="97.493499999999997"/>
    <n v="149.99"/>
    <n v="52.496499999999997"/>
    <s v="Inexpensive"/>
  </r>
  <r>
    <d v="2019-01-28T23:09:00"/>
    <n v="142068"/>
    <x v="5"/>
    <n v="9990000000000"/>
    <x v="2"/>
    <n v="1"/>
    <n v="389.99"/>
    <n v="128.69669999999999"/>
    <n v="389.99"/>
    <n v="261.29329999999999"/>
    <s v="Inexpensive"/>
  </r>
  <r>
    <d v="2019-01-22T11:42:00"/>
    <n v="142069"/>
    <x v="4"/>
    <n v="7940000000000"/>
    <x v="0"/>
    <n v="2"/>
    <n v="2.99"/>
    <n v="1.4950000000000001"/>
    <n v="5.98"/>
    <n v="2.99"/>
    <s v="Inexpensive"/>
  </r>
  <r>
    <d v="2019-01-13T16:12:00"/>
    <n v="142070"/>
    <x v="6"/>
    <n v="3910000000000"/>
    <x v="0"/>
    <n v="1"/>
    <n v="11.95"/>
    <n v="5.9749999999999996"/>
    <n v="11.95"/>
    <n v="5.9749999999999996"/>
    <s v="Inexpensive"/>
  </r>
  <r>
    <d v="2019-01-17T23:02:00"/>
    <n v="142071"/>
    <x v="12"/>
    <n v="4400000000000"/>
    <x v="2"/>
    <n v="1"/>
    <n v="3.84"/>
    <n v="1.92"/>
    <n v="3.84"/>
    <n v="1.92"/>
    <s v="Inexpensive"/>
  </r>
  <r>
    <d v="2019-01-17T23:02:00"/>
    <n v="142071"/>
    <x v="12"/>
    <n v="5520000000000"/>
    <x v="0"/>
    <n v="1"/>
    <n v="3.84"/>
    <n v="1.92"/>
    <n v="3.84"/>
    <n v="1.92"/>
    <s v="Inexpensive"/>
  </r>
  <r>
    <d v="2019-01-16T19:57:00"/>
    <n v="142072"/>
    <x v="16"/>
    <n v="7750000000000"/>
    <x v="1"/>
    <n v="1"/>
    <n v="999.99"/>
    <n v="329.99669999999998"/>
    <n v="999.99"/>
    <n v="669.99329999999998"/>
    <s v="Expensive"/>
  </r>
  <r>
    <d v="2019-01-05T16:22:00"/>
    <n v="142073"/>
    <x v="2"/>
    <n v="4250000000000"/>
    <x v="2"/>
    <n v="1"/>
    <n v="11.99"/>
    <n v="5.9950000000000001"/>
    <n v="11.99"/>
    <n v="5.9950000000000001"/>
    <s v="Inexpensive"/>
  </r>
  <r>
    <d v="2019-01-25T20:51:00"/>
    <n v="142074"/>
    <x v="7"/>
    <n v="1810000000000"/>
    <x v="2"/>
    <n v="1"/>
    <n v="99.99"/>
    <n v="49.994999999999997"/>
    <n v="99.99"/>
    <n v="49.994999999999997"/>
    <s v="Inexpensive"/>
  </r>
  <r>
    <d v="2019-01-19T16:20:00"/>
    <n v="142075"/>
    <x v="2"/>
    <n v="2290000000000"/>
    <x v="0"/>
    <n v="1"/>
    <n v="11.99"/>
    <n v="5.9950000000000001"/>
    <n v="11.99"/>
    <n v="5.9950000000000001"/>
    <s v="Inexpensive"/>
  </r>
  <r>
    <d v="2019-01-29T16:11:00"/>
    <n v="142076"/>
    <x v="2"/>
    <n v="8080000000000"/>
    <x v="1"/>
    <n v="1"/>
    <n v="11.99"/>
    <n v="5.9950000000000001"/>
    <n v="11.99"/>
    <n v="5.9950000000000001"/>
    <s v="Inexpensive"/>
  </r>
  <r>
    <d v="2019-01-17T17:18:00"/>
    <n v="142077"/>
    <x v="8"/>
    <n v="3780000000000"/>
    <x v="1"/>
    <n v="1"/>
    <n v="150"/>
    <n v="97.5"/>
    <n v="150"/>
    <n v="52.5"/>
    <s v="Inexpensive"/>
  </r>
  <r>
    <d v="2019-01-09T12:03:00"/>
    <n v="142078"/>
    <x v="12"/>
    <n v="1830000000000"/>
    <x v="1"/>
    <n v="1"/>
    <n v="3.84"/>
    <n v="1.92"/>
    <n v="3.84"/>
    <n v="1.92"/>
    <s v="Inexpensive"/>
  </r>
  <r>
    <d v="2019-01-02T17:17:00"/>
    <n v="142079"/>
    <x v="12"/>
    <n v="5700000000000"/>
    <x v="2"/>
    <n v="1"/>
    <n v="3.84"/>
    <n v="1.92"/>
    <n v="3.84"/>
    <n v="1.92"/>
    <s v="Inexpensive"/>
  </r>
  <r>
    <d v="2019-01-12T22:52:00"/>
    <n v="142080"/>
    <x v="6"/>
    <n v="1930000000000"/>
    <x v="1"/>
    <n v="1"/>
    <n v="11.95"/>
    <n v="5.9749999999999996"/>
    <n v="11.95"/>
    <n v="5.9749999999999996"/>
    <s v="Inexpensive"/>
  </r>
  <r>
    <d v="2019-01-29T17:13:00"/>
    <n v="142081"/>
    <x v="4"/>
    <n v="5160000000000"/>
    <x v="1"/>
    <n v="1"/>
    <n v="2.99"/>
    <n v="1.4950000000000001"/>
    <n v="2.99"/>
    <n v="1.4950000000000001"/>
    <s v="Inexpensive"/>
  </r>
  <r>
    <d v="2019-01-16T22:04:00"/>
    <n v="142082"/>
    <x v="4"/>
    <n v="9280000000000"/>
    <x v="2"/>
    <n v="1"/>
    <n v="2.99"/>
    <n v="1.4950000000000001"/>
    <n v="2.99"/>
    <n v="1.4950000000000001"/>
    <s v="Inexpensive"/>
  </r>
  <r>
    <d v="2019-01-20T17:46:00"/>
    <n v="142083"/>
    <x v="9"/>
    <n v="4160000000000"/>
    <x v="1"/>
    <n v="1"/>
    <n v="1700"/>
    <n v="561"/>
    <n v="1700"/>
    <n v="1139"/>
    <s v="Expensive"/>
  </r>
  <r>
    <d v="2019-01-14T13:57:00"/>
    <n v="142084"/>
    <x v="6"/>
    <n v="2900000000000"/>
    <x v="2"/>
    <n v="3"/>
    <n v="11.95"/>
    <n v="5.9749999999999996"/>
    <n v="35.85"/>
    <n v="17.925000000000001"/>
    <s v="Inexpensive"/>
  </r>
  <r>
    <d v="2019-01-26T18:52:00"/>
    <n v="142085"/>
    <x v="0"/>
    <n v="6380000000000"/>
    <x v="1"/>
    <n v="1"/>
    <n v="700"/>
    <n v="231"/>
    <n v="700"/>
    <n v="469"/>
    <s v="Expensive"/>
  </r>
  <r>
    <d v="2019-01-26T18:52:00"/>
    <n v="142085"/>
    <x v="1"/>
    <n v="6740000000000"/>
    <x v="2"/>
    <n v="1"/>
    <n v="14.95"/>
    <n v="7.4749999999999996"/>
    <n v="14.95"/>
    <n v="7.4749999999999996"/>
    <s v="Inexpensive"/>
  </r>
  <r>
    <d v="2019-01-05T12:11:00"/>
    <n v="142086"/>
    <x v="1"/>
    <n v="1780000000000"/>
    <x v="0"/>
    <n v="1"/>
    <n v="14.95"/>
    <n v="7.4749999999999996"/>
    <n v="14.95"/>
    <n v="7.4749999999999996"/>
    <s v="Inexpensive"/>
  </r>
  <r>
    <d v="2019-01-24T14:52:00"/>
    <n v="142087"/>
    <x v="5"/>
    <n v="3480000000000"/>
    <x v="0"/>
    <n v="1"/>
    <n v="389.99"/>
    <n v="128.69669999999999"/>
    <n v="389.99"/>
    <n v="261.29329999999999"/>
    <s v="Inexpensive"/>
  </r>
  <r>
    <d v="2019-01-12T12:11:00"/>
    <n v="142088"/>
    <x v="13"/>
    <n v="3730000000000"/>
    <x v="2"/>
    <n v="1"/>
    <n v="600"/>
    <n v="198"/>
    <n v="600"/>
    <n v="402"/>
    <s v="Inexpensive"/>
  </r>
  <r>
    <d v="2019-01-15T10:36:00"/>
    <n v="142089"/>
    <x v="6"/>
    <n v="3960000000000"/>
    <x v="0"/>
    <n v="1"/>
    <n v="11.95"/>
    <n v="5.9749999999999996"/>
    <n v="11.95"/>
    <n v="5.9749999999999996"/>
    <s v="Inexpensive"/>
  </r>
  <r>
    <d v="2019-01-06T05:43:00"/>
    <n v="142090"/>
    <x v="2"/>
    <n v="1090000000000"/>
    <x v="2"/>
    <n v="1"/>
    <n v="11.99"/>
    <n v="5.9950000000000001"/>
    <n v="11.99"/>
    <n v="5.9950000000000001"/>
    <s v="Inexpensive"/>
  </r>
  <r>
    <d v="2019-01-21T10:13:00"/>
    <n v="142091"/>
    <x v="4"/>
    <n v="4050000000000"/>
    <x v="0"/>
    <n v="1"/>
    <n v="2.99"/>
    <n v="1.4950000000000001"/>
    <n v="2.99"/>
    <n v="1.4950000000000001"/>
    <s v="Inexpensive"/>
  </r>
  <r>
    <d v="2019-01-24T11:32:00"/>
    <n v="142092"/>
    <x v="7"/>
    <n v="7270000000000"/>
    <x v="0"/>
    <n v="1"/>
    <n v="99.99"/>
    <n v="49.994999999999997"/>
    <n v="99.99"/>
    <n v="49.994999999999997"/>
    <s v="Inexpensive"/>
  </r>
  <r>
    <d v="2019-01-17T15:48:00"/>
    <n v="142093"/>
    <x v="1"/>
    <n v="2940000000000"/>
    <x v="1"/>
    <n v="1"/>
    <n v="14.95"/>
    <n v="7.4749999999999996"/>
    <n v="14.95"/>
    <n v="7.4749999999999996"/>
    <s v="Inexpensive"/>
  </r>
  <r>
    <d v="2019-01-19T18:24:00"/>
    <n v="142094"/>
    <x v="2"/>
    <n v="4080000000000"/>
    <x v="0"/>
    <n v="1"/>
    <n v="11.99"/>
    <n v="5.9950000000000001"/>
    <n v="11.99"/>
    <n v="5.9950000000000001"/>
    <s v="Inexpensive"/>
  </r>
  <r>
    <d v="2019-01-13T00:41:00"/>
    <n v="142095"/>
    <x v="8"/>
    <n v="2730000000000"/>
    <x v="2"/>
    <n v="1"/>
    <n v="150"/>
    <n v="97.5"/>
    <n v="150"/>
    <n v="52.5"/>
    <s v="Inexpensive"/>
  </r>
  <r>
    <d v="2019-01-22T18:00:00"/>
    <n v="142096"/>
    <x v="6"/>
    <n v="7250000000000"/>
    <x v="1"/>
    <n v="1"/>
    <n v="11.95"/>
    <n v="5.9749999999999996"/>
    <n v="11.95"/>
    <n v="5.9749999999999996"/>
    <s v="Inexpensive"/>
  </r>
  <r>
    <d v="2019-01-17T20:58:00"/>
    <n v="142097"/>
    <x v="1"/>
    <n v="7020000000000"/>
    <x v="2"/>
    <n v="1"/>
    <n v="14.95"/>
    <n v="7.4749999999999996"/>
    <n v="14.95"/>
    <n v="7.4749999999999996"/>
    <s v="Inexpensive"/>
  </r>
  <r>
    <d v="2019-01-26T01:58:00"/>
    <n v="142098"/>
    <x v="12"/>
    <n v="2800000000000"/>
    <x v="0"/>
    <n v="3"/>
    <n v="3.84"/>
    <n v="1.92"/>
    <n v="11.52"/>
    <n v="5.76"/>
    <s v="Inexpensive"/>
  </r>
  <r>
    <d v="2019-01-23T14:13:00"/>
    <n v="142099"/>
    <x v="12"/>
    <n v="3520000000000"/>
    <x v="1"/>
    <n v="2"/>
    <n v="3.84"/>
    <n v="1.92"/>
    <n v="7.68"/>
    <n v="3.84"/>
    <s v="Inexpensive"/>
  </r>
  <r>
    <d v="2019-01-05T11:53:00"/>
    <n v="142100"/>
    <x v="7"/>
    <n v="9180000000000"/>
    <x v="1"/>
    <n v="1"/>
    <n v="99.99"/>
    <n v="49.994999999999997"/>
    <n v="99.99"/>
    <n v="49.994999999999997"/>
    <s v="Inexpensive"/>
  </r>
  <r>
    <d v="2019-01-22T21:24:00"/>
    <n v="142101"/>
    <x v="0"/>
    <n v="6960000000000"/>
    <x v="2"/>
    <n v="1"/>
    <n v="700"/>
    <n v="231"/>
    <n v="700"/>
    <n v="469"/>
    <s v="Expensive"/>
  </r>
  <r>
    <d v="2019-01-25T12:15:00"/>
    <n v="142102"/>
    <x v="4"/>
    <n v="1960000000000"/>
    <x v="1"/>
    <n v="1"/>
    <n v="2.99"/>
    <n v="1.4950000000000001"/>
    <n v="2.99"/>
    <n v="1.4950000000000001"/>
    <s v="Inexpensive"/>
  </r>
  <r>
    <d v="2019-01-28T19:12:00"/>
    <n v="142103"/>
    <x v="0"/>
    <n v="5550000000000"/>
    <x v="0"/>
    <n v="1"/>
    <n v="700"/>
    <n v="231"/>
    <n v="700"/>
    <n v="469"/>
    <s v="Expensive"/>
  </r>
  <r>
    <d v="2019-01-19T20:50:00"/>
    <n v="142104"/>
    <x v="8"/>
    <n v="2730000000000"/>
    <x v="0"/>
    <n v="1"/>
    <n v="150"/>
    <n v="97.5"/>
    <n v="150"/>
    <n v="52.5"/>
    <s v="Inexpensive"/>
  </r>
  <r>
    <d v="2019-01-31T13:34:00"/>
    <n v="142105"/>
    <x v="16"/>
    <n v="7810000000000"/>
    <x v="2"/>
    <n v="1"/>
    <n v="999.99"/>
    <n v="329.99669999999998"/>
    <n v="999.99"/>
    <n v="669.99329999999998"/>
    <s v="Expensive"/>
  </r>
  <r>
    <d v="2019-01-04T18:51:00"/>
    <n v="142106"/>
    <x v="5"/>
    <n v="8060000000000"/>
    <x v="1"/>
    <n v="1"/>
    <n v="389.99"/>
    <n v="128.69669999999999"/>
    <n v="389.99"/>
    <n v="261.29329999999999"/>
    <s v="Inexpensive"/>
  </r>
  <r>
    <d v="2019-01-06T17:22:00"/>
    <n v="142107"/>
    <x v="1"/>
    <n v="4120000000000"/>
    <x v="0"/>
    <n v="1"/>
    <n v="14.95"/>
    <n v="7.4749999999999996"/>
    <n v="14.95"/>
    <n v="7.4749999999999996"/>
    <s v="Inexpensive"/>
  </r>
  <r>
    <d v="2019-01-31T16:01:00"/>
    <n v="142108"/>
    <x v="17"/>
    <n v="5370000000000"/>
    <x v="1"/>
    <n v="1"/>
    <n v="600"/>
    <n v="198"/>
    <n v="600"/>
    <n v="402"/>
    <s v="Inexpensive"/>
  </r>
  <r>
    <d v="2019-01-08T15:29:00"/>
    <n v="142109"/>
    <x v="9"/>
    <n v="7410000000000"/>
    <x v="2"/>
    <n v="1"/>
    <n v="1700"/>
    <n v="561"/>
    <n v="1700"/>
    <n v="1139"/>
    <s v="Expensive"/>
  </r>
  <r>
    <d v="2019-01-24T14:20:00"/>
    <n v="142110"/>
    <x v="6"/>
    <n v="4270000000000"/>
    <x v="2"/>
    <n v="1"/>
    <n v="11.95"/>
    <n v="5.9749999999999996"/>
    <n v="11.95"/>
    <n v="5.9749999999999996"/>
    <s v="Inexpensive"/>
  </r>
  <r>
    <d v="2019-01-23T22:49:00"/>
    <n v="142111"/>
    <x v="1"/>
    <n v="6470000000000"/>
    <x v="1"/>
    <n v="1"/>
    <n v="14.95"/>
    <n v="7.4749999999999996"/>
    <n v="14.95"/>
    <n v="7.4749999999999996"/>
    <s v="Inexpensive"/>
  </r>
  <r>
    <d v="2019-01-01T13:51:00"/>
    <n v="142112"/>
    <x v="14"/>
    <n v="1840000000000"/>
    <x v="1"/>
    <n v="1"/>
    <n v="109.99"/>
    <n v="71.493499999999997"/>
    <n v="109.99"/>
    <n v="38.496499999999997"/>
    <s v="Inexpensive"/>
  </r>
  <r>
    <d v="2019-01-01T13:51:00"/>
    <n v="142112"/>
    <x v="7"/>
    <n v="5230000000000"/>
    <x v="2"/>
    <n v="1"/>
    <n v="99.99"/>
    <n v="49.994999999999997"/>
    <n v="99.99"/>
    <n v="49.994999999999997"/>
    <s v="Inexpensive"/>
  </r>
  <r>
    <d v="2019-01-10T10:12:00"/>
    <n v="142113"/>
    <x v="4"/>
    <n v="1670000000000"/>
    <x v="2"/>
    <n v="3"/>
    <n v="2.99"/>
    <n v="1.4950000000000001"/>
    <n v="8.9700000000000006"/>
    <n v="4.4850000000000003"/>
    <s v="Inexpensive"/>
  </r>
  <r>
    <d v="2019-01-09T16:21:00"/>
    <n v="142114"/>
    <x v="7"/>
    <n v="5020000000000"/>
    <x v="0"/>
    <n v="1"/>
    <n v="99.99"/>
    <n v="49.994999999999997"/>
    <n v="99.99"/>
    <n v="49.994999999999997"/>
    <s v="Inexpensive"/>
  </r>
  <r>
    <d v="2019-01-11T19:26:00"/>
    <n v="142115"/>
    <x v="8"/>
    <n v="1830000000000"/>
    <x v="1"/>
    <n v="1"/>
    <n v="150"/>
    <n v="97.5"/>
    <n v="150"/>
    <n v="52.5"/>
    <s v="Inexpensive"/>
  </r>
  <r>
    <d v="2019-01-09T18:54:00"/>
    <n v="142116"/>
    <x v="12"/>
    <n v="5620000000000"/>
    <x v="2"/>
    <n v="1"/>
    <n v="3.84"/>
    <n v="1.92"/>
    <n v="3.84"/>
    <n v="1.92"/>
    <s v="Inexpensive"/>
  </r>
  <r>
    <d v="2019-01-08T10:58:00"/>
    <n v="142117"/>
    <x v="9"/>
    <n v="3890000000000"/>
    <x v="0"/>
    <n v="1"/>
    <n v="1700"/>
    <n v="561"/>
    <n v="1700"/>
    <n v="1139"/>
    <s v="Expensive"/>
  </r>
  <r>
    <d v="2019-01-12T15:34:00"/>
    <n v="142118"/>
    <x v="7"/>
    <n v="9740000000000"/>
    <x v="1"/>
    <n v="1"/>
    <n v="99.99"/>
    <n v="49.994999999999997"/>
    <n v="99.99"/>
    <n v="49.994999999999997"/>
    <s v="Inexpensive"/>
  </r>
  <r>
    <d v="2019-01-11T09:13:00"/>
    <n v="142119"/>
    <x v="6"/>
    <n v="1850000000000"/>
    <x v="0"/>
    <n v="1"/>
    <n v="11.95"/>
    <n v="5.9749999999999996"/>
    <n v="11.95"/>
    <n v="5.9749999999999996"/>
    <s v="Inexpensive"/>
  </r>
  <r>
    <d v="2019-01-04T04:20:00"/>
    <n v="142120"/>
    <x v="5"/>
    <n v="4330000000000"/>
    <x v="2"/>
    <n v="1"/>
    <n v="389.99"/>
    <n v="128.69669999999999"/>
    <n v="389.99"/>
    <n v="261.29329999999999"/>
    <s v="Inexpensive"/>
  </r>
  <r>
    <d v="2019-01-14T00:25:00"/>
    <n v="142121"/>
    <x v="2"/>
    <n v="6470000000000"/>
    <x v="1"/>
    <n v="1"/>
    <n v="11.99"/>
    <n v="5.9950000000000001"/>
    <n v="11.99"/>
    <n v="5.9950000000000001"/>
    <s v="Inexpensive"/>
  </r>
  <r>
    <d v="2019-01-11T23:06:00"/>
    <n v="142122"/>
    <x v="8"/>
    <n v="1870000000000"/>
    <x v="2"/>
    <n v="1"/>
    <n v="150"/>
    <n v="97.5"/>
    <n v="150"/>
    <n v="52.5"/>
    <s v="Inexpensive"/>
  </r>
  <r>
    <d v="2019-01-02T20:45:00"/>
    <n v="142123"/>
    <x v="1"/>
    <n v="7760000000000"/>
    <x v="2"/>
    <n v="1"/>
    <n v="14.95"/>
    <n v="7.4749999999999996"/>
    <n v="14.95"/>
    <n v="7.4749999999999996"/>
    <s v="Inexpensive"/>
  </r>
  <r>
    <d v="2019-01-28T13:11:00"/>
    <n v="142124"/>
    <x v="12"/>
    <n v="8060000000000"/>
    <x v="0"/>
    <n v="2"/>
    <n v="3.84"/>
    <n v="1.92"/>
    <n v="7.68"/>
    <n v="3.84"/>
    <s v="Inexpensive"/>
  </r>
  <r>
    <d v="2019-01-26T03:16:00"/>
    <n v="142125"/>
    <x v="1"/>
    <n v="1030000000000"/>
    <x v="0"/>
    <n v="1"/>
    <n v="14.95"/>
    <n v="7.4749999999999996"/>
    <n v="14.95"/>
    <n v="7.4749999999999996"/>
    <s v="Inexpensive"/>
  </r>
  <r>
    <d v="2019-01-26T12:05:00"/>
    <n v="142126"/>
    <x v="4"/>
    <n v="6330000000000"/>
    <x v="0"/>
    <n v="2"/>
    <n v="2.99"/>
    <n v="1.4950000000000001"/>
    <n v="5.98"/>
    <n v="2.99"/>
    <s v="Inexpensive"/>
  </r>
  <r>
    <d v="2019-01-14T09:20:00"/>
    <n v="142127"/>
    <x v="2"/>
    <n v="5220000000000"/>
    <x v="2"/>
    <n v="1"/>
    <n v="11.99"/>
    <n v="5.9950000000000001"/>
    <n v="11.99"/>
    <n v="5.9950000000000001"/>
    <s v="Inexpensive"/>
  </r>
  <r>
    <d v="2019-01-20T02:57:00"/>
    <n v="142128"/>
    <x v="7"/>
    <n v="8400000000000"/>
    <x v="2"/>
    <n v="1"/>
    <n v="99.99"/>
    <n v="49.994999999999997"/>
    <n v="99.99"/>
    <n v="49.994999999999997"/>
    <s v="Inexpensive"/>
  </r>
  <r>
    <d v="2019-01-20T02:57:00"/>
    <n v="142128"/>
    <x v="13"/>
    <n v="7500000000000"/>
    <x v="0"/>
    <n v="1"/>
    <n v="600"/>
    <n v="198"/>
    <n v="600"/>
    <n v="402"/>
    <s v="Inexpensive"/>
  </r>
  <r>
    <d v="2019-01-20T02:57:00"/>
    <n v="142128"/>
    <x v="2"/>
    <n v="2870000000000"/>
    <x v="0"/>
    <n v="2"/>
    <n v="11.99"/>
    <n v="5.9950000000000001"/>
    <n v="23.98"/>
    <n v="11.99"/>
    <s v="Inexpensive"/>
  </r>
  <r>
    <d v="2019-01-31T18:09:00"/>
    <n v="142129"/>
    <x v="8"/>
    <n v="1340000000000"/>
    <x v="0"/>
    <n v="1"/>
    <n v="150"/>
    <n v="97.5"/>
    <n v="150"/>
    <n v="52.5"/>
    <s v="Inexpensive"/>
  </r>
  <r>
    <d v="2019-01-31T16:48:00"/>
    <n v="142130"/>
    <x v="13"/>
    <n v="8690000000000"/>
    <x v="1"/>
    <n v="1"/>
    <n v="600"/>
    <n v="198"/>
    <n v="600"/>
    <n v="402"/>
    <s v="Inexpensive"/>
  </r>
  <r>
    <d v="2019-01-20T12:49:00"/>
    <n v="142131"/>
    <x v="4"/>
    <n v="7980000000000"/>
    <x v="1"/>
    <n v="1"/>
    <n v="2.99"/>
    <n v="1.4950000000000001"/>
    <n v="2.99"/>
    <n v="1.4950000000000001"/>
    <s v="Inexpensive"/>
  </r>
  <r>
    <d v="2019-01-06T22:35:00"/>
    <n v="142132"/>
    <x v="6"/>
    <n v="3360000000000"/>
    <x v="1"/>
    <n v="2"/>
    <n v="11.95"/>
    <n v="5.9749999999999996"/>
    <n v="23.9"/>
    <n v="11.95"/>
    <s v="Inexpensive"/>
  </r>
  <r>
    <d v="2019-01-30T20:04:00"/>
    <n v="142133"/>
    <x v="6"/>
    <n v="1690000000000"/>
    <x v="2"/>
    <n v="1"/>
    <n v="11.95"/>
    <n v="5.9749999999999996"/>
    <n v="11.95"/>
    <n v="5.9749999999999996"/>
    <s v="Inexpensive"/>
  </r>
  <r>
    <d v="2019-01-01T09:23:00"/>
    <n v="142134"/>
    <x v="13"/>
    <n v="7580000000000"/>
    <x v="2"/>
    <n v="1"/>
    <n v="600"/>
    <n v="198"/>
    <n v="600"/>
    <n v="402"/>
    <s v="Inexpensive"/>
  </r>
  <r>
    <d v="2019-01-06T10:29:00"/>
    <n v="142135"/>
    <x v="6"/>
    <n v="6580000000000"/>
    <x v="0"/>
    <n v="1"/>
    <n v="11.95"/>
    <n v="5.9749999999999996"/>
    <n v="11.95"/>
    <n v="5.9749999999999996"/>
    <s v="Inexpensive"/>
  </r>
  <r>
    <d v="2019-01-07T09:58:00"/>
    <n v="142136"/>
    <x v="12"/>
    <n v="8960000000000"/>
    <x v="1"/>
    <n v="1"/>
    <n v="3.84"/>
    <n v="1.92"/>
    <n v="3.84"/>
    <n v="1.92"/>
    <s v="Inexpensive"/>
  </r>
  <r>
    <d v="2019-01-24T06:01:00"/>
    <n v="142137"/>
    <x v="4"/>
    <n v="2310000000000"/>
    <x v="2"/>
    <n v="1"/>
    <n v="2.99"/>
    <n v="1.4950000000000001"/>
    <n v="2.99"/>
    <n v="1.4950000000000001"/>
    <s v="Inexpensive"/>
  </r>
  <r>
    <d v="2019-01-07T09:03:00"/>
    <n v="142138"/>
    <x v="12"/>
    <n v="1530000000000"/>
    <x v="2"/>
    <n v="1"/>
    <n v="3.84"/>
    <n v="1.92"/>
    <n v="3.84"/>
    <n v="1.92"/>
    <s v="Inexpensive"/>
  </r>
  <r>
    <d v="2019-01-17T08:09:00"/>
    <n v="142139"/>
    <x v="12"/>
    <n v="6870000000000"/>
    <x v="0"/>
    <n v="2"/>
    <n v="3.84"/>
    <n v="1.92"/>
    <n v="7.68"/>
    <n v="3.84"/>
    <s v="Inexpensive"/>
  </r>
  <r>
    <d v="2019-01-24T19:29:00"/>
    <n v="142140"/>
    <x v="1"/>
    <n v="7450000000000"/>
    <x v="1"/>
    <n v="1"/>
    <n v="14.95"/>
    <n v="7.4749999999999996"/>
    <n v="14.95"/>
    <n v="7.4749999999999996"/>
    <s v="Inexpensive"/>
  </r>
  <r>
    <d v="2019-01-29T17:15:00"/>
    <n v="142141"/>
    <x v="2"/>
    <n v="5740000000000"/>
    <x v="1"/>
    <n v="1"/>
    <n v="11.99"/>
    <n v="5.9950000000000001"/>
    <n v="11.99"/>
    <n v="5.9950000000000001"/>
    <s v="Inexpensive"/>
  </r>
  <r>
    <d v="2019-01-22T13:00:00"/>
    <n v="142142"/>
    <x v="2"/>
    <n v="2030000000000"/>
    <x v="2"/>
    <n v="1"/>
    <n v="11.99"/>
    <n v="5.9950000000000001"/>
    <n v="11.99"/>
    <n v="5.9950000000000001"/>
    <s v="Inexpensive"/>
  </r>
  <r>
    <d v="2019-01-03T11:44:00"/>
    <n v="142143"/>
    <x v="6"/>
    <n v="6870000000000"/>
    <x v="1"/>
    <n v="1"/>
    <n v="11.95"/>
    <n v="5.9749999999999996"/>
    <n v="11.95"/>
    <n v="5.9749999999999996"/>
    <s v="Inexpensive"/>
  </r>
  <r>
    <d v="2019-01-04T04:31:00"/>
    <n v="142144"/>
    <x v="6"/>
    <n v="1360000000000"/>
    <x v="2"/>
    <n v="1"/>
    <n v="11.95"/>
    <n v="5.9749999999999996"/>
    <n v="11.95"/>
    <n v="5.9749999999999996"/>
    <s v="Inexpensive"/>
  </r>
  <r>
    <d v="2019-01-04T04:31:00"/>
    <n v="142144"/>
    <x v="11"/>
    <n v="4940000000000"/>
    <x v="1"/>
    <n v="1"/>
    <n v="400"/>
    <n v="132"/>
    <n v="400"/>
    <n v="268"/>
    <s v="Inexpensive"/>
  </r>
  <r>
    <d v="2019-01-18T20:30:00"/>
    <n v="142145"/>
    <x v="8"/>
    <n v="8510000000000"/>
    <x v="1"/>
    <n v="1"/>
    <n v="150"/>
    <n v="97.5"/>
    <n v="150"/>
    <n v="52.5"/>
    <s v="Inexpensive"/>
  </r>
  <r>
    <d v="2019-01-18T20:30:00"/>
    <n v="142145"/>
    <x v="6"/>
    <n v="4100000000000"/>
    <x v="0"/>
    <n v="1"/>
    <n v="11.95"/>
    <n v="5.9749999999999996"/>
    <n v="11.95"/>
    <n v="5.9749999999999996"/>
    <s v="Inexpensive"/>
  </r>
  <r>
    <d v="2019-01-02T17:39:00"/>
    <n v="142146"/>
    <x v="4"/>
    <n v="2100000000000"/>
    <x v="0"/>
    <n v="4"/>
    <n v="2.99"/>
    <n v="1.4950000000000001"/>
    <n v="11.96"/>
    <n v="5.98"/>
    <s v="Inexpensive"/>
  </r>
  <r>
    <d v="2019-01-09T18:39:00"/>
    <n v="142147"/>
    <x v="5"/>
    <n v="1920000000000"/>
    <x v="0"/>
    <n v="1"/>
    <n v="389.99"/>
    <n v="128.69669999999999"/>
    <n v="389.99"/>
    <n v="261.29329999999999"/>
    <s v="Inexpensive"/>
  </r>
  <r>
    <d v="2019-01-24T02:46:00"/>
    <n v="142148"/>
    <x v="15"/>
    <n v="3400000000000"/>
    <x v="2"/>
    <n v="1"/>
    <n v="379.99"/>
    <n v="125.3967"/>
    <n v="379.99"/>
    <n v="254.5933"/>
    <s v="Inexpensive"/>
  </r>
  <r>
    <d v="2019-01-15T11:45:00"/>
    <n v="142149"/>
    <x v="12"/>
    <n v="6730000000000"/>
    <x v="1"/>
    <n v="3"/>
    <n v="3.84"/>
    <n v="1.92"/>
    <n v="11.52"/>
    <n v="5.76"/>
    <s v="Inexpensive"/>
  </r>
  <r>
    <d v="2019-01-26T11:26:00"/>
    <n v="142150"/>
    <x v="12"/>
    <n v="2070000000000"/>
    <x v="2"/>
    <n v="2"/>
    <n v="3.84"/>
    <n v="1.92"/>
    <n v="7.68"/>
    <n v="3.84"/>
    <s v="Inexpensive"/>
  </r>
  <r>
    <d v="2019-01-26T17:59:00"/>
    <n v="142151"/>
    <x v="12"/>
    <n v="1520000000000"/>
    <x v="0"/>
    <n v="3"/>
    <n v="3.84"/>
    <n v="1.92"/>
    <n v="11.52"/>
    <n v="5.76"/>
    <s v="Inexpensive"/>
  </r>
  <r>
    <d v="2019-01-11T17:31:00"/>
    <n v="142152"/>
    <x v="9"/>
    <n v="1360000000000"/>
    <x v="1"/>
    <n v="1"/>
    <n v="1700"/>
    <n v="561"/>
    <n v="1700"/>
    <n v="1139"/>
    <s v="Expensive"/>
  </r>
  <r>
    <d v="2019-01-23T12:53:00"/>
    <n v="142153"/>
    <x v="2"/>
    <n v="9560000000000"/>
    <x v="0"/>
    <n v="1"/>
    <n v="11.99"/>
    <n v="5.9950000000000001"/>
    <n v="11.99"/>
    <n v="5.9950000000000001"/>
    <s v="Inexpensive"/>
  </r>
  <r>
    <d v="2019-01-13T09:51:00"/>
    <n v="142154"/>
    <x v="6"/>
    <n v="7820000000000"/>
    <x v="1"/>
    <n v="1"/>
    <n v="11.95"/>
    <n v="5.9749999999999996"/>
    <n v="11.95"/>
    <n v="5.9749999999999996"/>
    <s v="Inexpensive"/>
  </r>
  <r>
    <d v="2019-01-31T15:55:00"/>
    <n v="142155"/>
    <x v="8"/>
    <n v="5850000000000"/>
    <x v="2"/>
    <n v="1"/>
    <n v="150"/>
    <n v="97.5"/>
    <n v="150"/>
    <n v="52.5"/>
    <s v="Inexpensive"/>
  </r>
  <r>
    <d v="2019-01-01T08:16:00"/>
    <n v="142156"/>
    <x v="15"/>
    <n v="7690000000000"/>
    <x v="0"/>
    <n v="1"/>
    <n v="379.99"/>
    <n v="125.3967"/>
    <n v="379.99"/>
    <n v="254.5933"/>
    <s v="Inexpensive"/>
  </r>
  <r>
    <d v="2019-01-08T09:02:00"/>
    <n v="142157"/>
    <x v="9"/>
    <n v="7870000000000"/>
    <x v="2"/>
    <n v="1"/>
    <n v="1700"/>
    <n v="561"/>
    <n v="1700"/>
    <n v="1139"/>
    <s v="Expensive"/>
  </r>
  <r>
    <d v="2019-01-15T17:32:00"/>
    <n v="142158"/>
    <x v="2"/>
    <n v="8850000000000"/>
    <x v="1"/>
    <n v="1"/>
    <n v="11.99"/>
    <n v="5.9950000000000001"/>
    <n v="11.99"/>
    <n v="5.9950000000000001"/>
    <s v="Inexpensive"/>
  </r>
  <r>
    <d v="2019-01-26T02:11:00"/>
    <n v="142159"/>
    <x v="2"/>
    <n v="3850000000000"/>
    <x v="2"/>
    <n v="1"/>
    <n v="11.99"/>
    <n v="5.9950000000000001"/>
    <n v="11.99"/>
    <n v="5.9950000000000001"/>
    <s v="Inexpensive"/>
  </r>
  <r>
    <d v="2019-01-01T11:57:00"/>
    <n v="142160"/>
    <x v="2"/>
    <n v="5660000000000"/>
    <x v="0"/>
    <n v="1"/>
    <n v="11.99"/>
    <n v="5.9950000000000001"/>
    <n v="11.99"/>
    <n v="5.9950000000000001"/>
    <s v="Inexpensive"/>
  </r>
  <r>
    <d v="2019-01-21T22:43:00"/>
    <n v="142161"/>
    <x v="7"/>
    <n v="3660000000000"/>
    <x v="0"/>
    <n v="1"/>
    <n v="99.99"/>
    <n v="49.994999999999997"/>
    <n v="99.99"/>
    <n v="49.994999999999997"/>
    <s v="Inexpensive"/>
  </r>
  <r>
    <d v="2019-01-06T10:04:00"/>
    <n v="142162"/>
    <x v="3"/>
    <n v="5700000000000"/>
    <x v="0"/>
    <n v="1"/>
    <n v="149.99"/>
    <n v="97.493499999999997"/>
    <n v="149.99"/>
    <n v="52.496499999999997"/>
    <s v="Inexpensive"/>
  </r>
  <r>
    <d v="2019-01-04T21:54:00"/>
    <n v="142163"/>
    <x v="8"/>
    <n v="5720000000000"/>
    <x v="0"/>
    <n v="1"/>
    <n v="150"/>
    <n v="97.5"/>
    <n v="150"/>
    <n v="52.5"/>
    <s v="Inexpensive"/>
  </r>
  <r>
    <d v="2019-01-22T18:21:00"/>
    <n v="142164"/>
    <x v="6"/>
    <n v="9740000000000"/>
    <x v="2"/>
    <n v="1"/>
    <n v="11.95"/>
    <n v="5.9749999999999996"/>
    <n v="11.95"/>
    <n v="5.9749999999999996"/>
    <s v="Inexpensive"/>
  </r>
  <r>
    <d v="2019-01-17T23:49:00"/>
    <n v="142165"/>
    <x v="12"/>
    <n v="7880000000000"/>
    <x v="1"/>
    <n v="2"/>
    <n v="3.84"/>
    <n v="1.92"/>
    <n v="7.68"/>
    <n v="3.84"/>
    <s v="Inexpensive"/>
  </r>
  <r>
    <d v="2019-01-24T15:27:00"/>
    <n v="142166"/>
    <x v="6"/>
    <n v="1860000000000"/>
    <x v="0"/>
    <n v="1"/>
    <n v="11.95"/>
    <n v="5.9749999999999996"/>
    <n v="11.95"/>
    <n v="5.9749999999999996"/>
    <s v="Inexpensive"/>
  </r>
  <r>
    <d v="2019-01-24T20:06:00"/>
    <n v="142167"/>
    <x v="6"/>
    <n v="7300000000000"/>
    <x v="1"/>
    <n v="1"/>
    <n v="11.95"/>
    <n v="5.9749999999999996"/>
    <n v="11.95"/>
    <n v="5.9749999999999996"/>
    <s v="Inexpensive"/>
  </r>
  <r>
    <d v="2019-01-21T11:49:00"/>
    <n v="142168"/>
    <x v="1"/>
    <n v="6340000000000"/>
    <x v="2"/>
    <n v="1"/>
    <n v="14.95"/>
    <n v="7.4749999999999996"/>
    <n v="14.95"/>
    <n v="7.4749999999999996"/>
    <s v="Inexpensive"/>
  </r>
  <r>
    <d v="2019-01-15T21:39:00"/>
    <n v="142169"/>
    <x v="4"/>
    <n v="8950000000000"/>
    <x v="1"/>
    <n v="4"/>
    <n v="2.99"/>
    <n v="1.4950000000000001"/>
    <n v="11.96"/>
    <n v="5.98"/>
    <s v="Inexpensive"/>
  </r>
  <r>
    <d v="2019-01-20T08:31:00"/>
    <n v="142170"/>
    <x v="2"/>
    <n v="1180000000000"/>
    <x v="1"/>
    <n v="1"/>
    <n v="11.99"/>
    <n v="5.9950000000000001"/>
    <n v="11.99"/>
    <n v="5.9950000000000001"/>
    <s v="Inexpensive"/>
  </r>
  <r>
    <d v="2019-01-16T10:11:00"/>
    <n v="142171"/>
    <x v="2"/>
    <n v="9240000000000"/>
    <x v="2"/>
    <n v="1"/>
    <n v="11.99"/>
    <n v="5.9950000000000001"/>
    <n v="11.99"/>
    <n v="5.9950000000000001"/>
    <s v="Inexpensive"/>
  </r>
  <r>
    <d v="2019-01-24T23:25:00"/>
    <n v="142172"/>
    <x v="8"/>
    <n v="5500000000000"/>
    <x v="1"/>
    <n v="1"/>
    <n v="150"/>
    <n v="97.5"/>
    <n v="150"/>
    <n v="52.5"/>
    <s v="Inexpensive"/>
  </r>
  <r>
    <d v="2019-01-10T13:29:00"/>
    <n v="142173"/>
    <x v="0"/>
    <n v="7320000000000"/>
    <x v="1"/>
    <n v="1"/>
    <n v="700"/>
    <n v="231"/>
    <n v="700"/>
    <n v="469"/>
    <s v="Expensive"/>
  </r>
  <r>
    <d v="2019-01-10T23:17:00"/>
    <n v="142174"/>
    <x v="1"/>
    <n v="7560000000000"/>
    <x v="0"/>
    <n v="1"/>
    <n v="14.95"/>
    <n v="7.4749999999999996"/>
    <n v="14.95"/>
    <n v="7.4749999999999996"/>
    <s v="Inexpensive"/>
  </r>
  <r>
    <d v="2019-01-12T19:45:00"/>
    <n v="142175"/>
    <x v="4"/>
    <n v="9000000000000"/>
    <x v="2"/>
    <n v="1"/>
    <n v="2.99"/>
    <n v="1.4950000000000001"/>
    <n v="2.99"/>
    <n v="1.4950000000000001"/>
    <s v="Inexpensive"/>
  </r>
  <r>
    <d v="2019-01-12T13:08:00"/>
    <n v="142176"/>
    <x v="8"/>
    <n v="5590000000000"/>
    <x v="2"/>
    <n v="1"/>
    <n v="150"/>
    <n v="97.5"/>
    <n v="150"/>
    <n v="52.5"/>
    <s v="Inexpensive"/>
  </r>
  <r>
    <d v="2019-01-13T14:39:00"/>
    <n v="142177"/>
    <x v="9"/>
    <n v="3100000000000"/>
    <x v="0"/>
    <n v="1"/>
    <n v="1700"/>
    <n v="561"/>
    <n v="1700"/>
    <n v="1139"/>
    <s v="Expensive"/>
  </r>
  <r>
    <d v="2019-01-01T12:59:00"/>
    <n v="142178"/>
    <x v="4"/>
    <n v="8920000000000"/>
    <x v="0"/>
    <n v="1"/>
    <n v="2.99"/>
    <n v="1.4950000000000001"/>
    <n v="2.99"/>
    <n v="1.4950000000000001"/>
    <s v="Inexpensive"/>
  </r>
  <r>
    <d v="2019-01-19T01:41:00"/>
    <n v="142179"/>
    <x v="16"/>
    <n v="5270000000000"/>
    <x v="0"/>
    <n v="1"/>
    <n v="999.99"/>
    <n v="329.99669999999998"/>
    <n v="999.99"/>
    <n v="669.99329999999998"/>
    <s v="Expensive"/>
  </r>
  <r>
    <d v="2019-01-30T19:11:00"/>
    <n v="142180"/>
    <x v="6"/>
    <n v="1440000000000"/>
    <x v="2"/>
    <n v="1"/>
    <n v="11.95"/>
    <n v="5.9749999999999996"/>
    <n v="11.95"/>
    <n v="5.9749999999999996"/>
    <s v="Inexpensive"/>
  </r>
  <r>
    <d v="2019-01-17T18:30:00"/>
    <n v="142181"/>
    <x v="3"/>
    <n v="4620000000000"/>
    <x v="1"/>
    <n v="1"/>
    <n v="149.99"/>
    <n v="97.493499999999997"/>
    <n v="149.99"/>
    <n v="52.496499999999997"/>
    <s v="Inexpensive"/>
  </r>
  <r>
    <d v="2019-01-05T15:56:00"/>
    <n v="142182"/>
    <x v="2"/>
    <n v="9770000000000"/>
    <x v="0"/>
    <n v="1"/>
    <n v="11.99"/>
    <n v="5.9950000000000001"/>
    <n v="11.99"/>
    <n v="5.9950000000000001"/>
    <s v="Inexpensive"/>
  </r>
  <r>
    <d v="2019-01-09T12:13:00"/>
    <n v="142183"/>
    <x v="15"/>
    <n v="7660000000000"/>
    <x v="1"/>
    <n v="1"/>
    <n v="379.99"/>
    <n v="125.3967"/>
    <n v="379.99"/>
    <n v="254.5933"/>
    <s v="Inexpensive"/>
  </r>
  <r>
    <d v="2019-01-23T13:15:00"/>
    <n v="142184"/>
    <x v="4"/>
    <n v="4670000000000"/>
    <x v="1"/>
    <n v="2"/>
    <n v="2.99"/>
    <n v="1.4950000000000001"/>
    <n v="5.98"/>
    <n v="2.99"/>
    <s v="Inexpensive"/>
  </r>
  <r>
    <d v="2019-01-16T14:02:00"/>
    <n v="142185"/>
    <x v="7"/>
    <n v="7460000000000"/>
    <x v="1"/>
    <n v="1"/>
    <n v="99.99"/>
    <n v="49.994999999999997"/>
    <n v="99.99"/>
    <n v="49.994999999999997"/>
    <s v="Inexpensive"/>
  </r>
  <r>
    <d v="2019-01-30T18:42:00"/>
    <n v="142186"/>
    <x v="15"/>
    <n v="3500000000000"/>
    <x v="2"/>
    <n v="1"/>
    <n v="379.99"/>
    <n v="125.3967"/>
    <n v="379.99"/>
    <n v="254.5933"/>
    <s v="Inexpensive"/>
  </r>
  <r>
    <d v="2019-01-30T20:39:00"/>
    <n v="142187"/>
    <x v="14"/>
    <n v="6810000000000"/>
    <x v="2"/>
    <n v="1"/>
    <n v="109.99"/>
    <n v="71.493499999999997"/>
    <n v="109.99"/>
    <n v="38.496499999999997"/>
    <s v="Inexpensive"/>
  </r>
  <r>
    <d v="2019-01-25T13:49:00"/>
    <n v="142188"/>
    <x v="6"/>
    <n v="2690000000000"/>
    <x v="0"/>
    <n v="1"/>
    <n v="11.95"/>
    <n v="5.9749999999999996"/>
    <n v="11.95"/>
    <n v="5.9749999999999996"/>
    <s v="Inexpensive"/>
  </r>
  <r>
    <d v="2019-01-08T11:46:00"/>
    <n v="142189"/>
    <x v="6"/>
    <n v="2750000000000"/>
    <x v="1"/>
    <n v="1"/>
    <n v="11.95"/>
    <n v="5.9749999999999996"/>
    <n v="11.95"/>
    <n v="5.9749999999999996"/>
    <s v="Inexpensive"/>
  </r>
  <r>
    <d v="2019-01-13T14:58:00"/>
    <n v="142190"/>
    <x v="15"/>
    <n v="7220000000000"/>
    <x v="0"/>
    <n v="1"/>
    <n v="379.99"/>
    <n v="125.3967"/>
    <n v="379.99"/>
    <n v="254.5933"/>
    <s v="Inexpensive"/>
  </r>
  <r>
    <d v="2019-01-08T15:41:00"/>
    <n v="142191"/>
    <x v="14"/>
    <n v="5690000000000"/>
    <x v="0"/>
    <n v="1"/>
    <n v="109.99"/>
    <n v="71.493499999999997"/>
    <n v="109.99"/>
    <n v="38.496499999999997"/>
    <s v="Inexpensive"/>
  </r>
  <r>
    <d v="2019-01-28T12:39:00"/>
    <n v="142192"/>
    <x v="13"/>
    <n v="7370000000000"/>
    <x v="0"/>
    <n v="1"/>
    <n v="600"/>
    <n v="198"/>
    <n v="600"/>
    <n v="402"/>
    <s v="Inexpensive"/>
  </r>
  <r>
    <d v="2019-01-28T12:39:00"/>
    <n v="142192"/>
    <x v="6"/>
    <n v="1850000000000"/>
    <x v="2"/>
    <n v="1"/>
    <n v="11.95"/>
    <n v="5.9749999999999996"/>
    <n v="11.95"/>
    <n v="5.9749999999999996"/>
    <s v="Inexpensive"/>
  </r>
  <r>
    <d v="2019-01-01T09:08:00"/>
    <n v="142193"/>
    <x v="3"/>
    <n v="7270000000000"/>
    <x v="2"/>
    <n v="1"/>
    <n v="149.99"/>
    <n v="97.493499999999997"/>
    <n v="149.99"/>
    <n v="52.496499999999997"/>
    <s v="Inexpensive"/>
  </r>
  <r>
    <d v="2019-01-26T17:21:00"/>
    <n v="142194"/>
    <x v="16"/>
    <n v="5340000000000"/>
    <x v="1"/>
    <n v="1"/>
    <n v="999.99"/>
    <n v="329.99669999999998"/>
    <n v="999.99"/>
    <n v="669.99329999999998"/>
    <s v="Expensive"/>
  </r>
  <r>
    <d v="2019-01-02T12:38:00"/>
    <n v="142195"/>
    <x v="8"/>
    <n v="6250000000000"/>
    <x v="0"/>
    <n v="1"/>
    <n v="150"/>
    <n v="97.5"/>
    <n v="150"/>
    <n v="52.5"/>
    <s v="Inexpensive"/>
  </r>
  <r>
    <d v="2019-01-27T17:45:00"/>
    <n v="142196"/>
    <x v="12"/>
    <n v="7160000000000"/>
    <x v="2"/>
    <n v="1"/>
    <n v="3.84"/>
    <n v="1.92"/>
    <n v="3.84"/>
    <n v="1.92"/>
    <s v="Inexpensive"/>
  </r>
  <r>
    <d v="2019-01-16T14:59:00"/>
    <n v="142197"/>
    <x v="12"/>
    <n v="7280000000000"/>
    <x v="0"/>
    <n v="1"/>
    <n v="3.84"/>
    <n v="1.92"/>
    <n v="3.84"/>
    <n v="1.92"/>
    <s v="Inexpensive"/>
  </r>
  <r>
    <d v="2019-01-24T11:54:00"/>
    <n v="142198"/>
    <x v="12"/>
    <n v="8660000000000"/>
    <x v="1"/>
    <n v="2"/>
    <n v="3.84"/>
    <n v="1.92"/>
    <n v="7.68"/>
    <n v="3.84"/>
    <s v="Inexpensive"/>
  </r>
  <r>
    <d v="2019-01-05T10:33:00"/>
    <n v="142199"/>
    <x v="14"/>
    <n v="4580000000000"/>
    <x v="1"/>
    <n v="1"/>
    <n v="109.99"/>
    <n v="71.493499999999997"/>
    <n v="109.99"/>
    <n v="38.496499999999997"/>
    <s v="Inexpensive"/>
  </r>
  <r>
    <d v="2019-01-14T07:58:00"/>
    <n v="142200"/>
    <x v="10"/>
    <n v="4860000000000"/>
    <x v="1"/>
    <n v="1"/>
    <n v="300"/>
    <n v="99"/>
    <n v="300"/>
    <n v="201"/>
    <s v="Inexpensive"/>
  </r>
  <r>
    <d v="2019-01-18T10:22:00"/>
    <n v="142201"/>
    <x v="4"/>
    <n v="9500000000000"/>
    <x v="2"/>
    <n v="1"/>
    <n v="2.99"/>
    <n v="1.4950000000000001"/>
    <n v="2.99"/>
    <n v="1.4950000000000001"/>
    <s v="Inexpensive"/>
  </r>
  <r>
    <d v="2019-01-23T05:53:00"/>
    <n v="142202"/>
    <x v="3"/>
    <n v="8500000000000"/>
    <x v="0"/>
    <n v="1"/>
    <n v="149.99"/>
    <n v="97.493499999999997"/>
    <n v="149.99"/>
    <n v="52.496499999999997"/>
    <s v="Inexpensive"/>
  </r>
  <r>
    <d v="2019-01-06T08:31:00"/>
    <n v="142203"/>
    <x v="7"/>
    <n v="1730000000000"/>
    <x v="2"/>
    <n v="1"/>
    <n v="99.99"/>
    <n v="49.994999999999997"/>
    <n v="99.99"/>
    <n v="49.994999999999997"/>
    <s v="Inexpensive"/>
  </r>
  <r>
    <d v="2019-01-06T11:29:00"/>
    <n v="142204"/>
    <x v="7"/>
    <n v="6940000000000"/>
    <x v="0"/>
    <n v="1"/>
    <n v="99.99"/>
    <n v="49.994999999999997"/>
    <n v="99.99"/>
    <n v="49.994999999999997"/>
    <s v="Inexpensive"/>
  </r>
  <r>
    <d v="2019-01-14T13:13:00"/>
    <n v="142205"/>
    <x v="7"/>
    <n v="7050000000000"/>
    <x v="1"/>
    <n v="1"/>
    <n v="99.99"/>
    <n v="49.994999999999997"/>
    <n v="99.99"/>
    <n v="49.994999999999997"/>
    <s v="Inexpensive"/>
  </r>
  <r>
    <d v="2019-01-02T09:41:00"/>
    <n v="142206"/>
    <x v="9"/>
    <n v="5230000000000"/>
    <x v="1"/>
    <n v="1"/>
    <n v="1700"/>
    <n v="561"/>
    <n v="1700"/>
    <n v="1139"/>
    <s v="Expensive"/>
  </r>
  <r>
    <d v="2019-01-09T20:59:00"/>
    <n v="142207"/>
    <x v="7"/>
    <n v="5710000000000"/>
    <x v="2"/>
    <n v="1"/>
    <n v="99.99"/>
    <n v="49.994999999999997"/>
    <n v="99.99"/>
    <n v="49.994999999999997"/>
    <s v="Inexpensive"/>
  </r>
  <r>
    <d v="2019-01-13T08:49:00"/>
    <n v="142208"/>
    <x v="7"/>
    <n v="4850000000000"/>
    <x v="0"/>
    <n v="1"/>
    <n v="99.99"/>
    <n v="49.994999999999997"/>
    <n v="99.99"/>
    <n v="49.994999999999997"/>
    <s v="Inexpensive"/>
  </r>
  <r>
    <d v="2019-01-09T14:23:00"/>
    <n v="142209"/>
    <x v="15"/>
    <n v="1790000000000"/>
    <x v="1"/>
    <n v="1"/>
    <n v="379.99"/>
    <n v="125.3967"/>
    <n v="379.99"/>
    <n v="254.5933"/>
    <s v="Inexpensive"/>
  </r>
  <r>
    <d v="2019-01-16T19:33:00"/>
    <n v="142210"/>
    <x v="12"/>
    <n v="5440000000000"/>
    <x v="2"/>
    <n v="1"/>
    <n v="3.84"/>
    <n v="1.92"/>
    <n v="3.84"/>
    <n v="1.92"/>
    <s v="Inexpensive"/>
  </r>
  <r>
    <d v="2019-01-03T16:01:00"/>
    <n v="142211"/>
    <x v="2"/>
    <n v="1090000000000"/>
    <x v="1"/>
    <n v="1"/>
    <n v="11.99"/>
    <n v="5.9950000000000001"/>
    <n v="11.99"/>
    <n v="5.9950000000000001"/>
    <s v="Inexpensive"/>
  </r>
  <r>
    <d v="2019-01-18T15:22:00"/>
    <n v="142212"/>
    <x v="12"/>
    <n v="6310000000000"/>
    <x v="0"/>
    <n v="3"/>
    <n v="3.84"/>
    <n v="1.92"/>
    <n v="11.52"/>
    <n v="5.76"/>
    <s v="Inexpensive"/>
  </r>
  <r>
    <d v="2019-01-29T23:04:00"/>
    <n v="142213"/>
    <x v="8"/>
    <n v="3610000000000"/>
    <x v="1"/>
    <n v="1"/>
    <n v="150"/>
    <n v="97.5"/>
    <n v="150"/>
    <n v="52.5"/>
    <s v="Inexpensive"/>
  </r>
  <r>
    <d v="2019-01-23T07:54:00"/>
    <n v="142214"/>
    <x v="4"/>
    <n v="4070000000000"/>
    <x v="0"/>
    <n v="3"/>
    <n v="2.99"/>
    <n v="1.4950000000000001"/>
    <n v="8.9700000000000006"/>
    <n v="4.4850000000000003"/>
    <s v="Inexpensive"/>
  </r>
  <r>
    <d v="2019-01-13T06:09:00"/>
    <n v="142215"/>
    <x v="10"/>
    <n v="9370000000000"/>
    <x v="2"/>
    <n v="1"/>
    <n v="300"/>
    <n v="99"/>
    <n v="300"/>
    <n v="201"/>
    <s v="Inexpensive"/>
  </r>
  <r>
    <d v="2019-01-14T02:44:00"/>
    <n v="142216"/>
    <x v="4"/>
    <n v="8310000000000"/>
    <x v="1"/>
    <n v="1"/>
    <n v="2.99"/>
    <n v="1.4950000000000001"/>
    <n v="2.99"/>
    <n v="1.4950000000000001"/>
    <s v="Inexpensive"/>
  </r>
  <r>
    <d v="2019-01-19T14:18:00"/>
    <n v="142217"/>
    <x v="7"/>
    <n v="5330000000000"/>
    <x v="1"/>
    <n v="1"/>
    <n v="99.99"/>
    <n v="49.994999999999997"/>
    <n v="99.99"/>
    <n v="49.994999999999997"/>
    <s v="Inexpensive"/>
  </r>
  <r>
    <d v="2019-01-30T20:01:00"/>
    <n v="142218"/>
    <x v="2"/>
    <n v="6880000000000"/>
    <x v="2"/>
    <n v="1"/>
    <n v="11.99"/>
    <n v="5.9950000000000001"/>
    <n v="11.99"/>
    <n v="5.9950000000000001"/>
    <s v="Inexpensive"/>
  </r>
  <r>
    <d v="2019-01-04T20:31:00"/>
    <n v="142219"/>
    <x v="3"/>
    <n v="2410000000000"/>
    <x v="1"/>
    <n v="1"/>
    <n v="149.99"/>
    <n v="97.493499999999997"/>
    <n v="149.99"/>
    <n v="52.496499999999997"/>
    <s v="Inexpensive"/>
  </r>
  <r>
    <d v="2019-01-03T16:03:00"/>
    <n v="142220"/>
    <x v="10"/>
    <n v="4130000000000"/>
    <x v="0"/>
    <n v="1"/>
    <n v="300"/>
    <n v="99"/>
    <n v="300"/>
    <n v="201"/>
    <s v="Inexpensive"/>
  </r>
  <r>
    <d v="2019-01-12T02:33:00"/>
    <n v="142221"/>
    <x v="10"/>
    <n v="2780000000000"/>
    <x v="1"/>
    <n v="1"/>
    <n v="300"/>
    <n v="99"/>
    <n v="300"/>
    <n v="201"/>
    <s v="Inexpensive"/>
  </r>
  <r>
    <d v="2019-01-19T19:18:00"/>
    <n v="142222"/>
    <x v="12"/>
    <n v="7710000000000"/>
    <x v="1"/>
    <n v="1"/>
    <n v="3.84"/>
    <n v="1.92"/>
    <n v="3.84"/>
    <n v="1.92"/>
    <s v="Inexpensive"/>
  </r>
  <r>
    <d v="2019-01-28T16:49:00"/>
    <n v="142223"/>
    <x v="2"/>
    <n v="6530000000000"/>
    <x v="0"/>
    <n v="1"/>
    <n v="11.99"/>
    <n v="5.9950000000000001"/>
    <n v="11.99"/>
    <n v="5.9950000000000001"/>
    <s v="Inexpensive"/>
  </r>
  <r>
    <d v="2019-01-11T20:56:00"/>
    <n v="142224"/>
    <x v="6"/>
    <n v="5820000000000"/>
    <x v="0"/>
    <n v="1"/>
    <n v="11.95"/>
    <n v="5.9749999999999996"/>
    <n v="11.95"/>
    <n v="5.9749999999999996"/>
    <s v="Inexpensive"/>
  </r>
  <r>
    <d v="2019-01-19T09:47:00"/>
    <n v="142225"/>
    <x v="1"/>
    <n v="9970000000000"/>
    <x v="1"/>
    <n v="1"/>
    <n v="14.95"/>
    <n v="7.4749999999999996"/>
    <n v="14.95"/>
    <n v="7.4749999999999996"/>
    <s v="Inexpensive"/>
  </r>
  <r>
    <d v="2019-01-22T21:55:00"/>
    <n v="142226"/>
    <x v="4"/>
    <n v="6270000000000"/>
    <x v="2"/>
    <n v="3"/>
    <n v="2.99"/>
    <n v="1.4950000000000001"/>
    <n v="8.9700000000000006"/>
    <n v="4.4850000000000003"/>
    <s v="Inexpensive"/>
  </r>
  <r>
    <d v="2019-01-31T20:22:00"/>
    <n v="142227"/>
    <x v="2"/>
    <n v="8650000000000"/>
    <x v="1"/>
    <n v="1"/>
    <n v="11.99"/>
    <n v="5.9950000000000001"/>
    <n v="11.99"/>
    <n v="5.9950000000000001"/>
    <s v="Inexpensive"/>
  </r>
  <r>
    <d v="2019-01-22T11:37:00"/>
    <n v="142228"/>
    <x v="9"/>
    <n v="5260000000000"/>
    <x v="2"/>
    <n v="1"/>
    <n v="1700"/>
    <n v="561"/>
    <n v="1700"/>
    <n v="1139"/>
    <s v="Expensive"/>
  </r>
  <r>
    <d v="2019-01-04T10:29:00"/>
    <n v="142229"/>
    <x v="3"/>
    <n v="2050000000000"/>
    <x v="2"/>
    <n v="1"/>
    <n v="149.99"/>
    <n v="97.493499999999997"/>
    <n v="149.99"/>
    <n v="52.496499999999997"/>
    <s v="Inexpensive"/>
  </r>
  <r>
    <d v="2019-01-29T12:05:00"/>
    <n v="142230"/>
    <x v="13"/>
    <n v="9920000000000"/>
    <x v="1"/>
    <n v="1"/>
    <n v="600"/>
    <n v="198"/>
    <n v="600"/>
    <n v="402"/>
    <s v="Inexpensive"/>
  </r>
  <r>
    <m/>
    <m/>
    <x v="19"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51FBD-3DF1-4A22-89DB-42442671BB77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3" firstHeaderRow="1" firstDataRow="1" firstDataCol="1" rowPageCount="1" colPageCount="1"/>
  <pivotFields count="11">
    <pivotField showAll="0"/>
    <pivotField showAll="0"/>
    <pivotField axis="axisRow" showAll="0">
      <items count="21">
        <item x="14"/>
        <item x="5"/>
        <item x="3"/>
        <item x="15"/>
        <item x="12"/>
        <item x="4"/>
        <item x="8"/>
        <item x="7"/>
        <item x="10"/>
        <item x="13"/>
        <item x="0"/>
        <item x="17"/>
        <item x="18"/>
        <item x="1"/>
        <item x="9"/>
        <item x="16"/>
        <item x="6"/>
        <item x="11"/>
        <item x="2"/>
        <item x="19"/>
        <item t="default"/>
      </items>
    </pivotField>
    <pivotField showAll="0"/>
    <pivotField axis="axisPage" multipleItemSelectionAllowed="1" showAll="0">
      <items count="5">
        <item h="1" x="2"/>
        <item x="0"/>
        <item x="1"/>
        <item h="1"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ageFields count="1">
    <pageField fld="4" hier="-1"/>
  </pageFields>
  <dataFields count="1">
    <dataField name="Sum of margi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E752-2B12-4280-B68D-AFE306D4D06D}">
  <dimension ref="A5:A12"/>
  <sheetViews>
    <sheetView topLeftCell="B1" zoomScale="115" zoomScaleNormal="115" workbookViewId="0">
      <selection activeCell="L1" sqref="L1"/>
    </sheetView>
  </sheetViews>
  <sheetFormatPr defaultColWidth="15.6640625" defaultRowHeight="15" customHeight="1" x14ac:dyDescent="0.3"/>
  <cols>
    <col min="2" max="2" width="15.6640625" customWidth="1"/>
  </cols>
  <sheetData>
    <row r="5" spans="1:1" ht="18" customHeight="1" x14ac:dyDescent="0.3"/>
    <row r="12" spans="1:1" ht="15" customHeight="1" x14ac:dyDescent="0.3">
      <c r="A12" s="52"/>
    </row>
  </sheetData>
  <dataConsolidate link="1"/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147D-874F-40C3-A971-FBB60C03928E}">
  <dimension ref="B4:H12"/>
  <sheetViews>
    <sheetView workbookViewId="0">
      <selection activeCell="D7" sqref="D7"/>
    </sheetView>
  </sheetViews>
  <sheetFormatPr defaultRowHeight="14.4" x14ac:dyDescent="0.3"/>
  <cols>
    <col min="2" max="2" width="14.88671875" customWidth="1"/>
    <col min="4" max="4" width="12.5546875" bestFit="1" customWidth="1"/>
    <col min="6" max="6" width="10.88671875" customWidth="1"/>
  </cols>
  <sheetData>
    <row r="4" spans="2:8" x14ac:dyDescent="0.3">
      <c r="B4">
        <v>22012019</v>
      </c>
      <c r="C4" s="67"/>
      <c r="D4" s="67"/>
      <c r="E4" s="67"/>
      <c r="F4" s="69"/>
      <c r="H4" s="67"/>
    </row>
    <row r="5" spans="2:8" x14ac:dyDescent="0.3">
      <c r="B5">
        <v>28012019</v>
      </c>
      <c r="C5" s="67"/>
      <c r="D5" s="67"/>
      <c r="E5" s="67"/>
      <c r="F5" s="69"/>
      <c r="H5" s="67"/>
    </row>
    <row r="6" spans="2:8" x14ac:dyDescent="0.3">
      <c r="B6">
        <v>17012019</v>
      </c>
      <c r="C6" s="67"/>
      <c r="D6" s="9">
        <f>SUM(B4:B11)</f>
        <v>157096152</v>
      </c>
      <c r="E6" s="67"/>
      <c r="F6" s="69"/>
      <c r="H6" s="67"/>
    </row>
    <row r="7" spans="2:8" x14ac:dyDescent="0.3">
      <c r="B7">
        <v>5012019</v>
      </c>
      <c r="C7" s="67"/>
      <c r="D7" s="67"/>
      <c r="E7" s="67"/>
      <c r="F7" s="69"/>
      <c r="H7" s="67"/>
    </row>
    <row r="8" spans="2:8" x14ac:dyDescent="0.3">
      <c r="B8">
        <v>25012019</v>
      </c>
      <c r="C8" s="67"/>
      <c r="D8" s="67"/>
      <c r="E8" s="67"/>
      <c r="F8" s="69"/>
      <c r="H8" s="67"/>
    </row>
    <row r="9" spans="2:8" x14ac:dyDescent="0.3">
      <c r="B9">
        <v>29012019</v>
      </c>
      <c r="C9" s="67"/>
      <c r="D9" s="67"/>
      <c r="E9" s="67"/>
      <c r="F9" s="69"/>
      <c r="H9" s="67"/>
    </row>
    <row r="10" spans="2:8" x14ac:dyDescent="0.3">
      <c r="B10">
        <v>26012019</v>
      </c>
      <c r="C10" s="67"/>
      <c r="D10" s="67"/>
      <c r="E10" s="67"/>
      <c r="F10" s="69"/>
      <c r="H10" s="67"/>
    </row>
    <row r="11" spans="2:8" x14ac:dyDescent="0.3">
      <c r="B11">
        <v>5012019</v>
      </c>
      <c r="C11" s="67"/>
      <c r="D11" s="67"/>
      <c r="E11" s="67"/>
      <c r="F11" s="69"/>
      <c r="H11" s="67"/>
    </row>
    <row r="12" spans="2:8" x14ac:dyDescent="0.3">
      <c r="F12" s="68"/>
      <c r="H12" s="67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E2E1-48FF-47E9-BED1-5F5623423768}">
  <dimension ref="A1:I26"/>
  <sheetViews>
    <sheetView zoomScale="75" workbookViewId="0">
      <selection activeCell="F17" sqref="F17"/>
    </sheetView>
  </sheetViews>
  <sheetFormatPr defaultRowHeight="14.4" x14ac:dyDescent="0.3"/>
  <cols>
    <col min="5" max="5" width="11.109375" customWidth="1"/>
  </cols>
  <sheetData>
    <row r="1" spans="1:9" ht="48" customHeight="1" thickBot="1" x14ac:dyDescent="0.35">
      <c r="A1" s="44" t="s">
        <v>0</v>
      </c>
      <c r="B1" s="44" t="s">
        <v>1</v>
      </c>
      <c r="C1" s="45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</row>
    <row r="2" spans="1:9" ht="15" thickBot="1" x14ac:dyDescent="0.35">
      <c r="A2" s="46" t="s">
        <v>9</v>
      </c>
      <c r="B2" s="46">
        <v>25</v>
      </c>
      <c r="C2" s="47" t="s">
        <v>10</v>
      </c>
      <c r="D2" t="str">
        <f>IF(B2=30,"True","False")</f>
        <v>False</v>
      </c>
      <c r="E2" t="str">
        <f>IF(B2&gt;25,"True","False")</f>
        <v>False</v>
      </c>
      <c r="F2" t="str">
        <f>IF(B2&lt;30,"True","False")</f>
        <v>True</v>
      </c>
      <c r="G2" t="str">
        <f>IF(B2&gt;=35,"True","False")</f>
        <v>False</v>
      </c>
      <c r="H2" t="str">
        <f>IF(B2&lt;=35,"True","False")</f>
        <v>True</v>
      </c>
      <c r="I2" t="str">
        <f>IF(C2&lt;&gt;"Male","True","False")</f>
        <v>False</v>
      </c>
    </row>
    <row r="3" spans="1:9" ht="15" thickBot="1" x14ac:dyDescent="0.35">
      <c r="A3" s="46" t="s">
        <v>11</v>
      </c>
      <c r="B3" s="46">
        <v>30</v>
      </c>
      <c r="C3" s="47" t="s">
        <v>12</v>
      </c>
      <c r="D3" t="str">
        <f t="shared" ref="D3:D26" si="0">IF(B3=30,"True","False")</f>
        <v>True</v>
      </c>
      <c r="E3" t="str">
        <f t="shared" ref="E3:E26" si="1">IF(B3&gt;25,"True","False")</f>
        <v>True</v>
      </c>
      <c r="F3" t="str">
        <f t="shared" ref="F3:F26" si="2">IF(B3&lt;30,"True","False")</f>
        <v>False</v>
      </c>
      <c r="G3" t="str">
        <f t="shared" ref="G3:G26" si="3">IF(B3&gt;=35,"True","False")</f>
        <v>False</v>
      </c>
      <c r="H3" t="str">
        <f>IF(B3&lt;=35,"True","False")</f>
        <v>True</v>
      </c>
      <c r="I3" t="str">
        <f t="shared" ref="I3:I26" si="4">IF(C3&lt;&gt;"Male","True","False")</f>
        <v>True</v>
      </c>
    </row>
    <row r="4" spans="1:9" ht="15" thickBot="1" x14ac:dyDescent="0.35">
      <c r="A4" s="46" t="s">
        <v>13</v>
      </c>
      <c r="B4" s="46">
        <v>28</v>
      </c>
      <c r="C4" s="47" t="s">
        <v>10</v>
      </c>
      <c r="D4" t="str">
        <f t="shared" si="0"/>
        <v>False</v>
      </c>
      <c r="E4" t="str">
        <f t="shared" si="1"/>
        <v>True</v>
      </c>
      <c r="F4" t="str">
        <f t="shared" si="2"/>
        <v>True</v>
      </c>
      <c r="G4" t="str">
        <f t="shared" si="3"/>
        <v>False</v>
      </c>
      <c r="H4" t="str">
        <f t="shared" ref="H4:H26" si="5">IF(B4&lt;=35,"True","False")</f>
        <v>True</v>
      </c>
      <c r="I4" t="str">
        <f t="shared" si="4"/>
        <v>False</v>
      </c>
    </row>
    <row r="5" spans="1:9" ht="15" thickBot="1" x14ac:dyDescent="0.35">
      <c r="A5" s="46" t="s">
        <v>14</v>
      </c>
      <c r="B5" s="46">
        <v>22</v>
      </c>
      <c r="C5" s="47" t="s">
        <v>12</v>
      </c>
      <c r="D5" t="str">
        <f t="shared" si="0"/>
        <v>False</v>
      </c>
      <c r="E5" t="str">
        <f t="shared" si="1"/>
        <v>False</v>
      </c>
      <c r="F5" t="str">
        <f t="shared" si="2"/>
        <v>True</v>
      </c>
      <c r="G5" t="str">
        <f t="shared" si="3"/>
        <v>False</v>
      </c>
      <c r="H5" t="str">
        <f t="shared" si="5"/>
        <v>True</v>
      </c>
      <c r="I5" t="str">
        <f t="shared" si="4"/>
        <v>True</v>
      </c>
    </row>
    <row r="6" spans="1:9" ht="15" thickBot="1" x14ac:dyDescent="0.35">
      <c r="A6" s="46" t="s">
        <v>15</v>
      </c>
      <c r="B6" s="46">
        <v>35</v>
      </c>
      <c r="C6" s="47" t="s">
        <v>10</v>
      </c>
      <c r="D6" t="str">
        <f t="shared" si="0"/>
        <v>False</v>
      </c>
      <c r="E6" t="str">
        <f t="shared" si="1"/>
        <v>True</v>
      </c>
      <c r="F6" t="str">
        <f t="shared" si="2"/>
        <v>False</v>
      </c>
      <c r="G6" t="str">
        <f t="shared" si="3"/>
        <v>True</v>
      </c>
      <c r="H6" t="str">
        <f t="shared" si="5"/>
        <v>True</v>
      </c>
      <c r="I6" t="str">
        <f t="shared" si="4"/>
        <v>False</v>
      </c>
    </row>
    <row r="7" spans="1:9" ht="15" thickBot="1" x14ac:dyDescent="0.35">
      <c r="A7" s="46" t="s">
        <v>16</v>
      </c>
      <c r="B7" s="46">
        <v>29</v>
      </c>
      <c r="C7" s="47" t="s">
        <v>12</v>
      </c>
      <c r="D7" t="str">
        <f t="shared" si="0"/>
        <v>False</v>
      </c>
      <c r="E7" t="str">
        <f t="shared" si="1"/>
        <v>True</v>
      </c>
      <c r="F7" t="str">
        <f t="shared" si="2"/>
        <v>True</v>
      </c>
      <c r="G7" t="str">
        <f t="shared" si="3"/>
        <v>False</v>
      </c>
      <c r="H7" t="str">
        <f t="shared" si="5"/>
        <v>True</v>
      </c>
      <c r="I7" t="str">
        <f t="shared" si="4"/>
        <v>True</v>
      </c>
    </row>
    <row r="8" spans="1:9" ht="15" thickBot="1" x14ac:dyDescent="0.35">
      <c r="A8" s="46" t="s">
        <v>17</v>
      </c>
      <c r="B8" s="46">
        <v>40</v>
      </c>
      <c r="C8" s="47" t="s">
        <v>10</v>
      </c>
      <c r="D8" t="str">
        <f t="shared" si="0"/>
        <v>False</v>
      </c>
      <c r="E8" t="str">
        <f t="shared" si="1"/>
        <v>True</v>
      </c>
      <c r="F8" t="str">
        <f t="shared" si="2"/>
        <v>False</v>
      </c>
      <c r="G8" t="str">
        <f t="shared" si="3"/>
        <v>True</v>
      </c>
      <c r="H8" t="str">
        <f t="shared" si="5"/>
        <v>False</v>
      </c>
      <c r="I8" t="str">
        <f t="shared" si="4"/>
        <v>False</v>
      </c>
    </row>
    <row r="9" spans="1:9" ht="15" thickBot="1" x14ac:dyDescent="0.35">
      <c r="A9" s="46" t="s">
        <v>18</v>
      </c>
      <c r="B9" s="46">
        <v>27</v>
      </c>
      <c r="C9" s="47" t="s">
        <v>12</v>
      </c>
      <c r="D9" t="str">
        <f t="shared" si="0"/>
        <v>False</v>
      </c>
      <c r="E9" t="str">
        <f t="shared" si="1"/>
        <v>True</v>
      </c>
      <c r="F9" t="str">
        <f t="shared" si="2"/>
        <v>True</v>
      </c>
      <c r="G9" t="str">
        <f t="shared" si="3"/>
        <v>False</v>
      </c>
      <c r="H9" t="str">
        <f t="shared" si="5"/>
        <v>True</v>
      </c>
      <c r="I9" t="str">
        <f t="shared" si="4"/>
        <v>True</v>
      </c>
    </row>
    <row r="10" spans="1:9" ht="15" thickBot="1" x14ac:dyDescent="0.35">
      <c r="A10" s="46" t="s">
        <v>19</v>
      </c>
      <c r="B10" s="46">
        <v>33</v>
      </c>
      <c r="C10" s="47" t="s">
        <v>10</v>
      </c>
      <c r="D10" t="str">
        <f t="shared" si="0"/>
        <v>False</v>
      </c>
      <c r="E10" t="str">
        <f t="shared" si="1"/>
        <v>True</v>
      </c>
      <c r="F10" t="str">
        <f t="shared" si="2"/>
        <v>False</v>
      </c>
      <c r="G10" t="str">
        <f t="shared" si="3"/>
        <v>False</v>
      </c>
      <c r="H10" t="str">
        <f t="shared" si="5"/>
        <v>True</v>
      </c>
      <c r="I10" t="str">
        <f t="shared" si="4"/>
        <v>False</v>
      </c>
    </row>
    <row r="11" spans="1:9" ht="15" thickBot="1" x14ac:dyDescent="0.35">
      <c r="A11" s="46" t="s">
        <v>20</v>
      </c>
      <c r="B11" s="46">
        <v>31</v>
      </c>
      <c r="C11" s="47" t="s">
        <v>12</v>
      </c>
      <c r="D11" t="str">
        <f t="shared" si="0"/>
        <v>False</v>
      </c>
      <c r="E11" t="str">
        <f t="shared" si="1"/>
        <v>True</v>
      </c>
      <c r="F11" t="str">
        <f t="shared" si="2"/>
        <v>False</v>
      </c>
      <c r="G11" t="str">
        <f t="shared" si="3"/>
        <v>False</v>
      </c>
      <c r="H11" t="str">
        <f t="shared" si="5"/>
        <v>True</v>
      </c>
      <c r="I11" t="str">
        <f t="shared" si="4"/>
        <v>True</v>
      </c>
    </row>
    <row r="12" spans="1:9" ht="15" thickBot="1" x14ac:dyDescent="0.35">
      <c r="A12" s="46" t="s">
        <v>21</v>
      </c>
      <c r="B12" s="46">
        <v>26</v>
      </c>
      <c r="C12" s="47" t="s">
        <v>10</v>
      </c>
      <c r="D12" t="str">
        <f t="shared" si="0"/>
        <v>False</v>
      </c>
      <c r="E12" t="str">
        <f t="shared" si="1"/>
        <v>True</v>
      </c>
      <c r="F12" t="str">
        <f t="shared" si="2"/>
        <v>True</v>
      </c>
      <c r="G12" t="str">
        <f t="shared" si="3"/>
        <v>False</v>
      </c>
      <c r="H12" t="str">
        <f t="shared" si="5"/>
        <v>True</v>
      </c>
      <c r="I12" t="str">
        <f t="shared" si="4"/>
        <v>False</v>
      </c>
    </row>
    <row r="13" spans="1:9" ht="15" thickBot="1" x14ac:dyDescent="0.35">
      <c r="A13" s="46" t="s">
        <v>22</v>
      </c>
      <c r="B13" s="46">
        <v>24</v>
      </c>
      <c r="C13" s="47" t="s">
        <v>12</v>
      </c>
      <c r="D13" t="str">
        <f t="shared" si="0"/>
        <v>False</v>
      </c>
      <c r="E13" t="str">
        <f t="shared" si="1"/>
        <v>False</v>
      </c>
      <c r="F13" t="str">
        <f t="shared" si="2"/>
        <v>True</v>
      </c>
      <c r="G13" t="str">
        <f t="shared" si="3"/>
        <v>False</v>
      </c>
      <c r="H13" t="str">
        <f t="shared" si="5"/>
        <v>True</v>
      </c>
      <c r="I13" t="str">
        <f t="shared" si="4"/>
        <v>True</v>
      </c>
    </row>
    <row r="14" spans="1:9" ht="15" thickBot="1" x14ac:dyDescent="0.35">
      <c r="A14" s="46" t="s">
        <v>23</v>
      </c>
      <c r="B14" s="46">
        <v>39</v>
      </c>
      <c r="C14" s="47" t="s">
        <v>10</v>
      </c>
      <c r="D14" t="str">
        <f t="shared" si="0"/>
        <v>False</v>
      </c>
      <c r="E14" t="str">
        <f t="shared" si="1"/>
        <v>True</v>
      </c>
      <c r="F14" t="str">
        <f t="shared" si="2"/>
        <v>False</v>
      </c>
      <c r="G14" t="str">
        <f t="shared" si="3"/>
        <v>True</v>
      </c>
      <c r="H14" t="str">
        <f t="shared" si="5"/>
        <v>False</v>
      </c>
      <c r="I14" t="str">
        <f t="shared" si="4"/>
        <v>False</v>
      </c>
    </row>
    <row r="15" spans="1:9" ht="15" thickBot="1" x14ac:dyDescent="0.35">
      <c r="A15" s="46" t="s">
        <v>24</v>
      </c>
      <c r="B15" s="46">
        <v>28</v>
      </c>
      <c r="C15" s="47" t="s">
        <v>12</v>
      </c>
      <c r="D15" t="str">
        <f t="shared" si="0"/>
        <v>False</v>
      </c>
      <c r="E15" t="str">
        <f t="shared" si="1"/>
        <v>True</v>
      </c>
      <c r="F15" t="str">
        <f t="shared" si="2"/>
        <v>True</v>
      </c>
      <c r="G15" t="str">
        <f t="shared" si="3"/>
        <v>False</v>
      </c>
      <c r="H15" t="str">
        <f t="shared" si="5"/>
        <v>True</v>
      </c>
      <c r="I15" t="str">
        <f t="shared" si="4"/>
        <v>True</v>
      </c>
    </row>
    <row r="16" spans="1:9" ht="15" thickBot="1" x14ac:dyDescent="0.35">
      <c r="A16" s="46" t="s">
        <v>25</v>
      </c>
      <c r="B16" s="46">
        <v>32</v>
      </c>
      <c r="C16" s="47" t="s">
        <v>10</v>
      </c>
      <c r="D16" t="str">
        <f t="shared" si="0"/>
        <v>False</v>
      </c>
      <c r="E16" t="str">
        <f t="shared" si="1"/>
        <v>True</v>
      </c>
      <c r="F16" t="str">
        <f>IF(B16&lt;30,"True","False")</f>
        <v>False</v>
      </c>
      <c r="G16" t="str">
        <f t="shared" si="3"/>
        <v>False</v>
      </c>
      <c r="H16" t="str">
        <f t="shared" si="5"/>
        <v>True</v>
      </c>
      <c r="I16" t="str">
        <f t="shared" si="4"/>
        <v>False</v>
      </c>
    </row>
    <row r="17" spans="1:9" ht="15" thickBot="1" x14ac:dyDescent="0.35">
      <c r="A17" s="46" t="s">
        <v>26</v>
      </c>
      <c r="B17" s="46">
        <v>23</v>
      </c>
      <c r="C17" s="47" t="s">
        <v>12</v>
      </c>
      <c r="D17" t="str">
        <f t="shared" si="0"/>
        <v>False</v>
      </c>
      <c r="E17" t="str">
        <f t="shared" si="1"/>
        <v>False</v>
      </c>
      <c r="F17" t="str">
        <f t="shared" si="2"/>
        <v>True</v>
      </c>
      <c r="G17" t="str">
        <f t="shared" si="3"/>
        <v>False</v>
      </c>
      <c r="H17" t="str">
        <f t="shared" si="5"/>
        <v>True</v>
      </c>
      <c r="I17" t="str">
        <f t="shared" si="4"/>
        <v>True</v>
      </c>
    </row>
    <row r="18" spans="1:9" ht="15" thickBot="1" x14ac:dyDescent="0.35">
      <c r="A18" s="46" t="s">
        <v>27</v>
      </c>
      <c r="B18" s="46">
        <v>34</v>
      </c>
      <c r="C18" s="47" t="s">
        <v>10</v>
      </c>
      <c r="D18" t="str">
        <f t="shared" si="0"/>
        <v>False</v>
      </c>
      <c r="E18" t="str">
        <f t="shared" si="1"/>
        <v>True</v>
      </c>
      <c r="F18" t="str">
        <f t="shared" si="2"/>
        <v>False</v>
      </c>
      <c r="G18" t="str">
        <f t="shared" si="3"/>
        <v>False</v>
      </c>
      <c r="H18" t="str">
        <f t="shared" si="5"/>
        <v>True</v>
      </c>
      <c r="I18" t="str">
        <f t="shared" si="4"/>
        <v>False</v>
      </c>
    </row>
    <row r="19" spans="1:9" ht="15" thickBot="1" x14ac:dyDescent="0.35">
      <c r="A19" s="46" t="s">
        <v>28</v>
      </c>
      <c r="B19" s="46">
        <v>37</v>
      </c>
      <c r="C19" s="47" t="s">
        <v>12</v>
      </c>
      <c r="D19" t="str">
        <f t="shared" si="0"/>
        <v>False</v>
      </c>
      <c r="E19" t="str">
        <f t="shared" si="1"/>
        <v>True</v>
      </c>
      <c r="F19" t="str">
        <f t="shared" si="2"/>
        <v>False</v>
      </c>
      <c r="G19" t="str">
        <f t="shared" si="3"/>
        <v>True</v>
      </c>
      <c r="H19" t="str">
        <f t="shared" si="5"/>
        <v>False</v>
      </c>
      <c r="I19" t="str">
        <f t="shared" si="4"/>
        <v>True</v>
      </c>
    </row>
    <row r="20" spans="1:9" ht="15" thickBot="1" x14ac:dyDescent="0.35">
      <c r="A20" s="46" t="s">
        <v>29</v>
      </c>
      <c r="B20" s="46">
        <v>29</v>
      </c>
      <c r="C20" s="47" t="s">
        <v>10</v>
      </c>
      <c r="D20" t="str">
        <f t="shared" si="0"/>
        <v>False</v>
      </c>
      <c r="E20" t="str">
        <f t="shared" si="1"/>
        <v>True</v>
      </c>
      <c r="F20" t="str">
        <f t="shared" si="2"/>
        <v>True</v>
      </c>
      <c r="G20" t="str">
        <f t="shared" si="3"/>
        <v>False</v>
      </c>
      <c r="H20" t="str">
        <f t="shared" si="5"/>
        <v>True</v>
      </c>
      <c r="I20" t="str">
        <f t="shared" si="4"/>
        <v>False</v>
      </c>
    </row>
    <row r="21" spans="1:9" ht="15" thickBot="1" x14ac:dyDescent="0.35">
      <c r="A21" s="46" t="s">
        <v>30</v>
      </c>
      <c r="B21" s="46">
        <v>25</v>
      </c>
      <c r="C21" s="47" t="s">
        <v>12</v>
      </c>
      <c r="D21" t="str">
        <f t="shared" si="0"/>
        <v>False</v>
      </c>
      <c r="E21" t="str">
        <f t="shared" si="1"/>
        <v>False</v>
      </c>
      <c r="F21" t="str">
        <f t="shared" si="2"/>
        <v>True</v>
      </c>
      <c r="G21" t="str">
        <f t="shared" si="3"/>
        <v>False</v>
      </c>
      <c r="H21" t="str">
        <f t="shared" si="5"/>
        <v>True</v>
      </c>
      <c r="I21" t="str">
        <f t="shared" si="4"/>
        <v>True</v>
      </c>
    </row>
    <row r="22" spans="1:9" ht="15" thickBot="1" x14ac:dyDescent="0.35">
      <c r="A22" s="46" t="s">
        <v>31</v>
      </c>
      <c r="B22" s="46">
        <v>36</v>
      </c>
      <c r="C22" s="47" t="s">
        <v>10</v>
      </c>
      <c r="D22" t="str">
        <f t="shared" si="0"/>
        <v>False</v>
      </c>
      <c r="E22" t="str">
        <f t="shared" si="1"/>
        <v>True</v>
      </c>
      <c r="F22" t="str">
        <f t="shared" si="2"/>
        <v>False</v>
      </c>
      <c r="G22" t="str">
        <f t="shared" si="3"/>
        <v>True</v>
      </c>
      <c r="H22" t="str">
        <f t="shared" si="5"/>
        <v>False</v>
      </c>
      <c r="I22" t="str">
        <f t="shared" si="4"/>
        <v>False</v>
      </c>
    </row>
    <row r="23" spans="1:9" ht="15" thickBot="1" x14ac:dyDescent="0.35">
      <c r="A23" s="46" t="s">
        <v>32</v>
      </c>
      <c r="B23" s="46">
        <v>26</v>
      </c>
      <c r="C23" s="47" t="s">
        <v>12</v>
      </c>
      <c r="D23" t="str">
        <f t="shared" si="0"/>
        <v>False</v>
      </c>
      <c r="E23" t="str">
        <f t="shared" si="1"/>
        <v>True</v>
      </c>
      <c r="F23" t="str">
        <f t="shared" si="2"/>
        <v>True</v>
      </c>
      <c r="G23" t="str">
        <f t="shared" si="3"/>
        <v>False</v>
      </c>
      <c r="H23" t="str">
        <f t="shared" si="5"/>
        <v>True</v>
      </c>
      <c r="I23" t="str">
        <f t="shared" si="4"/>
        <v>True</v>
      </c>
    </row>
    <row r="24" spans="1:9" ht="15" thickBot="1" x14ac:dyDescent="0.35">
      <c r="A24" s="46" t="s">
        <v>33</v>
      </c>
      <c r="B24" s="46">
        <v>31</v>
      </c>
      <c r="C24" s="47" t="s">
        <v>10</v>
      </c>
      <c r="D24" t="str">
        <f t="shared" si="0"/>
        <v>False</v>
      </c>
      <c r="E24" t="str">
        <f t="shared" si="1"/>
        <v>True</v>
      </c>
      <c r="F24" t="str">
        <f t="shared" si="2"/>
        <v>False</v>
      </c>
      <c r="G24" t="str">
        <f t="shared" si="3"/>
        <v>False</v>
      </c>
      <c r="H24" t="str">
        <f t="shared" si="5"/>
        <v>True</v>
      </c>
      <c r="I24" t="str">
        <f t="shared" si="4"/>
        <v>False</v>
      </c>
    </row>
    <row r="25" spans="1:9" ht="15" thickBot="1" x14ac:dyDescent="0.35">
      <c r="A25" s="46" t="s">
        <v>34</v>
      </c>
      <c r="B25" s="46">
        <v>28</v>
      </c>
      <c r="C25" s="47" t="s">
        <v>12</v>
      </c>
      <c r="D25" t="str">
        <f t="shared" si="0"/>
        <v>False</v>
      </c>
      <c r="E25" t="str">
        <f t="shared" si="1"/>
        <v>True</v>
      </c>
      <c r="F25" t="str">
        <f t="shared" si="2"/>
        <v>True</v>
      </c>
      <c r="G25" t="str">
        <f t="shared" si="3"/>
        <v>False</v>
      </c>
      <c r="H25" t="str">
        <f t="shared" si="5"/>
        <v>True</v>
      </c>
      <c r="I25" t="str">
        <f t="shared" si="4"/>
        <v>True</v>
      </c>
    </row>
    <row r="26" spans="1:9" ht="15" thickBot="1" x14ac:dyDescent="0.35">
      <c r="A26" s="46" t="s">
        <v>35</v>
      </c>
      <c r="B26" s="46">
        <v>30</v>
      </c>
      <c r="C26" s="47" t="s">
        <v>10</v>
      </c>
      <c r="D26" t="str">
        <f t="shared" si="0"/>
        <v>True</v>
      </c>
      <c r="E26" t="str">
        <f t="shared" si="1"/>
        <v>True</v>
      </c>
      <c r="F26" t="str">
        <f t="shared" si="2"/>
        <v>False</v>
      </c>
      <c r="G26" t="str">
        <f t="shared" si="3"/>
        <v>False</v>
      </c>
      <c r="H26" t="str">
        <f t="shared" si="5"/>
        <v>True</v>
      </c>
      <c r="I26" t="str">
        <f t="shared" si="4"/>
        <v>False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B504D-E247-49FC-95B2-B97FEAFD4BD0}">
  <dimension ref="B2:I69"/>
  <sheetViews>
    <sheetView topLeftCell="A40" zoomScaleNormal="100" workbookViewId="0">
      <selection activeCell="C63" sqref="C63"/>
    </sheetView>
  </sheetViews>
  <sheetFormatPr defaultRowHeight="14.4" x14ac:dyDescent="0.3"/>
  <cols>
    <col min="2" max="2" width="31" bestFit="1" customWidth="1"/>
    <col min="3" max="3" width="15.6640625" customWidth="1"/>
    <col min="4" max="4" width="17.33203125" customWidth="1"/>
    <col min="5" max="5" width="22.88671875" customWidth="1"/>
    <col min="6" max="6" width="27" bestFit="1" customWidth="1"/>
    <col min="7" max="7" width="16.5546875" bestFit="1" customWidth="1"/>
    <col min="8" max="8" width="13.44140625" customWidth="1"/>
    <col min="9" max="9" width="10.88671875" customWidth="1"/>
  </cols>
  <sheetData>
    <row r="2" spans="2:9" ht="18" x14ac:dyDescent="0.3">
      <c r="B2" s="61" t="s">
        <v>36</v>
      </c>
      <c r="C2" s="61" t="s">
        <v>37</v>
      </c>
      <c r="D2" s="61" t="s">
        <v>38</v>
      </c>
      <c r="E2" s="61" t="s">
        <v>39</v>
      </c>
      <c r="F2" s="61" t="s">
        <v>40</v>
      </c>
      <c r="G2" s="61" t="s">
        <v>41</v>
      </c>
      <c r="H2" s="61" t="s">
        <v>42</v>
      </c>
      <c r="I2" s="61" t="s">
        <v>43</v>
      </c>
    </row>
    <row r="3" spans="2:9" ht="19.5" customHeight="1" x14ac:dyDescent="0.3">
      <c r="B3" s="14" t="s">
        <v>44</v>
      </c>
      <c r="C3" s="2" t="str">
        <f>UPPER(B3)</f>
        <v>SHARUKH KHAN</v>
      </c>
      <c r="D3" s="2" t="str">
        <f>LOWER(B3)</f>
        <v>sharukh khan</v>
      </c>
      <c r="E3" s="2" t="str">
        <f>PROPER(B3)</f>
        <v>Sharukh Khan</v>
      </c>
      <c r="F3" s="2" t="str">
        <f>LEFT(B3,3)</f>
        <v>Sha</v>
      </c>
      <c r="G3" s="2" t="str">
        <f>RIGHT(B3,4)</f>
        <v>Khan</v>
      </c>
      <c r="H3" s="2" t="str">
        <f>MID(B3,1,7)</f>
        <v>Sharukh</v>
      </c>
      <c r="I3" s="3">
        <f>LEN(E3)</f>
        <v>12</v>
      </c>
    </row>
    <row r="4" spans="2:9" x14ac:dyDescent="0.3">
      <c r="B4" s="14" t="s">
        <v>45</v>
      </c>
      <c r="C4" s="2" t="str">
        <f t="shared" ref="C4:C10" si="0">UPPER(B4)</f>
        <v>SALMAN KHAN</v>
      </c>
      <c r="D4" s="2" t="str">
        <f t="shared" ref="D4:D10" si="1">LOWER(B4)</f>
        <v>salman khan</v>
      </c>
      <c r="E4" s="2" t="str">
        <f t="shared" ref="E4:E10" si="2">PROPER(B4)</f>
        <v>Salman Khan</v>
      </c>
      <c r="F4" s="2" t="str">
        <f t="shared" ref="F4:F10" si="3">LEFT(B4,3)</f>
        <v>Sal</v>
      </c>
      <c r="G4" s="2" t="str">
        <f t="shared" ref="G4:G10" si="4">RIGHT(B4,4)</f>
        <v>Khan</v>
      </c>
      <c r="H4" s="2" t="str">
        <f t="shared" ref="H4:H10" si="5">MID(B4,1,7)</f>
        <v xml:space="preserve">Salman </v>
      </c>
      <c r="I4" s="3">
        <f t="shared" ref="I4:I10" si="6">LEN(E4)</f>
        <v>11</v>
      </c>
    </row>
    <row r="5" spans="2:9" x14ac:dyDescent="0.3">
      <c r="B5" s="14" t="s">
        <v>46</v>
      </c>
      <c r="C5" s="2" t="str">
        <f t="shared" si="0"/>
        <v>ANANYA PANDEY</v>
      </c>
      <c r="D5" s="2" t="str">
        <f t="shared" si="1"/>
        <v>ananya pandey</v>
      </c>
      <c r="E5" s="2" t="str">
        <f t="shared" si="2"/>
        <v>Ananya Pandey</v>
      </c>
      <c r="F5" s="2" t="str">
        <f t="shared" si="3"/>
        <v>Ana</v>
      </c>
      <c r="G5" s="2" t="str">
        <f>RIGHT(B5,4)</f>
        <v>ndey</v>
      </c>
      <c r="H5" s="2" t="str">
        <f t="shared" si="5"/>
        <v xml:space="preserve">Ananya </v>
      </c>
      <c r="I5" s="3">
        <f t="shared" si="6"/>
        <v>13</v>
      </c>
    </row>
    <row r="6" spans="2:9" x14ac:dyDescent="0.3">
      <c r="B6" s="14" t="s">
        <v>47</v>
      </c>
      <c r="C6" s="2" t="str">
        <f t="shared" si="0"/>
        <v>HAPPY SINGH</v>
      </c>
      <c r="D6" s="2" t="str">
        <f t="shared" si="1"/>
        <v>happy singh</v>
      </c>
      <c r="E6" s="2" t="str">
        <f t="shared" si="2"/>
        <v>Happy Singh</v>
      </c>
      <c r="F6" s="2" t="str">
        <f t="shared" si="3"/>
        <v>Hap</v>
      </c>
      <c r="G6" s="2" t="str">
        <f t="shared" si="4"/>
        <v>ingh</v>
      </c>
      <c r="H6" s="2" t="str">
        <f t="shared" si="5"/>
        <v>Happy S</v>
      </c>
      <c r="I6" s="3">
        <f t="shared" si="6"/>
        <v>11</v>
      </c>
    </row>
    <row r="7" spans="2:9" x14ac:dyDescent="0.3">
      <c r="B7" s="14" t="s">
        <v>48</v>
      </c>
      <c r="C7" s="2" t="str">
        <f t="shared" si="0"/>
        <v>AKSHAY KUMAR</v>
      </c>
      <c r="D7" s="2" t="str">
        <f t="shared" si="1"/>
        <v>akshay kumar</v>
      </c>
      <c r="E7" s="2" t="str">
        <f t="shared" si="2"/>
        <v>Akshay Kumar</v>
      </c>
      <c r="F7" s="2" t="str">
        <f t="shared" si="3"/>
        <v>Aks</v>
      </c>
      <c r="G7" s="2" t="str">
        <f t="shared" si="4"/>
        <v>umar</v>
      </c>
      <c r="H7" s="2" t="str">
        <f t="shared" si="5"/>
        <v xml:space="preserve">Akshay </v>
      </c>
      <c r="I7" s="3">
        <f t="shared" si="6"/>
        <v>12</v>
      </c>
    </row>
    <row r="8" spans="2:9" x14ac:dyDescent="0.3">
      <c r="B8" s="14" t="s">
        <v>49</v>
      </c>
      <c r="C8" s="2" t="str">
        <f t="shared" si="0"/>
        <v>AMIR KHAN</v>
      </c>
      <c r="D8" s="2" t="str">
        <f t="shared" si="1"/>
        <v>amir khan</v>
      </c>
      <c r="E8" s="2" t="str">
        <f t="shared" si="2"/>
        <v>Amir Khan</v>
      </c>
      <c r="F8" s="2" t="str">
        <f t="shared" si="3"/>
        <v>Ami</v>
      </c>
      <c r="G8" s="2" t="str">
        <f t="shared" si="4"/>
        <v>Khan</v>
      </c>
      <c r="H8" s="2" t="str">
        <f t="shared" si="5"/>
        <v>Amir Kh</v>
      </c>
      <c r="I8" s="3">
        <f t="shared" si="6"/>
        <v>9</v>
      </c>
    </row>
    <row r="9" spans="2:9" x14ac:dyDescent="0.3">
      <c r="B9" s="14" t="s">
        <v>50</v>
      </c>
      <c r="C9" s="2" t="str">
        <f t="shared" si="0"/>
        <v>AISHWARYA RAI</v>
      </c>
      <c r="D9" s="2" t="str">
        <f t="shared" si="1"/>
        <v>aishwarya rai</v>
      </c>
      <c r="E9" s="2" t="str">
        <f t="shared" si="2"/>
        <v>Aishwarya Rai</v>
      </c>
      <c r="F9" s="2" t="str">
        <f t="shared" si="3"/>
        <v>Ais</v>
      </c>
      <c r="G9" s="2" t="str">
        <f t="shared" si="4"/>
        <v xml:space="preserve"> Rai</v>
      </c>
      <c r="H9" s="2" t="str">
        <f t="shared" si="5"/>
        <v>Aishwar</v>
      </c>
      <c r="I9" s="3">
        <f t="shared" si="6"/>
        <v>13</v>
      </c>
    </row>
    <row r="10" spans="2:9" x14ac:dyDescent="0.3">
      <c r="B10" s="14" t="s">
        <v>51</v>
      </c>
      <c r="C10" s="2" t="str">
        <f t="shared" si="0"/>
        <v>MADHURI DIXIT</v>
      </c>
      <c r="D10" s="2" t="str">
        <f t="shared" si="1"/>
        <v>madhuri dixit</v>
      </c>
      <c r="E10" s="2" t="str">
        <f t="shared" si="2"/>
        <v>Madhuri Dixit</v>
      </c>
      <c r="F10" s="2" t="str">
        <f t="shared" si="3"/>
        <v>Mad</v>
      </c>
      <c r="G10" s="2" t="str">
        <f t="shared" si="4"/>
        <v>ixit</v>
      </c>
      <c r="H10" s="2" t="str">
        <f t="shared" si="5"/>
        <v>Madhuri</v>
      </c>
      <c r="I10" s="3">
        <f t="shared" si="6"/>
        <v>13</v>
      </c>
    </row>
    <row r="12" spans="2:9" ht="18" x14ac:dyDescent="0.3">
      <c r="B12" s="61" t="s">
        <v>36</v>
      </c>
      <c r="C12" s="61" t="s">
        <v>52</v>
      </c>
      <c r="D12" s="61" t="s">
        <v>53</v>
      </c>
      <c r="E12" s="61" t="s">
        <v>54</v>
      </c>
      <c r="F12" s="61" t="s">
        <v>55</v>
      </c>
      <c r="G12" s="61" t="s">
        <v>56</v>
      </c>
    </row>
    <row r="13" spans="2:9" x14ac:dyDescent="0.3">
      <c r="B13" s="14" t="s">
        <v>57</v>
      </c>
      <c r="C13" s="2" t="str">
        <f>TRIM(B13)</f>
        <v>Sharukh khan</v>
      </c>
      <c r="D13" s="2">
        <f>FIND("a",C13)</f>
        <v>3</v>
      </c>
      <c r="E13" s="2">
        <f>SEARCH("A",C13)</f>
        <v>3</v>
      </c>
      <c r="F13" s="2" t="str">
        <f>SUBSTITUTE(C13,"k","P",2)</f>
        <v>Sharukh Phan</v>
      </c>
      <c r="G13" s="2" t="str">
        <f>REPLACE(C13,9,5,"Verma")</f>
        <v>Sharukh Verma</v>
      </c>
    </row>
    <row r="14" spans="2:9" x14ac:dyDescent="0.3">
      <c r="B14" s="14" t="s">
        <v>58</v>
      </c>
      <c r="C14" s="2" t="str">
        <f t="shared" ref="C14:C20" si="7">TRIM(B14)</f>
        <v>Salman Khan</v>
      </c>
      <c r="D14" s="2">
        <f t="shared" ref="D14:D20" si="8">FIND("a",C14)</f>
        <v>2</v>
      </c>
      <c r="E14" s="2">
        <f t="shared" ref="E14:E20" si="9">SEARCH("a",C14)</f>
        <v>2</v>
      </c>
      <c r="F14" s="2" t="str">
        <f>SUBSTITUTE(C14,"K","P",1)</f>
        <v>Salman Phan</v>
      </c>
      <c r="G14" s="2" t="str">
        <f>REPLACE(C14,8,5,"Verma")</f>
        <v>Salman Verma</v>
      </c>
    </row>
    <row r="15" spans="2:9" x14ac:dyDescent="0.3">
      <c r="B15" s="14" t="s">
        <v>59</v>
      </c>
      <c r="C15" s="2" t="str">
        <f t="shared" si="7"/>
        <v>Ananya Pandey</v>
      </c>
      <c r="D15" s="2">
        <f t="shared" si="8"/>
        <v>3</v>
      </c>
      <c r="E15" s="2">
        <f t="shared" si="9"/>
        <v>1</v>
      </c>
      <c r="F15" s="2" t="str">
        <f>SUBSTITUTE(C15,"a","P",3)</f>
        <v>Ananya PPndey</v>
      </c>
      <c r="G15" s="2" t="str">
        <f>REPLACE(C15,8,6,"Verma")</f>
        <v>Ananya Verma</v>
      </c>
    </row>
    <row r="16" spans="2:9" x14ac:dyDescent="0.3">
      <c r="B16" s="14" t="s">
        <v>60</v>
      </c>
      <c r="C16" s="2" t="str">
        <f t="shared" si="7"/>
        <v>Happy Singh</v>
      </c>
      <c r="D16" s="2">
        <f t="shared" si="8"/>
        <v>2</v>
      </c>
      <c r="E16" s="2">
        <f t="shared" si="9"/>
        <v>2</v>
      </c>
      <c r="F16" s="2" t="str">
        <f t="shared" ref="F16:F20" si="10">SUBSTITUTE(C16,"k","P",2)</f>
        <v>Happy Singh</v>
      </c>
      <c r="G16" s="2" t="str">
        <f>REPLACE(C16,7,5,"Verma")</f>
        <v>Happy Verma</v>
      </c>
    </row>
    <row r="17" spans="2:7" x14ac:dyDescent="0.3">
      <c r="B17" s="14" t="s">
        <v>48</v>
      </c>
      <c r="C17" s="2" t="str">
        <f t="shared" si="7"/>
        <v>Akshay Kumar</v>
      </c>
      <c r="D17" s="2">
        <f t="shared" si="8"/>
        <v>5</v>
      </c>
      <c r="E17" s="2">
        <f t="shared" si="9"/>
        <v>1</v>
      </c>
      <c r="F17" s="2" t="str">
        <f t="shared" si="10"/>
        <v>Akshay Kumar</v>
      </c>
      <c r="G17" s="2" t="str">
        <f>REPLACE(C17,8,5,"Verma")</f>
        <v>Akshay Verma</v>
      </c>
    </row>
    <row r="18" spans="2:7" x14ac:dyDescent="0.3">
      <c r="B18" s="14" t="s">
        <v>49</v>
      </c>
      <c r="C18" s="2" t="str">
        <f t="shared" si="7"/>
        <v>Amir Khan</v>
      </c>
      <c r="D18" s="2">
        <f t="shared" si="8"/>
        <v>8</v>
      </c>
      <c r="E18" s="2">
        <f t="shared" si="9"/>
        <v>1</v>
      </c>
      <c r="F18" s="2" t="str">
        <f t="shared" si="10"/>
        <v>Amir Khan</v>
      </c>
      <c r="G18" s="2" t="str">
        <f>REPLACE(C18,6,5,"Verma")</f>
        <v>Amir Verma</v>
      </c>
    </row>
    <row r="19" spans="2:7" x14ac:dyDescent="0.3">
      <c r="B19" s="14" t="s">
        <v>50</v>
      </c>
      <c r="C19" s="2" t="str">
        <f t="shared" si="7"/>
        <v>Aishwarya Rai</v>
      </c>
      <c r="D19" s="2">
        <f t="shared" si="8"/>
        <v>6</v>
      </c>
      <c r="E19" s="2">
        <f t="shared" si="9"/>
        <v>1</v>
      </c>
      <c r="F19" s="2" t="str">
        <f t="shared" si="10"/>
        <v>Aishwarya Rai</v>
      </c>
      <c r="G19" s="2" t="str">
        <f>REPLACE(C19,11,5,"Verma")</f>
        <v>Aishwarya Verma</v>
      </c>
    </row>
    <row r="20" spans="2:7" x14ac:dyDescent="0.3">
      <c r="B20" s="14" t="s">
        <v>51</v>
      </c>
      <c r="C20" s="2" t="str">
        <f t="shared" si="7"/>
        <v>Madhuri Dixit</v>
      </c>
      <c r="D20" s="2">
        <f t="shared" si="8"/>
        <v>2</v>
      </c>
      <c r="E20" s="2">
        <f t="shared" si="9"/>
        <v>2</v>
      </c>
      <c r="F20" s="2" t="str">
        <f t="shared" si="10"/>
        <v>Madhuri Dixit</v>
      </c>
      <c r="G20" s="2" t="str">
        <f>REPLACE(C20,9,5,"Verma")</f>
        <v>Madhuri Verma</v>
      </c>
    </row>
    <row r="22" spans="2:7" ht="18" x14ac:dyDescent="0.3">
      <c r="B22" s="61" t="s">
        <v>61</v>
      </c>
      <c r="C22" s="61" t="s">
        <v>62</v>
      </c>
      <c r="D22" s="61" t="s">
        <v>63</v>
      </c>
      <c r="E22" s="61" t="s">
        <v>64</v>
      </c>
    </row>
    <row r="23" spans="2:7" x14ac:dyDescent="0.3">
      <c r="B23" s="14" t="s">
        <v>44</v>
      </c>
      <c r="C23" s="2" t="str">
        <f>TRIM(LEFT(B23,FIND(" ",B23)))</f>
        <v>Sharukh</v>
      </c>
      <c r="D23" s="2" t="str">
        <f>RIGHT(B23,LEN(B23)-FIND(" ",B23))</f>
        <v>Khan</v>
      </c>
      <c r="E23" s="2" t="str">
        <f>_xlfn.CONCAT(B23," ",B24)</f>
        <v>Sharukh Khan Salman Khan</v>
      </c>
    </row>
    <row r="24" spans="2:7" x14ac:dyDescent="0.3">
      <c r="B24" s="14" t="s">
        <v>45</v>
      </c>
      <c r="C24" s="2" t="str">
        <f t="shared" ref="C24:C30" si="11">TRIM(LEFT(B24,FIND(" ",B24)))</f>
        <v>Salman</v>
      </c>
      <c r="D24" s="2" t="str">
        <f t="shared" ref="D24:D30" si="12">RIGHT(B24,LEN(B24)-FIND(" ",B24))</f>
        <v>Khan</v>
      </c>
      <c r="E24" s="2" t="str">
        <f t="shared" ref="E24:E30" si="13">_xlfn.CONCAT(B24," ",B25)</f>
        <v>Salman Khan Ananya Pandey</v>
      </c>
    </row>
    <row r="25" spans="2:7" x14ac:dyDescent="0.3">
      <c r="B25" s="14" t="s">
        <v>46</v>
      </c>
      <c r="C25" s="2" t="str">
        <f t="shared" si="11"/>
        <v>Ananya</v>
      </c>
      <c r="D25" s="2" t="str">
        <f t="shared" si="12"/>
        <v>Pandey</v>
      </c>
      <c r="E25" s="2" t="str">
        <f t="shared" si="13"/>
        <v>Ananya Pandey Happy Singh</v>
      </c>
    </row>
    <row r="26" spans="2:7" x14ac:dyDescent="0.3">
      <c r="B26" s="14" t="s">
        <v>47</v>
      </c>
      <c r="C26" s="2" t="str">
        <f t="shared" si="11"/>
        <v>Happy</v>
      </c>
      <c r="D26" s="2" t="str">
        <f>RIGHT(B26,LEN(B26)-FIND(" ",B26))</f>
        <v>Singh</v>
      </c>
      <c r="E26" s="2" t="str">
        <f t="shared" si="13"/>
        <v>Happy Singh Akshay Kumar</v>
      </c>
    </row>
    <row r="27" spans="2:7" x14ac:dyDescent="0.3">
      <c r="B27" s="14" t="s">
        <v>48</v>
      </c>
      <c r="C27" s="2" t="str">
        <f t="shared" si="11"/>
        <v>Akshay</v>
      </c>
      <c r="D27" s="2" t="str">
        <f t="shared" si="12"/>
        <v>Kumar</v>
      </c>
      <c r="E27" s="2" t="str">
        <f t="shared" si="13"/>
        <v>Akshay Kumar Amir Khan</v>
      </c>
    </row>
    <row r="28" spans="2:7" x14ac:dyDescent="0.3">
      <c r="B28" s="14" t="s">
        <v>49</v>
      </c>
      <c r="C28" s="2" t="str">
        <f t="shared" si="11"/>
        <v>Amir</v>
      </c>
      <c r="D28" s="2" t="str">
        <f t="shared" si="12"/>
        <v>Khan</v>
      </c>
      <c r="E28" s="2" t="str">
        <f t="shared" si="13"/>
        <v>Amir Khan Aishwarya Rai</v>
      </c>
    </row>
    <row r="29" spans="2:7" x14ac:dyDescent="0.3">
      <c r="B29" s="14" t="s">
        <v>50</v>
      </c>
      <c r="C29" s="2" t="str">
        <f t="shared" si="11"/>
        <v>Aishwarya</v>
      </c>
      <c r="D29" s="2" t="str">
        <f t="shared" si="12"/>
        <v>Rai</v>
      </c>
      <c r="E29" s="2" t="str">
        <f t="shared" si="13"/>
        <v>Aishwarya Rai Madhuri Dixit</v>
      </c>
    </row>
    <row r="30" spans="2:7" x14ac:dyDescent="0.3">
      <c r="B30" s="14" t="s">
        <v>51</v>
      </c>
      <c r="C30" s="2" t="str">
        <f t="shared" si="11"/>
        <v>Madhuri</v>
      </c>
      <c r="D30" s="2" t="str">
        <f t="shared" si="12"/>
        <v>Dixit</v>
      </c>
      <c r="E30" s="2" t="str">
        <f t="shared" si="13"/>
        <v xml:space="preserve">Madhuri Dixit </v>
      </c>
    </row>
    <row r="39" spans="2:4" ht="18" x14ac:dyDescent="0.3">
      <c r="B39" s="1" t="s">
        <v>61</v>
      </c>
      <c r="C39" s="4" t="s">
        <v>62</v>
      </c>
      <c r="D39" s="4" t="s">
        <v>63</v>
      </c>
    </row>
    <row r="40" spans="2:4" x14ac:dyDescent="0.3">
      <c r="B40" s="2" t="s">
        <v>65</v>
      </c>
      <c r="C40" s="2" t="str">
        <f>LEFT(B40,FIND("-",B40)-1)</f>
        <v>Sharukh</v>
      </c>
      <c r="D40" s="2" t="str">
        <f>RIGHT(B40,LEN(B40)-FIND("-",B40))</f>
        <v>Khan</v>
      </c>
    </row>
    <row r="41" spans="2:4" x14ac:dyDescent="0.3">
      <c r="B41" s="2" t="s">
        <v>66</v>
      </c>
      <c r="C41" s="2" t="str">
        <f t="shared" ref="C41:C47" si="14">LEFT(B41,FIND("-",B41)-1)</f>
        <v>Salman</v>
      </c>
      <c r="D41" s="2" t="str">
        <f t="shared" ref="D41:D47" si="15">RIGHT(B41,LEN(B41)-FIND("-",B41))</f>
        <v>Khan</v>
      </c>
    </row>
    <row r="42" spans="2:4" x14ac:dyDescent="0.3">
      <c r="B42" s="2" t="s">
        <v>67</v>
      </c>
      <c r="C42" s="2" t="str">
        <f t="shared" si="14"/>
        <v>Ananya</v>
      </c>
      <c r="D42" s="2" t="str">
        <f t="shared" si="15"/>
        <v>Pandey</v>
      </c>
    </row>
    <row r="43" spans="2:4" x14ac:dyDescent="0.3">
      <c r="B43" s="2" t="s">
        <v>68</v>
      </c>
      <c r="C43" s="2" t="str">
        <f t="shared" si="14"/>
        <v>Happy</v>
      </c>
      <c r="D43" s="2" t="str">
        <f t="shared" si="15"/>
        <v>Singh</v>
      </c>
    </row>
    <row r="44" spans="2:4" x14ac:dyDescent="0.3">
      <c r="B44" s="2" t="s">
        <v>69</v>
      </c>
      <c r="C44" s="2" t="str">
        <f t="shared" si="14"/>
        <v>Akshay</v>
      </c>
      <c r="D44" s="2" t="str">
        <f t="shared" si="15"/>
        <v>Kumar</v>
      </c>
    </row>
    <row r="45" spans="2:4" x14ac:dyDescent="0.3">
      <c r="B45" s="2" t="s">
        <v>70</v>
      </c>
      <c r="C45" s="2" t="str">
        <f t="shared" si="14"/>
        <v>Amir</v>
      </c>
      <c r="D45" s="2" t="str">
        <f t="shared" si="15"/>
        <v>Khan</v>
      </c>
    </row>
    <row r="46" spans="2:4" x14ac:dyDescent="0.3">
      <c r="B46" s="2" t="s">
        <v>71</v>
      </c>
      <c r="C46" s="2" t="str">
        <f t="shared" si="14"/>
        <v>Aishwarya</v>
      </c>
      <c r="D46" s="2" t="str">
        <f t="shared" si="15"/>
        <v>Rai</v>
      </c>
    </row>
    <row r="47" spans="2:4" x14ac:dyDescent="0.3">
      <c r="B47" s="2" t="s">
        <v>72</v>
      </c>
      <c r="C47" s="2" t="str">
        <f t="shared" si="14"/>
        <v>Madhuri</v>
      </c>
      <c r="D47" s="2" t="str">
        <f t="shared" si="15"/>
        <v>Dixit</v>
      </c>
    </row>
    <row r="50" spans="2:4" ht="18" x14ac:dyDescent="0.3">
      <c r="B50" s="1" t="s">
        <v>61</v>
      </c>
      <c r="C50" s="4" t="s">
        <v>62</v>
      </c>
      <c r="D50" s="4" t="s">
        <v>63</v>
      </c>
    </row>
    <row r="51" spans="2:4" x14ac:dyDescent="0.3">
      <c r="B51" s="2" t="s">
        <v>73</v>
      </c>
      <c r="C51" s="2" t="str">
        <f>LEFT(B51,FIND("//",B51)-1)</f>
        <v>Sharukh</v>
      </c>
      <c r="D51" s="2" t="str">
        <f>RIGHT(B51,LEN(B51)-FIND("//",B51)-1)</f>
        <v>Khan</v>
      </c>
    </row>
    <row r="52" spans="2:4" x14ac:dyDescent="0.3">
      <c r="B52" s="2" t="s">
        <v>74</v>
      </c>
      <c r="C52" s="2" t="str">
        <f t="shared" ref="C52:C58" si="16">LEFT(B52,FIND("//",B52)-1)</f>
        <v>Salman</v>
      </c>
      <c r="D52" s="2" t="str">
        <f t="shared" ref="D52:D58" si="17">RIGHT(B52,LEN(B52)-FIND("//",B52)-1)</f>
        <v>Khan</v>
      </c>
    </row>
    <row r="53" spans="2:4" x14ac:dyDescent="0.3">
      <c r="B53" s="2" t="s">
        <v>75</v>
      </c>
      <c r="C53" s="2" t="str">
        <f t="shared" si="16"/>
        <v>Ananya</v>
      </c>
      <c r="D53" s="2" t="str">
        <f t="shared" si="17"/>
        <v>Pandey</v>
      </c>
    </row>
    <row r="54" spans="2:4" x14ac:dyDescent="0.3">
      <c r="B54" s="2" t="s">
        <v>76</v>
      </c>
      <c r="C54" s="2" t="str">
        <f t="shared" si="16"/>
        <v>Happy</v>
      </c>
      <c r="D54" s="2" t="str">
        <f t="shared" si="17"/>
        <v>Singh</v>
      </c>
    </row>
    <row r="55" spans="2:4" x14ac:dyDescent="0.3">
      <c r="B55" s="2" t="s">
        <v>77</v>
      </c>
      <c r="C55" s="2" t="str">
        <f t="shared" si="16"/>
        <v>Akshay</v>
      </c>
      <c r="D55" s="2" t="str">
        <f t="shared" si="17"/>
        <v>Kumar</v>
      </c>
    </row>
    <row r="56" spans="2:4" x14ac:dyDescent="0.3">
      <c r="B56" s="2" t="s">
        <v>78</v>
      </c>
      <c r="C56" s="2" t="str">
        <f t="shared" si="16"/>
        <v>Amir</v>
      </c>
      <c r="D56" s="2" t="str">
        <f t="shared" si="17"/>
        <v>Khan</v>
      </c>
    </row>
    <row r="57" spans="2:4" x14ac:dyDescent="0.3">
      <c r="B57" s="2" t="s">
        <v>79</v>
      </c>
      <c r="C57" s="2" t="str">
        <f t="shared" si="16"/>
        <v>Aishwarya</v>
      </c>
      <c r="D57" s="2" t="str">
        <f t="shared" si="17"/>
        <v>Rai</v>
      </c>
    </row>
    <row r="58" spans="2:4" x14ac:dyDescent="0.3">
      <c r="B58" s="2" t="s">
        <v>80</v>
      </c>
      <c r="C58" s="2" t="str">
        <f t="shared" si="16"/>
        <v>Madhuri</v>
      </c>
      <c r="D58" s="2" t="str">
        <f t="shared" si="17"/>
        <v>Dixit</v>
      </c>
    </row>
    <row r="61" spans="2:4" ht="18" x14ac:dyDescent="0.3">
      <c r="B61" s="1" t="s">
        <v>61</v>
      </c>
      <c r="C61" s="4" t="s">
        <v>62</v>
      </c>
      <c r="D61" s="4" t="s">
        <v>63</v>
      </c>
    </row>
    <row r="62" spans="2:4" x14ac:dyDescent="0.3">
      <c r="B62" s="2" t="s">
        <v>81</v>
      </c>
      <c r="C62" s="2" t="str">
        <f>LEFT(B62,FIND("__",B62)-1)</f>
        <v>Sharukh</v>
      </c>
      <c r="D62" s="2" t="str">
        <f>RIGHT(B62,LEN(B62)-FIND("__",B62)-1)</f>
        <v>Khan</v>
      </c>
    </row>
    <row r="63" spans="2:4" x14ac:dyDescent="0.3">
      <c r="B63" s="2" t="s">
        <v>82</v>
      </c>
      <c r="C63" s="2" t="str">
        <f t="shared" ref="C63:C69" si="18">LEFT(B63,FIND("__",B63)-1)</f>
        <v>Salman</v>
      </c>
      <c r="D63" s="2" t="str">
        <f t="shared" ref="D63:D69" si="19">RIGHT(B63,LEN(B63)-FIND("__",B63)-1)</f>
        <v>Khan</v>
      </c>
    </row>
    <row r="64" spans="2:4" x14ac:dyDescent="0.3">
      <c r="B64" s="2" t="s">
        <v>83</v>
      </c>
      <c r="C64" s="2" t="str">
        <f t="shared" si="18"/>
        <v>Ananya</v>
      </c>
      <c r="D64" s="2" t="str">
        <f t="shared" si="19"/>
        <v>Pandey</v>
      </c>
    </row>
    <row r="65" spans="2:4" x14ac:dyDescent="0.3">
      <c r="B65" s="2" t="s">
        <v>84</v>
      </c>
      <c r="C65" s="2" t="str">
        <f t="shared" si="18"/>
        <v>Happy</v>
      </c>
      <c r="D65" s="2" t="str">
        <f t="shared" si="19"/>
        <v>Singh</v>
      </c>
    </row>
    <row r="66" spans="2:4" x14ac:dyDescent="0.3">
      <c r="B66" s="2" t="s">
        <v>85</v>
      </c>
      <c r="C66" s="2" t="str">
        <f t="shared" si="18"/>
        <v>Akshay</v>
      </c>
      <c r="D66" s="2" t="str">
        <f t="shared" si="19"/>
        <v>Kumar</v>
      </c>
    </row>
    <row r="67" spans="2:4" x14ac:dyDescent="0.3">
      <c r="B67" s="2" t="s">
        <v>86</v>
      </c>
      <c r="C67" s="2" t="str">
        <f t="shared" si="18"/>
        <v>Amir</v>
      </c>
      <c r="D67" s="2" t="str">
        <f t="shared" si="19"/>
        <v>Khan</v>
      </c>
    </row>
    <row r="68" spans="2:4" x14ac:dyDescent="0.3">
      <c r="B68" s="2" t="s">
        <v>87</v>
      </c>
      <c r="C68" s="2" t="str">
        <f t="shared" si="18"/>
        <v>Aishwarya</v>
      </c>
      <c r="D68" s="2" t="str">
        <f t="shared" si="19"/>
        <v>Rai</v>
      </c>
    </row>
    <row r="69" spans="2:4" x14ac:dyDescent="0.3">
      <c r="B69" s="2" t="s">
        <v>88</v>
      </c>
      <c r="C69" s="2" t="str">
        <f t="shared" si="18"/>
        <v>Madhuri</v>
      </c>
      <c r="D69" s="2" t="str">
        <f t="shared" si="19"/>
        <v>Dixit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DFE7-92D0-4C5D-84EB-902B17756A9E}">
  <dimension ref="C4:J12"/>
  <sheetViews>
    <sheetView workbookViewId="0">
      <selection activeCell="H7" sqref="H7"/>
    </sheetView>
  </sheetViews>
  <sheetFormatPr defaultRowHeight="14.4" x14ac:dyDescent="0.3"/>
  <cols>
    <col min="4" max="4" width="11" customWidth="1"/>
    <col min="5" max="5" width="13.44140625" customWidth="1"/>
    <col min="6" max="6" width="14.88671875" customWidth="1"/>
    <col min="7" max="7" width="14.5546875" customWidth="1"/>
  </cols>
  <sheetData>
    <row r="4" spans="3:10" ht="21" customHeight="1" x14ac:dyDescent="0.3">
      <c r="C4" s="14" t="s">
        <v>89</v>
      </c>
      <c r="D4" s="14" t="s">
        <v>90</v>
      </c>
      <c r="E4" s="14" t="s">
        <v>91</v>
      </c>
      <c r="F4" s="14" t="s">
        <v>92</v>
      </c>
      <c r="G4" s="14" t="s">
        <v>93</v>
      </c>
    </row>
    <row r="5" spans="3:10" x14ac:dyDescent="0.3">
      <c r="C5" s="15">
        <v>24.456</v>
      </c>
      <c r="D5" s="2">
        <f>ROUND(C5,2)</f>
        <v>24.46</v>
      </c>
      <c r="E5" s="2">
        <f>ROUNDUP(C5,2)</f>
        <v>24.46</v>
      </c>
      <c r="F5" s="2">
        <f>ROUNDDOWN(C5,2)</f>
        <v>24.45</v>
      </c>
      <c r="G5" s="2">
        <f>MROUND(C5,2)</f>
        <v>24</v>
      </c>
    </row>
    <row r="6" spans="3:10" x14ac:dyDescent="0.3">
      <c r="C6" s="15">
        <v>56.678400000000003</v>
      </c>
      <c r="D6" s="2">
        <f t="shared" ref="D6:D9" si="0">ROUND(C6,2)</f>
        <v>56.68</v>
      </c>
      <c r="E6" s="2">
        <f t="shared" ref="E6:E9" si="1">ROUNDUP(C6,2)</f>
        <v>56.68</v>
      </c>
      <c r="F6" s="2">
        <f t="shared" ref="F6:F9" si="2">ROUNDDOWN(C6,2)</f>
        <v>56.67</v>
      </c>
      <c r="G6" s="2">
        <f t="shared" ref="G6:G9" si="3">MROUND(C6,2)</f>
        <v>56</v>
      </c>
      <c r="H6">
        <f>MROUND(15,2)</f>
        <v>16</v>
      </c>
    </row>
    <row r="7" spans="3:10" x14ac:dyDescent="0.3">
      <c r="C7" s="15">
        <v>123.4325</v>
      </c>
      <c r="D7" s="2">
        <f t="shared" si="0"/>
        <v>123.43</v>
      </c>
      <c r="E7" s="2">
        <f t="shared" si="1"/>
        <v>123.44000000000001</v>
      </c>
      <c r="F7" s="2">
        <f t="shared" si="2"/>
        <v>123.43</v>
      </c>
      <c r="G7" s="2">
        <f t="shared" si="3"/>
        <v>124</v>
      </c>
    </row>
    <row r="8" spans="3:10" x14ac:dyDescent="0.3">
      <c r="C8" s="15">
        <v>67.457999999999998</v>
      </c>
      <c r="D8" s="2">
        <f t="shared" si="0"/>
        <v>67.459999999999994</v>
      </c>
      <c r="E8" s="2">
        <f t="shared" si="1"/>
        <v>67.460000000000008</v>
      </c>
      <c r="F8" s="2">
        <f t="shared" si="2"/>
        <v>67.45</v>
      </c>
      <c r="G8" s="2">
        <f t="shared" si="3"/>
        <v>68</v>
      </c>
    </row>
    <row r="9" spans="3:10" x14ac:dyDescent="0.3">
      <c r="C9" s="15">
        <v>45.288200000000003</v>
      </c>
      <c r="D9" s="2">
        <f t="shared" si="0"/>
        <v>45.29</v>
      </c>
      <c r="E9" s="2">
        <f t="shared" si="1"/>
        <v>45.29</v>
      </c>
      <c r="F9" s="2">
        <f t="shared" si="2"/>
        <v>45.28</v>
      </c>
      <c r="G9" s="2">
        <f t="shared" si="3"/>
        <v>46</v>
      </c>
    </row>
    <row r="12" spans="3:10" x14ac:dyDescent="0.3">
      <c r="J12">
        <v>5</v>
      </c>
    </row>
  </sheetData>
  <dataValidations count="1">
    <dataValidation type="list" allowBlank="1" showDropDown="1" showInputMessage="1" showErrorMessage="1" sqref="E5:E9" xr:uid="{50F0CB60-41B3-4A6D-B041-221EA8070AF8}">
      <formula1>$E$5:$E$9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0E1D-32F8-4DDC-A90C-B5DCE7B1A0C9}">
  <dimension ref="C5:L16"/>
  <sheetViews>
    <sheetView zoomScale="145" zoomScaleNormal="145" workbookViewId="0">
      <selection activeCell="J13" sqref="J13"/>
    </sheetView>
  </sheetViews>
  <sheetFormatPr defaultRowHeight="14.4" x14ac:dyDescent="0.3"/>
  <cols>
    <col min="12" max="12" width="22.88671875" customWidth="1"/>
  </cols>
  <sheetData>
    <row r="5" spans="3:12" x14ac:dyDescent="0.3">
      <c r="C5" s="50" t="s">
        <v>36</v>
      </c>
      <c r="D5" s="50" t="s">
        <v>94</v>
      </c>
      <c r="E5" s="50"/>
      <c r="F5" s="50"/>
      <c r="G5" s="50" t="s">
        <v>95</v>
      </c>
      <c r="L5" t="s">
        <v>96</v>
      </c>
    </row>
    <row r="6" spans="3:12" x14ac:dyDescent="0.3">
      <c r="C6" s="49" t="s">
        <v>97</v>
      </c>
      <c r="D6" s="49">
        <v>42</v>
      </c>
      <c r="E6" s="49">
        <v>36</v>
      </c>
      <c r="F6" s="49">
        <v>50</v>
      </c>
      <c r="G6" s="3" t="str">
        <f>IF(D6&lt;36,"Fail",IF(E6&lt;36,"Fail",IF(F6&lt;36,"Fail","Pass")))</f>
        <v>Pass</v>
      </c>
    </row>
    <row r="7" spans="3:12" x14ac:dyDescent="0.3">
      <c r="C7" s="49" t="s">
        <v>98</v>
      </c>
      <c r="D7" s="49">
        <v>48</v>
      </c>
      <c r="E7" s="49">
        <v>47</v>
      </c>
      <c r="F7" s="49">
        <v>38</v>
      </c>
      <c r="G7" s="3" t="str">
        <f t="shared" ref="G7:G9" si="0">IF(D7&lt;36,"Fail",IF(E7&lt;36,"Fail",IF(F7&lt;36,"Fail","Pass")))</f>
        <v>Pass</v>
      </c>
    </row>
    <row r="8" spans="3:12" x14ac:dyDescent="0.3">
      <c r="C8" s="49" t="s">
        <v>99</v>
      </c>
      <c r="D8" s="49">
        <v>30</v>
      </c>
      <c r="E8" s="49">
        <v>47</v>
      </c>
      <c r="F8" s="49">
        <v>46</v>
      </c>
      <c r="G8" s="3" t="str">
        <f t="shared" si="0"/>
        <v>Fail</v>
      </c>
    </row>
    <row r="9" spans="3:12" x14ac:dyDescent="0.3">
      <c r="C9" s="49" t="s">
        <v>100</v>
      </c>
      <c r="D9" s="49">
        <v>31</v>
      </c>
      <c r="E9" s="49">
        <v>34</v>
      </c>
      <c r="F9" s="49">
        <v>36</v>
      </c>
      <c r="G9" s="3" t="str">
        <f t="shared" si="0"/>
        <v>Fail</v>
      </c>
    </row>
    <row r="12" spans="3:12" x14ac:dyDescent="0.3">
      <c r="C12" s="50" t="s">
        <v>36</v>
      </c>
      <c r="D12" s="95" t="s">
        <v>101</v>
      </c>
      <c r="E12" s="95" t="s">
        <v>102</v>
      </c>
      <c r="F12" s="95" t="s">
        <v>103</v>
      </c>
      <c r="G12" s="95" t="s">
        <v>104</v>
      </c>
      <c r="H12" s="87" t="s">
        <v>105</v>
      </c>
      <c r="I12" s="87" t="s">
        <v>106</v>
      </c>
      <c r="J12" s="87" t="s">
        <v>107</v>
      </c>
    </row>
    <row r="13" spans="3:12" x14ac:dyDescent="0.3">
      <c r="C13" s="49" t="s">
        <v>97</v>
      </c>
      <c r="D13" s="49">
        <v>57</v>
      </c>
      <c r="E13" s="49">
        <v>30</v>
      </c>
      <c r="F13" s="49">
        <v>35</v>
      </c>
      <c r="G13" s="49">
        <v>57</v>
      </c>
      <c r="H13" s="3" t="str">
        <f>IF(AND(D13&gt;35,E13&gt;35,F13&gt;35,G13&gt;35),"Pass","Fail")</f>
        <v>Fail</v>
      </c>
      <c r="I13" s="3" t="str">
        <f>IF(OR(D13&lt;35,E13&lt;35,F13&lt;35,G13&lt;35),"Fail","Pass")</f>
        <v>Fail</v>
      </c>
      <c r="J13" s="3"/>
    </row>
    <row r="14" spans="3:12" x14ac:dyDescent="0.3">
      <c r="C14" s="49" t="s">
        <v>98</v>
      </c>
      <c r="D14" s="49">
        <v>34</v>
      </c>
      <c r="E14" s="49">
        <v>51</v>
      </c>
      <c r="F14" s="49">
        <v>33</v>
      </c>
      <c r="G14" s="49">
        <v>35</v>
      </c>
      <c r="H14" s="3" t="str">
        <f t="shared" ref="H14:H16" si="1">IF(AND(D14&gt;35,E14&gt;35,F14&gt;35,G14&gt;35),"Pass","Fail")</f>
        <v>Fail</v>
      </c>
      <c r="I14" s="3" t="str">
        <f t="shared" ref="I14:I16" si="2">IF(OR(D14&lt;35,E14&lt;35,F14&lt;35,G14&lt;35),"Fail","Pass")</f>
        <v>Fail</v>
      </c>
      <c r="J14" s="3"/>
    </row>
    <row r="15" spans="3:12" x14ac:dyDescent="0.3">
      <c r="C15" s="49" t="s">
        <v>99</v>
      </c>
      <c r="D15" s="49">
        <v>60</v>
      </c>
      <c r="E15" s="49">
        <v>56</v>
      </c>
      <c r="F15" s="49">
        <v>44</v>
      </c>
      <c r="G15" s="49">
        <v>39</v>
      </c>
      <c r="H15" s="3" t="str">
        <f t="shared" si="1"/>
        <v>Pass</v>
      </c>
      <c r="I15" s="3" t="str">
        <f t="shared" si="2"/>
        <v>Pass</v>
      </c>
      <c r="J15" s="3"/>
    </row>
    <row r="16" spans="3:12" x14ac:dyDescent="0.3">
      <c r="C16" s="49" t="s">
        <v>100</v>
      </c>
      <c r="D16" s="49">
        <v>56</v>
      </c>
      <c r="E16" s="49">
        <v>59</v>
      </c>
      <c r="F16" s="49">
        <v>44</v>
      </c>
      <c r="G16" s="49">
        <v>40</v>
      </c>
      <c r="H16" s="3" t="str">
        <f t="shared" si="1"/>
        <v>Pass</v>
      </c>
      <c r="I16" s="3" t="str">
        <f t="shared" si="2"/>
        <v>Pass</v>
      </c>
      <c r="J16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9C84-12E6-4D8A-A67B-0EF53D644FCE}">
  <dimension ref="A1:C1040"/>
  <sheetViews>
    <sheetView zoomScale="109" zoomScaleNormal="145" workbookViewId="0">
      <selection activeCell="E2" sqref="E2"/>
    </sheetView>
  </sheetViews>
  <sheetFormatPr defaultRowHeight="20.100000000000001" customHeight="1" x14ac:dyDescent="0.3"/>
  <cols>
    <col min="1" max="1" width="31.5546875" customWidth="1"/>
    <col min="2" max="2" width="13.5546875" customWidth="1"/>
    <col min="3" max="3" width="14.5546875" customWidth="1"/>
  </cols>
  <sheetData>
    <row r="1" spans="1:3" ht="20.100000000000001" customHeight="1" thickBot="1" x14ac:dyDescent="0.35">
      <c r="A1" s="57" t="s">
        <v>108</v>
      </c>
      <c r="B1" s="58" t="s">
        <v>109</v>
      </c>
      <c r="C1" s="58" t="s">
        <v>95</v>
      </c>
    </row>
    <row r="2" spans="1:3" ht="20.100000000000001" customHeight="1" thickBot="1" x14ac:dyDescent="0.35">
      <c r="A2" s="36" t="s">
        <v>110</v>
      </c>
      <c r="B2" s="18">
        <v>700</v>
      </c>
    </row>
    <row r="3" spans="1:3" ht="20.100000000000001" customHeight="1" thickBot="1" x14ac:dyDescent="0.35">
      <c r="A3" s="36" t="s">
        <v>111</v>
      </c>
      <c r="B3" s="18">
        <v>14.95</v>
      </c>
    </row>
    <row r="4" spans="1:3" ht="20.100000000000001" customHeight="1" thickBot="1" x14ac:dyDescent="0.35">
      <c r="A4" s="36" t="s">
        <v>112</v>
      </c>
      <c r="B4" s="18">
        <v>11.99</v>
      </c>
    </row>
    <row r="5" spans="1:3" ht="20.100000000000001" customHeight="1" thickBot="1" x14ac:dyDescent="0.35">
      <c r="A5" s="36" t="s">
        <v>113</v>
      </c>
      <c r="B5" s="18">
        <v>149.99</v>
      </c>
    </row>
    <row r="6" spans="1:3" ht="20.100000000000001" customHeight="1" thickBot="1" x14ac:dyDescent="0.35">
      <c r="A6" s="59" t="s">
        <v>112</v>
      </c>
      <c r="B6" s="18">
        <v>11.99</v>
      </c>
    </row>
    <row r="7" spans="1:3" ht="20.100000000000001" customHeight="1" thickBot="1" x14ac:dyDescent="0.35">
      <c r="A7" s="36" t="s">
        <v>114</v>
      </c>
      <c r="B7" s="18">
        <v>2.99</v>
      </c>
    </row>
    <row r="8" spans="1:3" ht="20.100000000000001" customHeight="1" thickBot="1" x14ac:dyDescent="0.35">
      <c r="A8" s="36" t="s">
        <v>115</v>
      </c>
      <c r="B8" s="18">
        <v>389.99</v>
      </c>
    </row>
    <row r="9" spans="1:3" ht="20.100000000000001" customHeight="1" thickBot="1" x14ac:dyDescent="0.35">
      <c r="A9" s="36" t="s">
        <v>116</v>
      </c>
      <c r="B9" s="18">
        <v>11.95</v>
      </c>
    </row>
    <row r="10" spans="1:3" ht="20.100000000000001" customHeight="1" thickBot="1" x14ac:dyDescent="0.35">
      <c r="A10" s="36" t="s">
        <v>117</v>
      </c>
      <c r="B10" s="18">
        <v>99.99</v>
      </c>
    </row>
    <row r="11" spans="1:3" ht="20.100000000000001" customHeight="1" thickBot="1" x14ac:dyDescent="0.35">
      <c r="A11" s="36" t="s">
        <v>118</v>
      </c>
      <c r="B11" s="18">
        <v>150</v>
      </c>
    </row>
    <row r="12" spans="1:3" ht="20.100000000000001" customHeight="1" thickBot="1" x14ac:dyDescent="0.35">
      <c r="A12" s="36" t="s">
        <v>118</v>
      </c>
      <c r="B12" s="18">
        <v>150</v>
      </c>
    </row>
    <row r="13" spans="1:3" ht="20.100000000000001" customHeight="1" thickBot="1" x14ac:dyDescent="0.35">
      <c r="A13" s="36" t="s">
        <v>119</v>
      </c>
      <c r="B13" s="18">
        <v>1700</v>
      </c>
    </row>
    <row r="14" spans="1:3" ht="20.100000000000001" customHeight="1" thickBot="1" x14ac:dyDescent="0.35">
      <c r="A14" s="36" t="s">
        <v>114</v>
      </c>
      <c r="B14" s="18">
        <v>2.99</v>
      </c>
    </row>
    <row r="15" spans="1:3" ht="20.100000000000001" customHeight="1" thickBot="1" x14ac:dyDescent="0.35">
      <c r="A15" s="36" t="s">
        <v>113</v>
      </c>
      <c r="B15" s="18">
        <v>149.99</v>
      </c>
    </row>
    <row r="16" spans="1:3" ht="20.100000000000001" customHeight="1" thickBot="1" x14ac:dyDescent="0.35">
      <c r="A16" s="36" t="s">
        <v>120</v>
      </c>
      <c r="B16" s="18">
        <v>300</v>
      </c>
    </row>
    <row r="17" spans="1:2" ht="20.100000000000001" customHeight="1" thickBot="1" x14ac:dyDescent="0.35">
      <c r="A17" s="36" t="s">
        <v>113</v>
      </c>
      <c r="B17" s="18">
        <v>149.99</v>
      </c>
    </row>
    <row r="18" spans="1:2" ht="20.100000000000001" customHeight="1" thickBot="1" x14ac:dyDescent="0.35">
      <c r="A18" s="36" t="s">
        <v>121</v>
      </c>
      <c r="B18" s="18">
        <v>400</v>
      </c>
    </row>
    <row r="19" spans="1:2" ht="20.100000000000001" customHeight="1" thickBot="1" x14ac:dyDescent="0.35">
      <c r="A19" s="36" t="s">
        <v>118</v>
      </c>
      <c r="B19" s="18">
        <v>150</v>
      </c>
    </row>
    <row r="20" spans="1:2" ht="20.100000000000001" customHeight="1" thickBot="1" x14ac:dyDescent="0.35">
      <c r="A20" s="36" t="s">
        <v>116</v>
      </c>
      <c r="B20" s="18">
        <v>11.95</v>
      </c>
    </row>
    <row r="21" spans="1:2" ht="20.100000000000001" customHeight="1" thickBot="1" x14ac:dyDescent="0.35">
      <c r="A21" s="36" t="s">
        <v>122</v>
      </c>
      <c r="B21" s="18">
        <v>3.84</v>
      </c>
    </row>
    <row r="22" spans="1:2" ht="20.100000000000001" customHeight="1" thickBot="1" x14ac:dyDescent="0.35">
      <c r="A22" s="36" t="s">
        <v>114</v>
      </c>
      <c r="B22" s="18">
        <v>2.99</v>
      </c>
    </row>
    <row r="23" spans="1:2" ht="20.100000000000001" customHeight="1" thickBot="1" x14ac:dyDescent="0.35">
      <c r="A23" s="36" t="s">
        <v>116</v>
      </c>
      <c r="B23" s="18">
        <v>11.95</v>
      </c>
    </row>
    <row r="24" spans="1:2" ht="20.100000000000001" customHeight="1" thickBot="1" x14ac:dyDescent="0.35">
      <c r="A24" s="36" t="s">
        <v>123</v>
      </c>
      <c r="B24" s="18">
        <v>600</v>
      </c>
    </row>
    <row r="25" spans="1:2" ht="20.100000000000001" customHeight="1" thickBot="1" x14ac:dyDescent="0.35">
      <c r="A25" s="36" t="s">
        <v>118</v>
      </c>
      <c r="B25" s="18">
        <v>150</v>
      </c>
    </row>
    <row r="26" spans="1:2" ht="20.100000000000001" customHeight="1" thickBot="1" x14ac:dyDescent="0.35">
      <c r="A26" s="36" t="s">
        <v>122</v>
      </c>
      <c r="B26" s="18">
        <v>3.84</v>
      </c>
    </row>
    <row r="27" spans="1:2" ht="20.100000000000001" customHeight="1" thickBot="1" x14ac:dyDescent="0.35">
      <c r="A27" s="36" t="s">
        <v>114</v>
      </c>
      <c r="B27" s="18">
        <v>2.99</v>
      </c>
    </row>
    <row r="28" spans="1:2" ht="20.100000000000001" customHeight="1" thickBot="1" x14ac:dyDescent="0.35">
      <c r="A28" s="36" t="s">
        <v>114</v>
      </c>
      <c r="B28" s="18">
        <v>2.99</v>
      </c>
    </row>
    <row r="29" spans="1:2" ht="20.100000000000001" customHeight="1" thickBot="1" x14ac:dyDescent="0.35">
      <c r="A29" s="36" t="s">
        <v>116</v>
      </c>
      <c r="B29" s="18">
        <v>11.95</v>
      </c>
    </row>
    <row r="30" spans="1:2" ht="20.100000000000001" customHeight="1" thickBot="1" x14ac:dyDescent="0.35">
      <c r="A30" s="36" t="s">
        <v>114</v>
      </c>
      <c r="B30" s="18">
        <v>2.99</v>
      </c>
    </row>
    <row r="31" spans="1:2" ht="20.100000000000001" customHeight="1" thickBot="1" x14ac:dyDescent="0.35">
      <c r="A31" s="36" t="s">
        <v>117</v>
      </c>
      <c r="B31" s="18">
        <v>99.99</v>
      </c>
    </row>
    <row r="32" spans="1:2" ht="20.100000000000001" customHeight="1" thickBot="1" x14ac:dyDescent="0.35">
      <c r="A32" s="36" t="s">
        <v>118</v>
      </c>
      <c r="B32" s="18">
        <v>150</v>
      </c>
    </row>
    <row r="33" spans="1:2" ht="20.100000000000001" customHeight="1" thickBot="1" x14ac:dyDescent="0.35">
      <c r="A33" s="36" t="s">
        <v>118</v>
      </c>
      <c r="B33" s="18">
        <v>150</v>
      </c>
    </row>
    <row r="34" spans="1:2" ht="20.100000000000001" customHeight="1" thickBot="1" x14ac:dyDescent="0.35">
      <c r="A34" s="36" t="s">
        <v>115</v>
      </c>
      <c r="B34" s="18">
        <v>389.99</v>
      </c>
    </row>
    <row r="35" spans="1:2" ht="20.100000000000001" customHeight="1" thickBot="1" x14ac:dyDescent="0.35">
      <c r="A35" s="36" t="s">
        <v>118</v>
      </c>
      <c r="B35" s="18">
        <v>150</v>
      </c>
    </row>
    <row r="36" spans="1:2" ht="20.100000000000001" customHeight="1" thickBot="1" x14ac:dyDescent="0.35">
      <c r="A36" s="36" t="s">
        <v>122</v>
      </c>
      <c r="B36" s="18">
        <v>3.84</v>
      </c>
    </row>
    <row r="37" spans="1:2" ht="20.100000000000001" customHeight="1" thickBot="1" x14ac:dyDescent="0.35">
      <c r="A37" s="36" t="s">
        <v>115</v>
      </c>
      <c r="B37" s="18">
        <v>389.99</v>
      </c>
    </row>
    <row r="38" spans="1:2" ht="20.100000000000001" customHeight="1" thickBot="1" x14ac:dyDescent="0.35">
      <c r="A38" s="36" t="s">
        <v>112</v>
      </c>
      <c r="B38" s="18">
        <v>11.99</v>
      </c>
    </row>
    <row r="39" spans="1:2" ht="20.100000000000001" customHeight="1" thickBot="1" x14ac:dyDescent="0.35">
      <c r="A39" s="36" t="s">
        <v>116</v>
      </c>
      <c r="B39" s="18">
        <v>11.95</v>
      </c>
    </row>
    <row r="40" spans="1:2" ht="20.100000000000001" customHeight="1" thickBot="1" x14ac:dyDescent="0.35">
      <c r="A40" s="36" t="s">
        <v>114</v>
      </c>
      <c r="B40" s="18">
        <v>2.99</v>
      </c>
    </row>
    <row r="41" spans="1:2" ht="20.100000000000001" customHeight="1" thickBot="1" x14ac:dyDescent="0.35">
      <c r="A41" s="36" t="s">
        <v>112</v>
      </c>
      <c r="B41" s="18">
        <v>11.99</v>
      </c>
    </row>
    <row r="42" spans="1:2" ht="20.100000000000001" customHeight="1" thickBot="1" x14ac:dyDescent="0.35">
      <c r="A42" s="36" t="s">
        <v>116</v>
      </c>
      <c r="B42" s="18">
        <v>11.95</v>
      </c>
    </row>
    <row r="43" spans="1:2" ht="20.100000000000001" customHeight="1" thickBot="1" x14ac:dyDescent="0.35">
      <c r="A43" s="36" t="s">
        <v>116</v>
      </c>
      <c r="B43" s="18">
        <v>11.95</v>
      </c>
    </row>
    <row r="44" spans="1:2" ht="20.100000000000001" customHeight="1" thickBot="1" x14ac:dyDescent="0.35">
      <c r="A44" s="36" t="s">
        <v>112</v>
      </c>
      <c r="B44" s="18">
        <v>11.99</v>
      </c>
    </row>
    <row r="45" spans="1:2" ht="20.100000000000001" customHeight="1" thickBot="1" x14ac:dyDescent="0.35">
      <c r="A45" s="36" t="s">
        <v>111</v>
      </c>
      <c r="B45" s="18">
        <v>14.95</v>
      </c>
    </row>
    <row r="46" spans="1:2" ht="20.100000000000001" customHeight="1" thickBot="1" x14ac:dyDescent="0.35">
      <c r="A46" s="36" t="s">
        <v>117</v>
      </c>
      <c r="B46" s="18">
        <v>99.99</v>
      </c>
    </row>
    <row r="47" spans="1:2" ht="20.100000000000001" customHeight="1" thickBot="1" x14ac:dyDescent="0.35">
      <c r="A47" s="36" t="s">
        <v>111</v>
      </c>
      <c r="B47" s="18">
        <v>14.95</v>
      </c>
    </row>
    <row r="48" spans="1:2" ht="20.100000000000001" customHeight="1" thickBot="1" x14ac:dyDescent="0.35">
      <c r="A48" s="36" t="s">
        <v>111</v>
      </c>
      <c r="B48" s="18">
        <v>14.95</v>
      </c>
    </row>
    <row r="49" spans="1:2" ht="20.100000000000001" customHeight="1" thickBot="1" x14ac:dyDescent="0.35">
      <c r="A49" s="36" t="s">
        <v>114</v>
      </c>
      <c r="B49" s="18">
        <v>2.99</v>
      </c>
    </row>
    <row r="50" spans="1:2" ht="20.100000000000001" customHeight="1" thickBot="1" x14ac:dyDescent="0.35">
      <c r="A50" s="36" t="s">
        <v>111</v>
      </c>
      <c r="B50" s="18">
        <v>14.95</v>
      </c>
    </row>
    <row r="51" spans="1:2" ht="20.100000000000001" customHeight="1" thickBot="1" x14ac:dyDescent="0.35">
      <c r="A51" s="36" t="s">
        <v>121</v>
      </c>
      <c r="B51" s="18">
        <v>400</v>
      </c>
    </row>
    <row r="52" spans="1:2" ht="20.100000000000001" customHeight="1" thickBot="1" x14ac:dyDescent="0.35">
      <c r="A52" s="36" t="s">
        <v>120</v>
      </c>
      <c r="B52" s="18">
        <v>300</v>
      </c>
    </row>
    <row r="53" spans="1:2" ht="20.100000000000001" customHeight="1" thickBot="1" x14ac:dyDescent="0.35">
      <c r="A53" s="36" t="s">
        <v>112</v>
      </c>
      <c r="B53" s="18">
        <v>11.99</v>
      </c>
    </row>
    <row r="54" spans="1:2" ht="20.100000000000001" customHeight="1" thickBot="1" x14ac:dyDescent="0.35">
      <c r="A54" s="36" t="s">
        <v>114</v>
      </c>
      <c r="B54" s="18">
        <v>2.99</v>
      </c>
    </row>
    <row r="55" spans="1:2" ht="20.100000000000001" customHeight="1" thickBot="1" x14ac:dyDescent="0.35">
      <c r="A55" s="36" t="s">
        <v>115</v>
      </c>
      <c r="B55" s="18">
        <v>389.99</v>
      </c>
    </row>
    <row r="56" spans="1:2" ht="20.100000000000001" customHeight="1" thickBot="1" x14ac:dyDescent="0.35">
      <c r="A56" s="36" t="s">
        <v>117</v>
      </c>
      <c r="B56" s="18">
        <v>99.99</v>
      </c>
    </row>
    <row r="57" spans="1:2" ht="20.100000000000001" customHeight="1" thickBot="1" x14ac:dyDescent="0.35">
      <c r="A57" s="36" t="s">
        <v>119</v>
      </c>
      <c r="B57" s="18">
        <v>1700</v>
      </c>
    </row>
    <row r="58" spans="1:2" ht="20.100000000000001" customHeight="1" thickBot="1" x14ac:dyDescent="0.35">
      <c r="A58" s="36" t="s">
        <v>124</v>
      </c>
      <c r="B58" s="18">
        <v>109.99</v>
      </c>
    </row>
    <row r="59" spans="1:2" ht="20.100000000000001" customHeight="1" thickBot="1" x14ac:dyDescent="0.35">
      <c r="A59" s="36" t="s">
        <v>122</v>
      </c>
      <c r="B59" s="18">
        <v>3.84</v>
      </c>
    </row>
    <row r="60" spans="1:2" ht="20.100000000000001" customHeight="1" thickBot="1" x14ac:dyDescent="0.35">
      <c r="A60" s="36" t="s">
        <v>118</v>
      </c>
      <c r="B60" s="18">
        <v>150</v>
      </c>
    </row>
    <row r="61" spans="1:2" ht="20.100000000000001" customHeight="1" thickBot="1" x14ac:dyDescent="0.35">
      <c r="A61" s="36" t="s">
        <v>122</v>
      </c>
      <c r="B61" s="18">
        <v>3.84</v>
      </c>
    </row>
    <row r="62" spans="1:2" ht="20.100000000000001" customHeight="1" thickBot="1" x14ac:dyDescent="0.35">
      <c r="A62" s="36" t="s">
        <v>114</v>
      </c>
      <c r="B62" s="18">
        <v>2.99</v>
      </c>
    </row>
    <row r="63" spans="1:2" ht="20.100000000000001" customHeight="1" thickBot="1" x14ac:dyDescent="0.35">
      <c r="A63" s="36" t="s">
        <v>116</v>
      </c>
      <c r="B63" s="18">
        <v>11.95</v>
      </c>
    </row>
    <row r="64" spans="1:2" ht="20.100000000000001" customHeight="1" thickBot="1" x14ac:dyDescent="0.35">
      <c r="A64" s="36" t="s">
        <v>117</v>
      </c>
      <c r="B64" s="18">
        <v>99.99</v>
      </c>
    </row>
    <row r="65" spans="1:2" ht="20.100000000000001" customHeight="1" thickBot="1" x14ac:dyDescent="0.35">
      <c r="A65" s="36" t="s">
        <v>122</v>
      </c>
      <c r="B65" s="18">
        <v>3.84</v>
      </c>
    </row>
    <row r="66" spans="1:2" ht="20.100000000000001" customHeight="1" thickBot="1" x14ac:dyDescent="0.35">
      <c r="A66" s="36" t="s">
        <v>116</v>
      </c>
      <c r="B66" s="18">
        <v>11.95</v>
      </c>
    </row>
    <row r="67" spans="1:2" ht="20.100000000000001" customHeight="1" thickBot="1" x14ac:dyDescent="0.35">
      <c r="A67" s="36" t="s">
        <v>111</v>
      </c>
      <c r="B67" s="18">
        <v>14.95</v>
      </c>
    </row>
    <row r="68" spans="1:2" ht="20.100000000000001" customHeight="1" thickBot="1" x14ac:dyDescent="0.35">
      <c r="A68" s="36" t="s">
        <v>111</v>
      </c>
      <c r="B68" s="18">
        <v>14.95</v>
      </c>
    </row>
    <row r="69" spans="1:2" ht="20.100000000000001" customHeight="1" thickBot="1" x14ac:dyDescent="0.35">
      <c r="A69" s="36" t="s">
        <v>114</v>
      </c>
      <c r="B69" s="18">
        <v>2.99</v>
      </c>
    </row>
    <row r="70" spans="1:2" ht="20.100000000000001" customHeight="1" thickBot="1" x14ac:dyDescent="0.35">
      <c r="A70" s="36" t="s">
        <v>118</v>
      </c>
      <c r="B70" s="18">
        <v>150</v>
      </c>
    </row>
    <row r="71" spans="1:2" ht="20.100000000000001" customHeight="1" thickBot="1" x14ac:dyDescent="0.35">
      <c r="A71" s="36" t="s">
        <v>118</v>
      </c>
      <c r="B71" s="18">
        <v>150</v>
      </c>
    </row>
    <row r="72" spans="1:2" ht="20.100000000000001" customHeight="1" thickBot="1" x14ac:dyDescent="0.35">
      <c r="A72" s="36" t="s">
        <v>114</v>
      </c>
      <c r="B72" s="18">
        <v>2.99</v>
      </c>
    </row>
    <row r="73" spans="1:2" ht="20.100000000000001" customHeight="1" thickBot="1" x14ac:dyDescent="0.35">
      <c r="A73" s="36" t="s">
        <v>122</v>
      </c>
      <c r="B73" s="18">
        <v>3.84</v>
      </c>
    </row>
    <row r="74" spans="1:2" ht="20.100000000000001" customHeight="1" thickBot="1" x14ac:dyDescent="0.35">
      <c r="A74" s="36" t="s">
        <v>116</v>
      </c>
      <c r="B74" s="18">
        <v>11.95</v>
      </c>
    </row>
    <row r="75" spans="1:2" ht="20.100000000000001" customHeight="1" thickBot="1" x14ac:dyDescent="0.35">
      <c r="A75" s="36" t="s">
        <v>114</v>
      </c>
      <c r="B75" s="18">
        <v>2.99</v>
      </c>
    </row>
    <row r="76" spans="1:2" ht="20.100000000000001" customHeight="1" thickBot="1" x14ac:dyDescent="0.35">
      <c r="A76" s="36" t="s">
        <v>112</v>
      </c>
      <c r="B76" s="18">
        <v>11.99</v>
      </c>
    </row>
    <row r="77" spans="1:2" ht="20.100000000000001" customHeight="1" thickBot="1" x14ac:dyDescent="0.35">
      <c r="A77" s="36" t="s">
        <v>114</v>
      </c>
      <c r="B77" s="18">
        <v>2.99</v>
      </c>
    </row>
    <row r="78" spans="1:2" ht="20.100000000000001" customHeight="1" thickBot="1" x14ac:dyDescent="0.35">
      <c r="A78" s="36" t="s">
        <v>113</v>
      </c>
      <c r="B78" s="18">
        <v>149.99</v>
      </c>
    </row>
    <row r="79" spans="1:2" ht="20.100000000000001" customHeight="1" thickBot="1" x14ac:dyDescent="0.35">
      <c r="A79" s="36" t="s">
        <v>114</v>
      </c>
      <c r="B79" s="18">
        <v>2.99</v>
      </c>
    </row>
    <row r="80" spans="1:2" ht="20.100000000000001" customHeight="1" thickBot="1" x14ac:dyDescent="0.35">
      <c r="A80" s="36" t="s">
        <v>114</v>
      </c>
      <c r="B80" s="18">
        <v>2.99</v>
      </c>
    </row>
    <row r="81" spans="1:2" ht="20.100000000000001" customHeight="1" thickBot="1" x14ac:dyDescent="0.35">
      <c r="A81" s="36" t="s">
        <v>125</v>
      </c>
      <c r="B81" s="18">
        <v>379.99</v>
      </c>
    </row>
    <row r="82" spans="1:2" ht="20.100000000000001" customHeight="1" thickBot="1" x14ac:dyDescent="0.35">
      <c r="A82" s="36" t="s">
        <v>118</v>
      </c>
      <c r="B82" s="18">
        <v>150</v>
      </c>
    </row>
    <row r="83" spans="1:2" ht="20.100000000000001" customHeight="1" thickBot="1" x14ac:dyDescent="0.35">
      <c r="A83" s="36" t="s">
        <v>111</v>
      </c>
      <c r="B83" s="18">
        <v>14.95</v>
      </c>
    </row>
    <row r="84" spans="1:2" ht="20.100000000000001" customHeight="1" thickBot="1" x14ac:dyDescent="0.35">
      <c r="A84" s="36" t="s">
        <v>119</v>
      </c>
      <c r="B84" s="18">
        <v>1700</v>
      </c>
    </row>
    <row r="85" spans="1:2" ht="20.100000000000001" customHeight="1" thickBot="1" x14ac:dyDescent="0.35">
      <c r="A85" s="36" t="s">
        <v>116</v>
      </c>
      <c r="B85" s="18">
        <v>11.95</v>
      </c>
    </row>
    <row r="86" spans="1:2" ht="20.100000000000001" customHeight="1" thickBot="1" x14ac:dyDescent="0.35">
      <c r="A86" s="36" t="s">
        <v>114</v>
      </c>
      <c r="B86" s="18">
        <v>2.99</v>
      </c>
    </row>
    <row r="87" spans="1:2" ht="20.100000000000001" customHeight="1" thickBot="1" x14ac:dyDescent="0.35">
      <c r="A87" s="36" t="s">
        <v>113</v>
      </c>
      <c r="B87" s="18">
        <v>149.99</v>
      </c>
    </row>
    <row r="88" spans="1:2" ht="20.100000000000001" customHeight="1" thickBot="1" x14ac:dyDescent="0.35">
      <c r="A88" s="36" t="s">
        <v>117</v>
      </c>
      <c r="B88" s="18">
        <v>99.99</v>
      </c>
    </row>
    <row r="89" spans="1:2" ht="20.100000000000001" customHeight="1" thickBot="1" x14ac:dyDescent="0.35">
      <c r="A89" s="36" t="s">
        <v>117</v>
      </c>
      <c r="B89" s="18">
        <v>99.99</v>
      </c>
    </row>
    <row r="90" spans="1:2" ht="20.100000000000001" customHeight="1" thickBot="1" x14ac:dyDescent="0.35">
      <c r="A90" s="36" t="s">
        <v>122</v>
      </c>
      <c r="B90" s="18">
        <v>3.84</v>
      </c>
    </row>
    <row r="91" spans="1:2" ht="20.100000000000001" customHeight="1" thickBot="1" x14ac:dyDescent="0.35">
      <c r="A91" s="36" t="s">
        <v>117</v>
      </c>
      <c r="B91" s="18">
        <v>99.99</v>
      </c>
    </row>
    <row r="92" spans="1:2" ht="20.100000000000001" customHeight="1" thickBot="1" x14ac:dyDescent="0.35">
      <c r="A92" s="36" t="s">
        <v>114</v>
      </c>
      <c r="B92" s="18">
        <v>2.99</v>
      </c>
    </row>
    <row r="93" spans="1:2" ht="20.100000000000001" customHeight="1" thickBot="1" x14ac:dyDescent="0.35">
      <c r="A93" s="36" t="s">
        <v>116</v>
      </c>
      <c r="B93" s="18">
        <v>11.95</v>
      </c>
    </row>
    <row r="94" spans="1:2" ht="20.100000000000001" customHeight="1" thickBot="1" x14ac:dyDescent="0.35">
      <c r="A94" s="36" t="s">
        <v>116</v>
      </c>
      <c r="B94" s="18">
        <v>11.95</v>
      </c>
    </row>
    <row r="95" spans="1:2" ht="20.100000000000001" customHeight="1" thickBot="1" x14ac:dyDescent="0.35">
      <c r="A95" s="36" t="s">
        <v>117</v>
      </c>
      <c r="B95" s="18">
        <v>99.99</v>
      </c>
    </row>
    <row r="96" spans="1:2" ht="20.100000000000001" customHeight="1" thickBot="1" x14ac:dyDescent="0.35">
      <c r="A96" s="36" t="s">
        <v>123</v>
      </c>
      <c r="B96" s="18">
        <v>600</v>
      </c>
    </row>
    <row r="97" spans="1:2" ht="20.100000000000001" customHeight="1" thickBot="1" x14ac:dyDescent="0.35">
      <c r="A97" s="36" t="s">
        <v>116</v>
      </c>
      <c r="B97" s="18">
        <v>11.95</v>
      </c>
    </row>
    <row r="98" spans="1:2" ht="20.100000000000001" customHeight="1" thickBot="1" x14ac:dyDescent="0.35">
      <c r="A98" s="36" t="s">
        <v>126</v>
      </c>
      <c r="B98" s="18">
        <v>999.99</v>
      </c>
    </row>
    <row r="99" spans="1:2" ht="20.100000000000001" customHeight="1" thickBot="1" x14ac:dyDescent="0.35">
      <c r="A99" s="36" t="s">
        <v>116</v>
      </c>
      <c r="B99" s="18">
        <v>11.95</v>
      </c>
    </row>
    <row r="100" spans="1:2" ht="20.100000000000001" customHeight="1" thickBot="1" x14ac:dyDescent="0.35">
      <c r="A100" s="36" t="s">
        <v>112</v>
      </c>
      <c r="B100" s="18">
        <v>11.99</v>
      </c>
    </row>
    <row r="101" spans="1:2" ht="20.100000000000001" customHeight="1" thickBot="1" x14ac:dyDescent="0.35">
      <c r="A101" s="36" t="s">
        <v>120</v>
      </c>
      <c r="B101" s="18">
        <v>300</v>
      </c>
    </row>
    <row r="102" spans="1:2" ht="20.100000000000001" customHeight="1" thickBot="1" x14ac:dyDescent="0.35">
      <c r="A102" s="36" t="s">
        <v>116</v>
      </c>
      <c r="B102" s="18">
        <v>11.95</v>
      </c>
    </row>
    <row r="103" spans="1:2" ht="20.100000000000001" customHeight="1" thickBot="1" x14ac:dyDescent="0.35">
      <c r="A103" s="36" t="s">
        <v>113</v>
      </c>
      <c r="B103" s="18">
        <v>149.99</v>
      </c>
    </row>
    <row r="104" spans="1:2" ht="20.100000000000001" customHeight="1" thickBot="1" x14ac:dyDescent="0.35">
      <c r="A104" s="36" t="s">
        <v>116</v>
      </c>
      <c r="B104" s="18">
        <v>11.95</v>
      </c>
    </row>
    <row r="105" spans="1:2" ht="20.100000000000001" customHeight="1" thickBot="1" x14ac:dyDescent="0.35">
      <c r="A105" s="36" t="s">
        <v>114</v>
      </c>
      <c r="B105" s="18">
        <v>2.99</v>
      </c>
    </row>
    <row r="106" spans="1:2" ht="20.100000000000001" customHeight="1" thickBot="1" x14ac:dyDescent="0.35">
      <c r="A106" s="36" t="s">
        <v>110</v>
      </c>
      <c r="B106" s="18">
        <v>700</v>
      </c>
    </row>
    <row r="107" spans="1:2" ht="20.100000000000001" customHeight="1" thickBot="1" x14ac:dyDescent="0.35">
      <c r="A107" s="36" t="s">
        <v>117</v>
      </c>
      <c r="B107" s="18">
        <v>99.99</v>
      </c>
    </row>
    <row r="108" spans="1:2" ht="20.100000000000001" customHeight="1" thickBot="1" x14ac:dyDescent="0.35">
      <c r="A108" s="36" t="s">
        <v>114</v>
      </c>
      <c r="B108" s="18">
        <v>2.99</v>
      </c>
    </row>
    <row r="109" spans="1:2" ht="20.100000000000001" customHeight="1" thickBot="1" x14ac:dyDescent="0.35">
      <c r="A109" s="36" t="s">
        <v>114</v>
      </c>
      <c r="B109" s="18">
        <v>2.99</v>
      </c>
    </row>
    <row r="110" spans="1:2" ht="20.100000000000001" customHeight="1" thickBot="1" x14ac:dyDescent="0.35">
      <c r="A110" s="36" t="s">
        <v>111</v>
      </c>
      <c r="B110" s="18">
        <v>14.95</v>
      </c>
    </row>
    <row r="111" spans="1:2" ht="20.100000000000001" customHeight="1" thickBot="1" x14ac:dyDescent="0.35">
      <c r="A111" s="36" t="s">
        <v>127</v>
      </c>
      <c r="B111" s="18">
        <v>600</v>
      </c>
    </row>
    <row r="112" spans="1:2" ht="20.100000000000001" customHeight="1" thickBot="1" x14ac:dyDescent="0.35">
      <c r="A112" s="36" t="s">
        <v>112</v>
      </c>
      <c r="B112" s="18">
        <v>11.99</v>
      </c>
    </row>
    <row r="113" spans="1:2" ht="20.100000000000001" customHeight="1" thickBot="1" x14ac:dyDescent="0.35">
      <c r="A113" s="36" t="s">
        <v>117</v>
      </c>
      <c r="B113" s="18">
        <v>99.99</v>
      </c>
    </row>
    <row r="114" spans="1:2" ht="20.100000000000001" customHeight="1" thickBot="1" x14ac:dyDescent="0.35">
      <c r="A114" s="36" t="s">
        <v>118</v>
      </c>
      <c r="B114" s="18">
        <v>150</v>
      </c>
    </row>
    <row r="115" spans="1:2" ht="20.100000000000001" customHeight="1" thickBot="1" x14ac:dyDescent="0.35">
      <c r="A115" s="36" t="s">
        <v>116</v>
      </c>
      <c r="B115" s="18">
        <v>11.95</v>
      </c>
    </row>
    <row r="116" spans="1:2" ht="20.100000000000001" customHeight="1" thickBot="1" x14ac:dyDescent="0.35">
      <c r="A116" s="36" t="s">
        <v>118</v>
      </c>
      <c r="B116" s="18">
        <v>150</v>
      </c>
    </row>
    <row r="117" spans="1:2" ht="20.100000000000001" customHeight="1" thickBot="1" x14ac:dyDescent="0.35">
      <c r="A117" s="36" t="s">
        <v>122</v>
      </c>
      <c r="B117" s="18">
        <v>3.84</v>
      </c>
    </row>
    <row r="118" spans="1:2" ht="20.100000000000001" customHeight="1" thickBot="1" x14ac:dyDescent="0.35">
      <c r="A118" s="36" t="s">
        <v>116</v>
      </c>
      <c r="B118" s="18">
        <v>11.95</v>
      </c>
    </row>
    <row r="119" spans="1:2" ht="20.100000000000001" customHeight="1" thickBot="1" x14ac:dyDescent="0.35">
      <c r="A119" s="36" t="s">
        <v>111</v>
      </c>
      <c r="B119" s="18">
        <v>14.95</v>
      </c>
    </row>
    <row r="120" spans="1:2" ht="20.100000000000001" customHeight="1" thickBot="1" x14ac:dyDescent="0.35">
      <c r="A120" s="36" t="s">
        <v>111</v>
      </c>
      <c r="B120" s="18">
        <v>14.95</v>
      </c>
    </row>
    <row r="121" spans="1:2" ht="20.100000000000001" customHeight="1" thickBot="1" x14ac:dyDescent="0.35">
      <c r="A121" s="36" t="s">
        <v>116</v>
      </c>
      <c r="B121" s="18">
        <v>11.95</v>
      </c>
    </row>
    <row r="122" spans="1:2" ht="20.100000000000001" customHeight="1" thickBot="1" x14ac:dyDescent="0.35">
      <c r="A122" s="36" t="s">
        <v>111</v>
      </c>
      <c r="B122" s="18">
        <v>14.95</v>
      </c>
    </row>
    <row r="123" spans="1:2" ht="20.100000000000001" customHeight="1" thickBot="1" x14ac:dyDescent="0.35">
      <c r="A123" s="36" t="s">
        <v>116</v>
      </c>
      <c r="B123" s="18">
        <v>11.95</v>
      </c>
    </row>
    <row r="124" spans="1:2" ht="20.100000000000001" customHeight="1" thickBot="1" x14ac:dyDescent="0.35">
      <c r="A124" s="36" t="s">
        <v>117</v>
      </c>
      <c r="B124" s="18">
        <v>99.99</v>
      </c>
    </row>
    <row r="125" spans="1:2" ht="20.100000000000001" customHeight="1" thickBot="1" x14ac:dyDescent="0.35">
      <c r="A125" s="36" t="s">
        <v>115</v>
      </c>
      <c r="B125" s="18">
        <v>389.99</v>
      </c>
    </row>
    <row r="126" spans="1:2" ht="20.100000000000001" customHeight="1" thickBot="1" x14ac:dyDescent="0.35">
      <c r="A126" s="36" t="s">
        <v>111</v>
      </c>
      <c r="B126" s="18">
        <v>14.95</v>
      </c>
    </row>
    <row r="127" spans="1:2" ht="20.100000000000001" customHeight="1" thickBot="1" x14ac:dyDescent="0.35">
      <c r="A127" s="36" t="s">
        <v>111</v>
      </c>
      <c r="B127" s="18">
        <v>14.95</v>
      </c>
    </row>
    <row r="128" spans="1:2" ht="20.100000000000001" customHeight="1" thickBot="1" x14ac:dyDescent="0.35">
      <c r="A128" s="36" t="s">
        <v>111</v>
      </c>
      <c r="B128" s="18">
        <v>14.95</v>
      </c>
    </row>
    <row r="129" spans="1:2" ht="20.100000000000001" customHeight="1" thickBot="1" x14ac:dyDescent="0.35">
      <c r="A129" s="36" t="s">
        <v>114</v>
      </c>
      <c r="B129" s="18">
        <v>2.99</v>
      </c>
    </row>
    <row r="130" spans="1:2" ht="20.100000000000001" customHeight="1" thickBot="1" x14ac:dyDescent="0.35">
      <c r="A130" s="36" t="s">
        <v>119</v>
      </c>
      <c r="B130" s="18">
        <v>1700</v>
      </c>
    </row>
    <row r="131" spans="1:2" ht="20.100000000000001" customHeight="1" thickBot="1" x14ac:dyDescent="0.35">
      <c r="A131" s="36" t="s">
        <v>118</v>
      </c>
      <c r="B131" s="18">
        <v>150</v>
      </c>
    </row>
    <row r="132" spans="1:2" ht="20.100000000000001" customHeight="1" thickBot="1" x14ac:dyDescent="0.35">
      <c r="A132" s="36" t="s">
        <v>111</v>
      </c>
      <c r="B132" s="18">
        <v>14.95</v>
      </c>
    </row>
    <row r="133" spans="1:2" ht="20.100000000000001" customHeight="1" thickBot="1" x14ac:dyDescent="0.35">
      <c r="A133" s="36" t="s">
        <v>112</v>
      </c>
      <c r="B133" s="18">
        <v>11.99</v>
      </c>
    </row>
    <row r="134" spans="1:2" ht="20.100000000000001" customHeight="1" thickBot="1" x14ac:dyDescent="0.35">
      <c r="A134" s="36" t="s">
        <v>122</v>
      </c>
      <c r="B134" s="18">
        <v>3.84</v>
      </c>
    </row>
    <row r="135" spans="1:2" ht="20.100000000000001" customHeight="1" thickBot="1" x14ac:dyDescent="0.35">
      <c r="A135" s="36" t="s">
        <v>121</v>
      </c>
      <c r="B135" s="18">
        <v>400</v>
      </c>
    </row>
    <row r="136" spans="1:2" ht="20.100000000000001" customHeight="1" thickBot="1" x14ac:dyDescent="0.35">
      <c r="A136" s="36" t="s">
        <v>112</v>
      </c>
      <c r="B136" s="18">
        <v>11.99</v>
      </c>
    </row>
    <row r="137" spans="1:2" ht="20.100000000000001" customHeight="1" thickBot="1" x14ac:dyDescent="0.35">
      <c r="A137" s="36" t="s">
        <v>120</v>
      </c>
      <c r="B137" s="18">
        <v>300</v>
      </c>
    </row>
    <row r="138" spans="1:2" ht="20.100000000000001" customHeight="1" thickBot="1" x14ac:dyDescent="0.35">
      <c r="A138" s="36" t="s">
        <v>115</v>
      </c>
      <c r="B138" s="18">
        <v>389.99</v>
      </c>
    </row>
    <row r="139" spans="1:2" ht="20.100000000000001" customHeight="1" thickBot="1" x14ac:dyDescent="0.35">
      <c r="A139" s="36" t="s">
        <v>116</v>
      </c>
      <c r="B139" s="18">
        <v>11.95</v>
      </c>
    </row>
    <row r="140" spans="1:2" ht="20.100000000000001" customHeight="1" thickBot="1" x14ac:dyDescent="0.35">
      <c r="A140" s="36" t="s">
        <v>111</v>
      </c>
      <c r="B140" s="18">
        <v>14.95</v>
      </c>
    </row>
    <row r="141" spans="1:2" ht="20.100000000000001" customHeight="1" thickBot="1" x14ac:dyDescent="0.35">
      <c r="A141" s="36" t="s">
        <v>114</v>
      </c>
      <c r="B141" s="18">
        <v>2.99</v>
      </c>
    </row>
    <row r="142" spans="1:2" ht="20.100000000000001" customHeight="1" thickBot="1" x14ac:dyDescent="0.35">
      <c r="A142" s="36" t="s">
        <v>111</v>
      </c>
      <c r="B142" s="18">
        <v>14.95</v>
      </c>
    </row>
    <row r="143" spans="1:2" ht="20.100000000000001" customHeight="1" thickBot="1" x14ac:dyDescent="0.35">
      <c r="A143" s="36" t="s">
        <v>114</v>
      </c>
      <c r="B143" s="18">
        <v>2.99</v>
      </c>
    </row>
    <row r="144" spans="1:2" ht="20.100000000000001" customHeight="1" thickBot="1" x14ac:dyDescent="0.35">
      <c r="A144" s="36" t="s">
        <v>113</v>
      </c>
      <c r="B144" s="18">
        <v>149.99</v>
      </c>
    </row>
    <row r="145" spans="1:2" ht="20.100000000000001" customHeight="1" thickBot="1" x14ac:dyDescent="0.35">
      <c r="A145" s="36" t="s">
        <v>112</v>
      </c>
      <c r="B145" s="18">
        <v>11.99</v>
      </c>
    </row>
    <row r="146" spans="1:2" ht="20.100000000000001" customHeight="1" thickBot="1" x14ac:dyDescent="0.35">
      <c r="A146" s="36" t="s">
        <v>115</v>
      </c>
      <c r="B146" s="18">
        <v>389.99</v>
      </c>
    </row>
    <row r="147" spans="1:2" ht="20.100000000000001" customHeight="1" thickBot="1" x14ac:dyDescent="0.35">
      <c r="A147" s="36" t="s">
        <v>112</v>
      </c>
      <c r="B147" s="18">
        <v>11.99</v>
      </c>
    </row>
    <row r="148" spans="1:2" ht="20.100000000000001" customHeight="1" thickBot="1" x14ac:dyDescent="0.35">
      <c r="A148" s="36" t="s">
        <v>112</v>
      </c>
      <c r="B148" s="18">
        <v>11.99</v>
      </c>
    </row>
    <row r="149" spans="1:2" ht="20.100000000000001" customHeight="1" thickBot="1" x14ac:dyDescent="0.35">
      <c r="A149" s="36" t="s">
        <v>116</v>
      </c>
      <c r="B149" s="18">
        <v>11.95</v>
      </c>
    </row>
    <row r="150" spans="1:2" ht="20.100000000000001" customHeight="1" thickBot="1" x14ac:dyDescent="0.35">
      <c r="A150" s="36" t="s">
        <v>122</v>
      </c>
      <c r="B150" s="18">
        <v>3.84</v>
      </c>
    </row>
    <row r="151" spans="1:2" ht="20.100000000000001" customHeight="1" thickBot="1" x14ac:dyDescent="0.35">
      <c r="A151" s="36" t="s">
        <v>116</v>
      </c>
      <c r="B151" s="18">
        <v>11.95</v>
      </c>
    </row>
    <row r="152" spans="1:2" ht="20.100000000000001" customHeight="1" thickBot="1" x14ac:dyDescent="0.35">
      <c r="A152" s="36" t="s">
        <v>117</v>
      </c>
      <c r="B152" s="18">
        <v>99.99</v>
      </c>
    </row>
    <row r="153" spans="1:2" ht="20.100000000000001" customHeight="1" thickBot="1" x14ac:dyDescent="0.35">
      <c r="A153" s="36" t="s">
        <v>114</v>
      </c>
      <c r="B153" s="18">
        <v>2.99</v>
      </c>
    </row>
    <row r="154" spans="1:2" ht="20.100000000000001" customHeight="1" thickBot="1" x14ac:dyDescent="0.35">
      <c r="A154" s="36" t="s">
        <v>114</v>
      </c>
      <c r="B154" s="18">
        <v>2.99</v>
      </c>
    </row>
    <row r="155" spans="1:2" ht="20.100000000000001" customHeight="1" thickBot="1" x14ac:dyDescent="0.35">
      <c r="A155" s="36" t="s">
        <v>123</v>
      </c>
      <c r="B155" s="18">
        <v>600</v>
      </c>
    </row>
    <row r="156" spans="1:2" ht="20.100000000000001" customHeight="1" thickBot="1" x14ac:dyDescent="0.35">
      <c r="A156" s="36" t="s">
        <v>116</v>
      </c>
      <c r="B156" s="18">
        <v>11.95</v>
      </c>
    </row>
    <row r="157" spans="1:2" ht="20.100000000000001" customHeight="1" thickBot="1" x14ac:dyDescent="0.35">
      <c r="A157" s="36" t="s">
        <v>119</v>
      </c>
      <c r="B157" s="18">
        <v>1700</v>
      </c>
    </row>
    <row r="158" spans="1:2" ht="20.100000000000001" customHeight="1" thickBot="1" x14ac:dyDescent="0.35">
      <c r="A158" s="36" t="s">
        <v>111</v>
      </c>
      <c r="B158" s="18">
        <v>14.95</v>
      </c>
    </row>
    <row r="159" spans="1:2" ht="20.100000000000001" customHeight="1" thickBot="1" x14ac:dyDescent="0.35">
      <c r="A159" s="36" t="s">
        <v>114</v>
      </c>
      <c r="B159" s="18">
        <v>2.99</v>
      </c>
    </row>
    <row r="160" spans="1:2" ht="20.100000000000001" customHeight="1" thickBot="1" x14ac:dyDescent="0.35">
      <c r="A160" s="36" t="s">
        <v>111</v>
      </c>
      <c r="B160" s="18">
        <v>14.95</v>
      </c>
    </row>
    <row r="161" spans="1:2" ht="20.100000000000001" customHeight="1" thickBot="1" x14ac:dyDescent="0.35">
      <c r="A161" s="36" t="s">
        <v>122</v>
      </c>
      <c r="B161" s="18">
        <v>3.84</v>
      </c>
    </row>
    <row r="162" spans="1:2" ht="20.100000000000001" customHeight="1" thickBot="1" x14ac:dyDescent="0.35">
      <c r="A162" s="36" t="s">
        <v>112</v>
      </c>
      <c r="B162" s="18">
        <v>11.99</v>
      </c>
    </row>
    <row r="163" spans="1:2" ht="20.100000000000001" customHeight="1" thickBot="1" x14ac:dyDescent="0.35">
      <c r="A163" s="36" t="s">
        <v>117</v>
      </c>
      <c r="B163" s="18">
        <v>99.99</v>
      </c>
    </row>
    <row r="164" spans="1:2" ht="20.100000000000001" customHeight="1" thickBot="1" x14ac:dyDescent="0.35">
      <c r="A164" s="36" t="s">
        <v>118</v>
      </c>
      <c r="B164" s="18">
        <v>150</v>
      </c>
    </row>
    <row r="165" spans="1:2" ht="20.100000000000001" customHeight="1" thickBot="1" x14ac:dyDescent="0.35">
      <c r="A165" s="36" t="s">
        <v>116</v>
      </c>
      <c r="B165" s="18">
        <v>11.95</v>
      </c>
    </row>
    <row r="166" spans="1:2" ht="20.100000000000001" customHeight="1" thickBot="1" x14ac:dyDescent="0.35">
      <c r="A166" s="36" t="s">
        <v>110</v>
      </c>
      <c r="B166" s="18">
        <v>700</v>
      </c>
    </row>
    <row r="167" spans="1:2" ht="20.100000000000001" customHeight="1" thickBot="1" x14ac:dyDescent="0.35">
      <c r="A167" s="36" t="s">
        <v>114</v>
      </c>
      <c r="B167" s="18">
        <v>2.99</v>
      </c>
    </row>
    <row r="168" spans="1:2" ht="20.100000000000001" customHeight="1" thickBot="1" x14ac:dyDescent="0.35">
      <c r="A168" s="36" t="s">
        <v>116</v>
      </c>
      <c r="B168" s="18">
        <v>11.95</v>
      </c>
    </row>
    <row r="169" spans="1:2" ht="20.100000000000001" customHeight="1" thickBot="1" x14ac:dyDescent="0.35">
      <c r="A169" s="36" t="s">
        <v>111</v>
      </c>
      <c r="B169" s="18">
        <v>14.95</v>
      </c>
    </row>
    <row r="170" spans="1:2" ht="20.100000000000001" customHeight="1" thickBot="1" x14ac:dyDescent="0.35">
      <c r="A170" s="36" t="s">
        <v>114</v>
      </c>
      <c r="B170" s="18">
        <v>2.99</v>
      </c>
    </row>
    <row r="171" spans="1:2" ht="20.100000000000001" customHeight="1" thickBot="1" x14ac:dyDescent="0.35">
      <c r="A171" s="36" t="s">
        <v>126</v>
      </c>
      <c r="B171" s="18">
        <v>999.99</v>
      </c>
    </row>
    <row r="172" spans="1:2" ht="20.100000000000001" customHeight="1" thickBot="1" x14ac:dyDescent="0.35">
      <c r="A172" s="36" t="s">
        <v>111</v>
      </c>
      <c r="B172" s="18">
        <v>14.95</v>
      </c>
    </row>
    <row r="173" spans="1:2" ht="20.100000000000001" customHeight="1" thickBot="1" x14ac:dyDescent="0.35">
      <c r="A173" s="36" t="s">
        <v>118</v>
      </c>
      <c r="B173" s="18">
        <v>150</v>
      </c>
    </row>
    <row r="174" spans="1:2" ht="20.100000000000001" customHeight="1" thickBot="1" x14ac:dyDescent="0.35">
      <c r="A174" s="36" t="s">
        <v>114</v>
      </c>
      <c r="B174" s="18">
        <v>2.99</v>
      </c>
    </row>
    <row r="175" spans="1:2" ht="20.100000000000001" customHeight="1" thickBot="1" x14ac:dyDescent="0.35">
      <c r="A175" s="36" t="s">
        <v>111</v>
      </c>
      <c r="B175" s="18">
        <v>14.95</v>
      </c>
    </row>
    <row r="176" spans="1:2" ht="20.100000000000001" customHeight="1" thickBot="1" x14ac:dyDescent="0.35">
      <c r="A176" s="36" t="s">
        <v>122</v>
      </c>
      <c r="B176" s="18">
        <v>3.84</v>
      </c>
    </row>
    <row r="177" spans="1:2" ht="20.100000000000001" customHeight="1" thickBot="1" x14ac:dyDescent="0.35">
      <c r="A177" s="36" t="s">
        <v>112</v>
      </c>
      <c r="B177" s="18">
        <v>11.99</v>
      </c>
    </row>
    <row r="178" spans="1:2" ht="20.100000000000001" customHeight="1" thickBot="1" x14ac:dyDescent="0.35">
      <c r="A178" s="36" t="s">
        <v>116</v>
      </c>
      <c r="B178" s="18">
        <v>11.95</v>
      </c>
    </row>
    <row r="179" spans="1:2" ht="20.100000000000001" customHeight="1" thickBot="1" x14ac:dyDescent="0.35">
      <c r="A179" s="36" t="s">
        <v>118</v>
      </c>
      <c r="B179" s="18">
        <v>150</v>
      </c>
    </row>
    <row r="180" spans="1:2" ht="20.100000000000001" customHeight="1" thickBot="1" x14ac:dyDescent="0.35">
      <c r="A180" s="36" t="s">
        <v>118</v>
      </c>
      <c r="B180" s="18">
        <v>150</v>
      </c>
    </row>
    <row r="181" spans="1:2" ht="20.100000000000001" customHeight="1" thickBot="1" x14ac:dyDescent="0.35">
      <c r="A181" s="36" t="s">
        <v>117</v>
      </c>
      <c r="B181" s="18">
        <v>99.99</v>
      </c>
    </row>
    <row r="182" spans="1:2" ht="20.100000000000001" customHeight="1" thickBot="1" x14ac:dyDescent="0.35">
      <c r="A182" s="36" t="s">
        <v>113</v>
      </c>
      <c r="B182" s="18">
        <v>149.99</v>
      </c>
    </row>
    <row r="183" spans="1:2" ht="20.100000000000001" customHeight="1" thickBot="1" x14ac:dyDescent="0.35">
      <c r="A183" s="36" t="s">
        <v>112</v>
      </c>
      <c r="B183" s="18">
        <v>11.99</v>
      </c>
    </row>
    <row r="184" spans="1:2" ht="20.100000000000001" customHeight="1" thickBot="1" x14ac:dyDescent="0.35">
      <c r="A184" s="36" t="s">
        <v>122</v>
      </c>
      <c r="B184" s="18">
        <v>3.84</v>
      </c>
    </row>
    <row r="185" spans="1:2" ht="20.100000000000001" customHeight="1" thickBot="1" x14ac:dyDescent="0.35">
      <c r="A185" s="36" t="s">
        <v>122</v>
      </c>
      <c r="B185" s="18">
        <v>3.84</v>
      </c>
    </row>
    <row r="186" spans="1:2" ht="20.100000000000001" customHeight="1" thickBot="1" x14ac:dyDescent="0.35">
      <c r="A186" s="36" t="s">
        <v>123</v>
      </c>
      <c r="B186" s="18">
        <v>600</v>
      </c>
    </row>
    <row r="187" spans="1:2" ht="20.100000000000001" customHeight="1" thickBot="1" x14ac:dyDescent="0.35">
      <c r="A187" s="36" t="s">
        <v>112</v>
      </c>
      <c r="B187" s="18">
        <v>11.99</v>
      </c>
    </row>
    <row r="188" spans="1:2" ht="20.100000000000001" customHeight="1" thickBot="1" x14ac:dyDescent="0.35">
      <c r="A188" s="36" t="s">
        <v>114</v>
      </c>
      <c r="B188" s="18">
        <v>2.99</v>
      </c>
    </row>
    <row r="189" spans="1:2" ht="20.100000000000001" customHeight="1" thickBot="1" x14ac:dyDescent="0.35">
      <c r="A189" s="36" t="s">
        <v>117</v>
      </c>
      <c r="B189" s="18">
        <v>99.99</v>
      </c>
    </row>
    <row r="190" spans="1:2" ht="20.100000000000001" customHeight="1" thickBot="1" x14ac:dyDescent="0.35">
      <c r="A190" s="36" t="s">
        <v>118</v>
      </c>
      <c r="B190" s="18">
        <v>150</v>
      </c>
    </row>
    <row r="191" spans="1:2" ht="20.100000000000001" customHeight="1" thickBot="1" x14ac:dyDescent="0.35">
      <c r="A191" s="36" t="s">
        <v>112</v>
      </c>
      <c r="B191" s="18">
        <v>11.99</v>
      </c>
    </row>
    <row r="192" spans="1:2" ht="20.100000000000001" customHeight="1" thickBot="1" x14ac:dyDescent="0.35">
      <c r="A192" s="36" t="s">
        <v>111</v>
      </c>
      <c r="B192" s="18">
        <v>14.95</v>
      </c>
    </row>
    <row r="193" spans="1:2" ht="20.100000000000001" customHeight="1" thickBot="1" x14ac:dyDescent="0.35">
      <c r="A193" s="36" t="s">
        <v>120</v>
      </c>
      <c r="B193" s="18">
        <v>300</v>
      </c>
    </row>
    <row r="194" spans="1:2" ht="20.100000000000001" customHeight="1" thickBot="1" x14ac:dyDescent="0.35">
      <c r="A194" s="36" t="s">
        <v>118</v>
      </c>
      <c r="B194" s="18">
        <v>150</v>
      </c>
    </row>
    <row r="195" spans="1:2" ht="20.100000000000001" customHeight="1" thickBot="1" x14ac:dyDescent="0.35">
      <c r="A195" s="36" t="s">
        <v>111</v>
      </c>
      <c r="B195" s="18">
        <v>14.95</v>
      </c>
    </row>
    <row r="196" spans="1:2" ht="20.100000000000001" customHeight="1" thickBot="1" x14ac:dyDescent="0.35">
      <c r="A196" s="36" t="s">
        <v>118</v>
      </c>
      <c r="B196" s="18">
        <v>150</v>
      </c>
    </row>
    <row r="197" spans="1:2" ht="20.100000000000001" customHeight="1" thickBot="1" x14ac:dyDescent="0.35">
      <c r="A197" s="36" t="s">
        <v>112</v>
      </c>
      <c r="B197" s="18">
        <v>11.99</v>
      </c>
    </row>
    <row r="198" spans="1:2" ht="20.100000000000001" customHeight="1" thickBot="1" x14ac:dyDescent="0.35">
      <c r="A198" s="36" t="s">
        <v>123</v>
      </c>
      <c r="B198" s="18">
        <v>600</v>
      </c>
    </row>
    <row r="199" spans="1:2" ht="20.100000000000001" customHeight="1" thickBot="1" x14ac:dyDescent="0.35">
      <c r="A199" s="36" t="s">
        <v>116</v>
      </c>
      <c r="B199" s="18">
        <v>11.95</v>
      </c>
    </row>
    <row r="200" spans="1:2" ht="20.100000000000001" customHeight="1" thickBot="1" x14ac:dyDescent="0.35">
      <c r="A200" s="36" t="s">
        <v>122</v>
      </c>
      <c r="B200" s="18">
        <v>3.84</v>
      </c>
    </row>
    <row r="201" spans="1:2" ht="20.100000000000001" customHeight="1" thickBot="1" x14ac:dyDescent="0.35">
      <c r="A201" s="36" t="s">
        <v>118</v>
      </c>
      <c r="B201" s="18">
        <v>150</v>
      </c>
    </row>
    <row r="202" spans="1:2" ht="20.100000000000001" customHeight="1" thickBot="1" x14ac:dyDescent="0.35">
      <c r="A202" s="36" t="s">
        <v>125</v>
      </c>
      <c r="B202" s="18">
        <v>379.99</v>
      </c>
    </row>
    <row r="203" spans="1:2" ht="20.100000000000001" customHeight="1" thickBot="1" x14ac:dyDescent="0.35">
      <c r="A203" s="36" t="s">
        <v>116</v>
      </c>
      <c r="B203" s="18">
        <v>11.95</v>
      </c>
    </row>
    <row r="204" spans="1:2" ht="20.100000000000001" customHeight="1" thickBot="1" x14ac:dyDescent="0.35">
      <c r="A204" s="36" t="s">
        <v>116</v>
      </c>
      <c r="B204" s="18">
        <v>11.95</v>
      </c>
    </row>
    <row r="205" spans="1:2" ht="20.100000000000001" customHeight="1" thickBot="1" x14ac:dyDescent="0.35">
      <c r="A205" s="36" t="s">
        <v>123</v>
      </c>
      <c r="B205" s="18">
        <v>600</v>
      </c>
    </row>
    <row r="206" spans="1:2" ht="20.100000000000001" customHeight="1" thickBot="1" x14ac:dyDescent="0.35">
      <c r="A206" s="36" t="s">
        <v>115</v>
      </c>
      <c r="B206" s="18">
        <v>389.99</v>
      </c>
    </row>
    <row r="207" spans="1:2" ht="20.100000000000001" customHeight="1" thickBot="1" x14ac:dyDescent="0.35">
      <c r="A207" s="36" t="s">
        <v>116</v>
      </c>
      <c r="B207" s="18">
        <v>11.95</v>
      </c>
    </row>
    <row r="208" spans="1:2" ht="20.100000000000001" customHeight="1" thickBot="1" x14ac:dyDescent="0.35">
      <c r="A208" s="36" t="s">
        <v>117</v>
      </c>
      <c r="B208" s="18">
        <v>99.99</v>
      </c>
    </row>
    <row r="209" spans="1:2" ht="20.100000000000001" customHeight="1" thickBot="1" x14ac:dyDescent="0.35">
      <c r="A209" s="36" t="s">
        <v>110</v>
      </c>
      <c r="B209" s="18">
        <v>700</v>
      </c>
    </row>
    <row r="210" spans="1:2" ht="20.100000000000001" customHeight="1" thickBot="1" x14ac:dyDescent="0.35">
      <c r="A210" s="36" t="s">
        <v>112</v>
      </c>
      <c r="B210" s="18">
        <v>11.99</v>
      </c>
    </row>
    <row r="211" spans="1:2" ht="20.100000000000001" customHeight="1" thickBot="1" x14ac:dyDescent="0.35">
      <c r="A211" s="36" t="s">
        <v>120</v>
      </c>
      <c r="B211" s="18">
        <v>300</v>
      </c>
    </row>
    <row r="212" spans="1:2" ht="20.100000000000001" customHeight="1" thickBot="1" x14ac:dyDescent="0.35">
      <c r="A212" s="36" t="s">
        <v>123</v>
      </c>
      <c r="B212" s="18">
        <v>600</v>
      </c>
    </row>
    <row r="213" spans="1:2" ht="20.100000000000001" customHeight="1" thickBot="1" x14ac:dyDescent="0.35">
      <c r="A213" s="36" t="s">
        <v>122</v>
      </c>
      <c r="B213" s="18">
        <v>3.84</v>
      </c>
    </row>
    <row r="214" spans="1:2" ht="20.100000000000001" customHeight="1" thickBot="1" x14ac:dyDescent="0.35">
      <c r="A214" s="36" t="s">
        <v>123</v>
      </c>
      <c r="B214" s="18">
        <v>600</v>
      </c>
    </row>
    <row r="215" spans="1:2" ht="20.100000000000001" customHeight="1" thickBot="1" x14ac:dyDescent="0.35">
      <c r="A215" s="36" t="s">
        <v>111</v>
      </c>
      <c r="B215" s="18">
        <v>14.95</v>
      </c>
    </row>
    <row r="216" spans="1:2" ht="20.100000000000001" customHeight="1" thickBot="1" x14ac:dyDescent="0.35">
      <c r="A216" s="36" t="s">
        <v>114</v>
      </c>
      <c r="B216" s="18">
        <v>2.99</v>
      </c>
    </row>
    <row r="217" spans="1:2" ht="20.100000000000001" customHeight="1" thickBot="1" x14ac:dyDescent="0.35">
      <c r="A217" s="36" t="s">
        <v>116</v>
      </c>
      <c r="B217" s="18">
        <v>11.95</v>
      </c>
    </row>
    <row r="218" spans="1:2" ht="20.100000000000001" customHeight="1" thickBot="1" x14ac:dyDescent="0.35">
      <c r="A218" s="36" t="s">
        <v>117</v>
      </c>
      <c r="B218" s="18">
        <v>99.99</v>
      </c>
    </row>
    <row r="219" spans="1:2" ht="20.100000000000001" customHeight="1" thickBot="1" x14ac:dyDescent="0.35">
      <c r="A219" s="36" t="s">
        <v>114</v>
      </c>
      <c r="B219" s="18">
        <v>2.99</v>
      </c>
    </row>
    <row r="220" spans="1:2" ht="20.100000000000001" customHeight="1" thickBot="1" x14ac:dyDescent="0.35">
      <c r="A220" s="36" t="s">
        <v>117</v>
      </c>
      <c r="B220" s="18">
        <v>99.99</v>
      </c>
    </row>
    <row r="221" spans="1:2" ht="20.100000000000001" customHeight="1" thickBot="1" x14ac:dyDescent="0.35">
      <c r="A221" s="36" t="s">
        <v>116</v>
      </c>
      <c r="B221" s="18">
        <v>11.95</v>
      </c>
    </row>
    <row r="222" spans="1:2" ht="20.100000000000001" customHeight="1" thickBot="1" x14ac:dyDescent="0.35">
      <c r="A222" s="36" t="s">
        <v>117</v>
      </c>
      <c r="B222" s="18">
        <v>99.99</v>
      </c>
    </row>
    <row r="223" spans="1:2" ht="20.100000000000001" customHeight="1" thickBot="1" x14ac:dyDescent="0.35">
      <c r="A223" s="36" t="s">
        <v>123</v>
      </c>
      <c r="B223" s="18">
        <v>600</v>
      </c>
    </row>
    <row r="224" spans="1:2" ht="20.100000000000001" customHeight="1" thickBot="1" x14ac:dyDescent="0.35">
      <c r="A224" s="36" t="s">
        <v>122</v>
      </c>
      <c r="B224" s="18">
        <v>3.84</v>
      </c>
    </row>
    <row r="225" spans="1:2" ht="20.100000000000001" customHeight="1" thickBot="1" x14ac:dyDescent="0.35">
      <c r="A225" s="36" t="s">
        <v>117</v>
      </c>
      <c r="B225" s="18">
        <v>99.99</v>
      </c>
    </row>
    <row r="226" spans="1:2" ht="20.100000000000001" customHeight="1" thickBot="1" x14ac:dyDescent="0.35">
      <c r="A226" s="36" t="s">
        <v>119</v>
      </c>
      <c r="B226" s="18">
        <v>1700</v>
      </c>
    </row>
    <row r="227" spans="1:2" ht="20.100000000000001" customHeight="1" thickBot="1" x14ac:dyDescent="0.35">
      <c r="A227" s="36" t="s">
        <v>117</v>
      </c>
      <c r="B227" s="18">
        <v>99.99</v>
      </c>
    </row>
    <row r="228" spans="1:2" ht="20.100000000000001" customHeight="1" thickBot="1" x14ac:dyDescent="0.35">
      <c r="A228" s="36" t="s">
        <v>118</v>
      </c>
      <c r="B228" s="18">
        <v>150</v>
      </c>
    </row>
    <row r="229" spans="1:2" ht="20.100000000000001" customHeight="1" thickBot="1" x14ac:dyDescent="0.35">
      <c r="A229" s="36" t="s">
        <v>114</v>
      </c>
      <c r="B229" s="18">
        <v>2.99</v>
      </c>
    </row>
    <row r="230" spans="1:2" ht="20.100000000000001" customHeight="1" thickBot="1" x14ac:dyDescent="0.35">
      <c r="A230" s="36" t="s">
        <v>118</v>
      </c>
      <c r="B230" s="18">
        <v>150</v>
      </c>
    </row>
    <row r="231" spans="1:2" ht="20.100000000000001" customHeight="1" thickBot="1" x14ac:dyDescent="0.35">
      <c r="A231" s="36" t="s">
        <v>110</v>
      </c>
      <c r="B231" s="18">
        <v>700</v>
      </c>
    </row>
    <row r="232" spans="1:2" ht="20.100000000000001" customHeight="1" thickBot="1" x14ac:dyDescent="0.35">
      <c r="A232" s="36" t="s">
        <v>110</v>
      </c>
      <c r="B232" s="18">
        <v>700</v>
      </c>
    </row>
    <row r="233" spans="1:2" ht="20.100000000000001" customHeight="1" thickBot="1" x14ac:dyDescent="0.35">
      <c r="A233" s="36" t="s">
        <v>114</v>
      </c>
      <c r="B233" s="18">
        <v>2.99</v>
      </c>
    </row>
    <row r="234" spans="1:2" ht="20.100000000000001" customHeight="1" thickBot="1" x14ac:dyDescent="0.35">
      <c r="A234" s="36" t="s">
        <v>110</v>
      </c>
      <c r="B234" s="18">
        <v>700</v>
      </c>
    </row>
    <row r="235" spans="1:2" ht="20.100000000000001" customHeight="1" thickBot="1" x14ac:dyDescent="0.35">
      <c r="A235" s="36" t="s">
        <v>111</v>
      </c>
      <c r="B235" s="18">
        <v>14.95</v>
      </c>
    </row>
    <row r="236" spans="1:2" ht="20.100000000000001" customHeight="1" thickBot="1" x14ac:dyDescent="0.35">
      <c r="A236" s="36" t="s">
        <v>112</v>
      </c>
      <c r="B236" s="18">
        <v>11.99</v>
      </c>
    </row>
    <row r="237" spans="1:2" ht="20.100000000000001" customHeight="1" thickBot="1" x14ac:dyDescent="0.35">
      <c r="A237" s="36" t="s">
        <v>118</v>
      </c>
      <c r="B237" s="18">
        <v>150</v>
      </c>
    </row>
    <row r="238" spans="1:2" ht="20.100000000000001" customHeight="1" thickBot="1" x14ac:dyDescent="0.35">
      <c r="A238" s="36" t="s">
        <v>122</v>
      </c>
      <c r="B238" s="18">
        <v>3.84</v>
      </c>
    </row>
    <row r="239" spans="1:2" ht="20.100000000000001" customHeight="1" thickBot="1" x14ac:dyDescent="0.35">
      <c r="A239" s="36" t="s">
        <v>111</v>
      </c>
      <c r="B239" s="18">
        <v>14.95</v>
      </c>
    </row>
    <row r="240" spans="1:2" ht="20.100000000000001" customHeight="1" thickBot="1" x14ac:dyDescent="0.35">
      <c r="A240" s="36" t="s">
        <v>114</v>
      </c>
      <c r="B240" s="18">
        <v>2.99</v>
      </c>
    </row>
    <row r="241" spans="1:2" ht="20.100000000000001" customHeight="1" thickBot="1" x14ac:dyDescent="0.35">
      <c r="A241" s="36" t="s">
        <v>117</v>
      </c>
      <c r="B241" s="18">
        <v>99.99</v>
      </c>
    </row>
    <row r="242" spans="1:2" ht="20.100000000000001" customHeight="1" thickBot="1" x14ac:dyDescent="0.35">
      <c r="A242" s="36" t="s">
        <v>120</v>
      </c>
      <c r="B242" s="18">
        <v>300</v>
      </c>
    </row>
    <row r="243" spans="1:2" ht="20.100000000000001" customHeight="1" thickBot="1" x14ac:dyDescent="0.35">
      <c r="A243" s="36" t="s">
        <v>120</v>
      </c>
      <c r="B243" s="18">
        <v>300</v>
      </c>
    </row>
    <row r="244" spans="1:2" ht="20.100000000000001" customHeight="1" thickBot="1" x14ac:dyDescent="0.35">
      <c r="A244" s="36" t="s">
        <v>114</v>
      </c>
      <c r="B244" s="18">
        <v>2.99</v>
      </c>
    </row>
    <row r="245" spans="1:2" ht="20.100000000000001" customHeight="1" thickBot="1" x14ac:dyDescent="0.35">
      <c r="A245" s="36" t="s">
        <v>118</v>
      </c>
      <c r="B245" s="18">
        <v>150</v>
      </c>
    </row>
    <row r="246" spans="1:2" ht="20.100000000000001" customHeight="1" thickBot="1" x14ac:dyDescent="0.35">
      <c r="A246" s="36" t="s">
        <v>110</v>
      </c>
      <c r="B246" s="18">
        <v>700</v>
      </c>
    </row>
    <row r="247" spans="1:2" ht="20.100000000000001" customHeight="1" thickBot="1" x14ac:dyDescent="0.35">
      <c r="A247" s="36" t="s">
        <v>110</v>
      </c>
      <c r="B247" s="18">
        <v>700</v>
      </c>
    </row>
    <row r="248" spans="1:2" ht="20.100000000000001" customHeight="1" thickBot="1" x14ac:dyDescent="0.35">
      <c r="A248" s="36" t="s">
        <v>118</v>
      </c>
      <c r="B248" s="18">
        <v>150</v>
      </c>
    </row>
    <row r="249" spans="1:2" ht="20.100000000000001" customHeight="1" thickBot="1" x14ac:dyDescent="0.35">
      <c r="A249" s="36" t="s">
        <v>111</v>
      </c>
      <c r="B249" s="18">
        <v>14.95</v>
      </c>
    </row>
    <row r="250" spans="1:2" ht="20.100000000000001" customHeight="1" thickBot="1" x14ac:dyDescent="0.35">
      <c r="A250" s="36" t="s">
        <v>110</v>
      </c>
      <c r="B250" s="18">
        <v>700</v>
      </c>
    </row>
    <row r="251" spans="1:2" ht="20.100000000000001" customHeight="1" thickBot="1" x14ac:dyDescent="0.35">
      <c r="A251" s="36" t="s">
        <v>122</v>
      </c>
      <c r="B251" s="18">
        <v>3.84</v>
      </c>
    </row>
    <row r="252" spans="1:2" ht="20.100000000000001" customHeight="1" thickBot="1" x14ac:dyDescent="0.35">
      <c r="A252" s="36" t="s">
        <v>118</v>
      </c>
      <c r="B252" s="18">
        <v>150</v>
      </c>
    </row>
    <row r="253" spans="1:2" ht="20.100000000000001" customHeight="1" thickBot="1" x14ac:dyDescent="0.35">
      <c r="A253" s="36" t="s">
        <v>123</v>
      </c>
      <c r="B253" s="18">
        <v>600</v>
      </c>
    </row>
    <row r="254" spans="1:2" ht="20.100000000000001" customHeight="1" thickBot="1" x14ac:dyDescent="0.35">
      <c r="A254" s="36" t="s">
        <v>117</v>
      </c>
      <c r="B254" s="18">
        <v>99.99</v>
      </c>
    </row>
    <row r="255" spans="1:2" ht="20.100000000000001" customHeight="1" thickBot="1" x14ac:dyDescent="0.35">
      <c r="A255" s="36" t="s">
        <v>122</v>
      </c>
      <c r="B255" s="18">
        <v>3.84</v>
      </c>
    </row>
    <row r="256" spans="1:2" ht="20.100000000000001" customHeight="1" thickBot="1" x14ac:dyDescent="0.35">
      <c r="A256" s="36" t="s">
        <v>122</v>
      </c>
      <c r="B256" s="18">
        <v>3.84</v>
      </c>
    </row>
    <row r="257" spans="1:2" ht="20.100000000000001" customHeight="1" thickBot="1" x14ac:dyDescent="0.35">
      <c r="A257" s="36" t="s">
        <v>116</v>
      </c>
      <c r="B257" s="18">
        <v>11.95</v>
      </c>
    </row>
    <row r="258" spans="1:2" ht="20.100000000000001" customHeight="1" thickBot="1" x14ac:dyDescent="0.35">
      <c r="A258" s="36" t="s">
        <v>120</v>
      </c>
      <c r="B258" s="18">
        <v>300</v>
      </c>
    </row>
    <row r="259" spans="1:2" ht="20.100000000000001" customHeight="1" thickBot="1" x14ac:dyDescent="0.35">
      <c r="A259" s="36" t="s">
        <v>116</v>
      </c>
      <c r="B259" s="18">
        <v>11.95</v>
      </c>
    </row>
    <row r="260" spans="1:2" ht="20.100000000000001" customHeight="1" thickBot="1" x14ac:dyDescent="0.35">
      <c r="A260" s="36" t="s">
        <v>115</v>
      </c>
      <c r="B260" s="18">
        <v>389.99</v>
      </c>
    </row>
    <row r="261" spans="1:2" ht="20.100000000000001" customHeight="1" thickBot="1" x14ac:dyDescent="0.35">
      <c r="A261" s="36" t="s">
        <v>116</v>
      </c>
      <c r="B261" s="18">
        <v>11.95</v>
      </c>
    </row>
    <row r="262" spans="1:2" ht="20.100000000000001" customHeight="1" thickBot="1" x14ac:dyDescent="0.35">
      <c r="A262" s="36" t="s">
        <v>117</v>
      </c>
      <c r="B262" s="18">
        <v>99.99</v>
      </c>
    </row>
    <row r="263" spans="1:2" ht="20.100000000000001" customHeight="1" thickBot="1" x14ac:dyDescent="0.35">
      <c r="A263" s="36" t="s">
        <v>117</v>
      </c>
      <c r="B263" s="18">
        <v>99.99</v>
      </c>
    </row>
    <row r="264" spans="1:2" ht="20.100000000000001" customHeight="1" thickBot="1" x14ac:dyDescent="0.35">
      <c r="A264" s="36" t="s">
        <v>114</v>
      </c>
      <c r="B264" s="18">
        <v>2.99</v>
      </c>
    </row>
    <row r="265" spans="1:2" ht="20.100000000000001" customHeight="1" thickBot="1" x14ac:dyDescent="0.35">
      <c r="A265" s="36" t="s">
        <v>113</v>
      </c>
      <c r="B265" s="18">
        <v>149.99</v>
      </c>
    </row>
    <row r="266" spans="1:2" ht="20.100000000000001" customHeight="1" thickBot="1" x14ac:dyDescent="0.35">
      <c r="A266" s="36" t="s">
        <v>117</v>
      </c>
      <c r="B266" s="18">
        <v>99.99</v>
      </c>
    </row>
    <row r="267" spans="1:2" ht="20.100000000000001" customHeight="1" thickBot="1" x14ac:dyDescent="0.35">
      <c r="A267" s="36" t="s">
        <v>124</v>
      </c>
      <c r="B267" s="18">
        <v>109.99</v>
      </c>
    </row>
    <row r="268" spans="1:2" ht="20.100000000000001" customHeight="1" thickBot="1" x14ac:dyDescent="0.35">
      <c r="A268" s="36" t="s">
        <v>125</v>
      </c>
      <c r="B268" s="18">
        <v>379.99</v>
      </c>
    </row>
    <row r="269" spans="1:2" ht="20.100000000000001" customHeight="1" thickBot="1" x14ac:dyDescent="0.35">
      <c r="A269" s="36" t="s">
        <v>122</v>
      </c>
      <c r="B269" s="18">
        <v>3.84</v>
      </c>
    </row>
    <row r="270" spans="1:2" ht="20.100000000000001" customHeight="1" thickBot="1" x14ac:dyDescent="0.35">
      <c r="A270" s="36" t="s">
        <v>119</v>
      </c>
      <c r="B270" s="18">
        <v>1700</v>
      </c>
    </row>
    <row r="271" spans="1:2" ht="20.100000000000001" customHeight="1" thickBot="1" x14ac:dyDescent="0.35">
      <c r="A271" s="36" t="s">
        <v>112</v>
      </c>
      <c r="B271" s="18">
        <v>11.99</v>
      </c>
    </row>
    <row r="272" spans="1:2" ht="20.100000000000001" customHeight="1" thickBot="1" x14ac:dyDescent="0.35">
      <c r="A272" s="36" t="s">
        <v>112</v>
      </c>
      <c r="B272" s="18">
        <v>11.99</v>
      </c>
    </row>
    <row r="273" spans="1:2" ht="20.100000000000001" customHeight="1" thickBot="1" x14ac:dyDescent="0.35">
      <c r="A273" s="36" t="s">
        <v>122</v>
      </c>
      <c r="B273" s="18">
        <v>3.84</v>
      </c>
    </row>
    <row r="274" spans="1:2" ht="20.100000000000001" customHeight="1" thickBot="1" x14ac:dyDescent="0.35">
      <c r="A274" s="36" t="s">
        <v>123</v>
      </c>
      <c r="B274" s="18">
        <v>600</v>
      </c>
    </row>
    <row r="275" spans="1:2" ht="20.100000000000001" customHeight="1" thickBot="1" x14ac:dyDescent="0.35">
      <c r="A275" s="36" t="s">
        <v>123</v>
      </c>
      <c r="B275" s="18">
        <v>600</v>
      </c>
    </row>
    <row r="276" spans="1:2" ht="20.100000000000001" customHeight="1" thickBot="1" x14ac:dyDescent="0.35">
      <c r="A276" s="36" t="s">
        <v>122</v>
      </c>
      <c r="B276" s="18">
        <v>3.84</v>
      </c>
    </row>
    <row r="277" spans="1:2" ht="20.100000000000001" customHeight="1" thickBot="1" x14ac:dyDescent="0.35">
      <c r="A277" s="36" t="s">
        <v>122</v>
      </c>
      <c r="B277" s="18">
        <v>3.84</v>
      </c>
    </row>
    <row r="278" spans="1:2" ht="20.100000000000001" customHeight="1" thickBot="1" x14ac:dyDescent="0.35">
      <c r="A278" s="36" t="s">
        <v>115</v>
      </c>
      <c r="B278" s="18">
        <v>389.99</v>
      </c>
    </row>
    <row r="279" spans="1:2" ht="20.100000000000001" customHeight="1" thickBot="1" x14ac:dyDescent="0.35">
      <c r="A279" s="36" t="s">
        <v>110</v>
      </c>
      <c r="B279" s="18">
        <v>700</v>
      </c>
    </row>
    <row r="280" spans="1:2" ht="20.100000000000001" customHeight="1" thickBot="1" x14ac:dyDescent="0.35">
      <c r="A280" s="36" t="s">
        <v>115</v>
      </c>
      <c r="B280" s="18">
        <v>389.99</v>
      </c>
    </row>
    <row r="281" spans="1:2" ht="20.100000000000001" customHeight="1" thickBot="1" x14ac:dyDescent="0.35">
      <c r="A281" s="36" t="s">
        <v>123</v>
      </c>
      <c r="B281" s="18">
        <v>600</v>
      </c>
    </row>
    <row r="282" spans="1:2" ht="20.100000000000001" customHeight="1" thickBot="1" x14ac:dyDescent="0.35">
      <c r="A282" s="36" t="s">
        <v>118</v>
      </c>
      <c r="B282" s="18">
        <v>150</v>
      </c>
    </row>
    <row r="283" spans="1:2" ht="20.100000000000001" customHeight="1" thickBot="1" x14ac:dyDescent="0.35">
      <c r="A283" s="36" t="s">
        <v>116</v>
      </c>
      <c r="B283" s="18">
        <v>11.95</v>
      </c>
    </row>
    <row r="284" spans="1:2" ht="20.100000000000001" customHeight="1" thickBot="1" x14ac:dyDescent="0.35">
      <c r="A284" s="36" t="s">
        <v>111</v>
      </c>
      <c r="B284" s="18">
        <v>14.95</v>
      </c>
    </row>
    <row r="285" spans="1:2" ht="20.100000000000001" customHeight="1" thickBot="1" x14ac:dyDescent="0.35">
      <c r="A285" s="36" t="s">
        <v>112</v>
      </c>
      <c r="B285" s="18">
        <v>11.99</v>
      </c>
    </row>
    <row r="286" spans="1:2" ht="20.100000000000001" customHeight="1" thickBot="1" x14ac:dyDescent="0.35">
      <c r="A286" s="36" t="s">
        <v>115</v>
      </c>
      <c r="B286" s="18">
        <v>389.99</v>
      </c>
    </row>
    <row r="287" spans="1:2" ht="20.100000000000001" customHeight="1" thickBot="1" x14ac:dyDescent="0.35">
      <c r="A287" s="36" t="s">
        <v>111</v>
      </c>
      <c r="B287" s="18">
        <v>14.95</v>
      </c>
    </row>
    <row r="288" spans="1:2" ht="20.100000000000001" customHeight="1" thickBot="1" x14ac:dyDescent="0.35">
      <c r="A288" s="36" t="s">
        <v>118</v>
      </c>
      <c r="B288" s="18">
        <v>150</v>
      </c>
    </row>
    <row r="289" spans="1:2" ht="20.100000000000001" customHeight="1" thickBot="1" x14ac:dyDescent="0.35">
      <c r="A289" s="36" t="s">
        <v>123</v>
      </c>
      <c r="B289" s="18">
        <v>600</v>
      </c>
    </row>
    <row r="290" spans="1:2" ht="20.100000000000001" customHeight="1" thickBot="1" x14ac:dyDescent="0.35">
      <c r="A290" s="36" t="s">
        <v>125</v>
      </c>
      <c r="B290" s="18">
        <v>379.99</v>
      </c>
    </row>
    <row r="291" spans="1:2" ht="20.100000000000001" customHeight="1" thickBot="1" x14ac:dyDescent="0.35">
      <c r="A291" s="36" t="s">
        <v>128</v>
      </c>
      <c r="B291" s="18">
        <v>600</v>
      </c>
    </row>
    <row r="292" spans="1:2" ht="20.100000000000001" customHeight="1" thickBot="1" x14ac:dyDescent="0.35">
      <c r="A292" s="36" t="s">
        <v>110</v>
      </c>
      <c r="B292" s="18">
        <v>700</v>
      </c>
    </row>
    <row r="293" spans="1:2" ht="20.100000000000001" customHeight="1" thickBot="1" x14ac:dyDescent="0.35">
      <c r="A293" s="36" t="s">
        <v>111</v>
      </c>
      <c r="B293" s="18">
        <v>14.95</v>
      </c>
    </row>
    <row r="294" spans="1:2" ht="20.100000000000001" customHeight="1" thickBot="1" x14ac:dyDescent="0.35">
      <c r="A294" s="36" t="s">
        <v>111</v>
      </c>
      <c r="B294" s="18">
        <v>14.95</v>
      </c>
    </row>
    <row r="295" spans="1:2" ht="20.100000000000001" customHeight="1" thickBot="1" x14ac:dyDescent="0.35">
      <c r="A295" s="36" t="s">
        <v>110</v>
      </c>
      <c r="B295" s="18">
        <v>700</v>
      </c>
    </row>
    <row r="296" spans="1:2" ht="20.100000000000001" customHeight="1" thickBot="1" x14ac:dyDescent="0.35">
      <c r="A296" s="36" t="s">
        <v>112</v>
      </c>
      <c r="B296" s="18">
        <v>11.99</v>
      </c>
    </row>
    <row r="297" spans="1:2" ht="20.100000000000001" customHeight="1" thickBot="1" x14ac:dyDescent="0.35">
      <c r="A297" s="36" t="s">
        <v>113</v>
      </c>
      <c r="B297" s="18">
        <v>149.99</v>
      </c>
    </row>
    <row r="298" spans="1:2" ht="20.100000000000001" customHeight="1" thickBot="1" x14ac:dyDescent="0.35">
      <c r="A298" s="36" t="s">
        <v>123</v>
      </c>
      <c r="B298" s="18">
        <v>600</v>
      </c>
    </row>
    <row r="299" spans="1:2" ht="20.100000000000001" customHeight="1" thickBot="1" x14ac:dyDescent="0.35">
      <c r="A299" s="36" t="s">
        <v>116</v>
      </c>
      <c r="B299" s="18">
        <v>11.95</v>
      </c>
    </row>
    <row r="300" spans="1:2" ht="20.100000000000001" customHeight="1" thickBot="1" x14ac:dyDescent="0.35">
      <c r="A300" s="36" t="s">
        <v>114</v>
      </c>
      <c r="B300" s="18">
        <v>2.99</v>
      </c>
    </row>
    <row r="301" spans="1:2" ht="20.100000000000001" customHeight="1" thickBot="1" x14ac:dyDescent="0.35">
      <c r="A301" s="36" t="s">
        <v>122</v>
      </c>
      <c r="B301" s="18">
        <v>3.84</v>
      </c>
    </row>
    <row r="302" spans="1:2" ht="20.100000000000001" customHeight="1" thickBot="1" x14ac:dyDescent="0.35">
      <c r="A302" s="36" t="s">
        <v>118</v>
      </c>
      <c r="B302" s="18">
        <v>150</v>
      </c>
    </row>
    <row r="303" spans="1:2" ht="20.100000000000001" customHeight="1" thickBot="1" x14ac:dyDescent="0.35">
      <c r="A303" s="36" t="s">
        <v>114</v>
      </c>
      <c r="B303" s="18">
        <v>2.99</v>
      </c>
    </row>
    <row r="304" spans="1:2" ht="20.100000000000001" customHeight="1" thickBot="1" x14ac:dyDescent="0.35">
      <c r="A304" s="36" t="s">
        <v>117</v>
      </c>
      <c r="B304" s="18">
        <v>99.99</v>
      </c>
    </row>
    <row r="305" spans="1:2" ht="20.100000000000001" customHeight="1" thickBot="1" x14ac:dyDescent="0.35">
      <c r="A305" s="36" t="s">
        <v>114</v>
      </c>
      <c r="B305" s="18">
        <v>2.99</v>
      </c>
    </row>
    <row r="306" spans="1:2" ht="20.100000000000001" customHeight="1" thickBot="1" x14ac:dyDescent="0.35">
      <c r="A306" s="36" t="s">
        <v>120</v>
      </c>
      <c r="B306" s="18">
        <v>300</v>
      </c>
    </row>
    <row r="307" spans="1:2" ht="20.100000000000001" customHeight="1" thickBot="1" x14ac:dyDescent="0.35">
      <c r="A307" s="36" t="s">
        <v>111</v>
      </c>
      <c r="B307" s="18">
        <v>14.95</v>
      </c>
    </row>
    <row r="308" spans="1:2" ht="20.100000000000001" customHeight="1" thickBot="1" x14ac:dyDescent="0.35">
      <c r="A308" s="36" t="s">
        <v>125</v>
      </c>
      <c r="B308" s="18">
        <v>379.99</v>
      </c>
    </row>
    <row r="309" spans="1:2" ht="20.100000000000001" customHeight="1" thickBot="1" x14ac:dyDescent="0.35">
      <c r="A309" s="36" t="s">
        <v>117</v>
      </c>
      <c r="B309" s="18">
        <v>99.99</v>
      </c>
    </row>
    <row r="310" spans="1:2" ht="20.100000000000001" customHeight="1" thickBot="1" x14ac:dyDescent="0.35">
      <c r="A310" s="36" t="s">
        <v>112</v>
      </c>
      <c r="B310" s="18">
        <v>11.99</v>
      </c>
    </row>
    <row r="311" spans="1:2" ht="20.100000000000001" customHeight="1" thickBot="1" x14ac:dyDescent="0.35">
      <c r="A311" s="36" t="s">
        <v>114</v>
      </c>
      <c r="B311" s="18">
        <v>2.99</v>
      </c>
    </row>
    <row r="312" spans="1:2" ht="20.100000000000001" customHeight="1" thickBot="1" x14ac:dyDescent="0.35">
      <c r="A312" s="36" t="s">
        <v>111</v>
      </c>
      <c r="B312" s="18">
        <v>14.95</v>
      </c>
    </row>
    <row r="313" spans="1:2" ht="20.100000000000001" customHeight="1" thickBot="1" x14ac:dyDescent="0.35">
      <c r="A313" s="36" t="s">
        <v>113</v>
      </c>
      <c r="B313" s="18">
        <v>149.99</v>
      </c>
    </row>
    <row r="314" spans="1:2" ht="20.100000000000001" customHeight="1" thickBot="1" x14ac:dyDescent="0.35">
      <c r="A314" s="36" t="s">
        <v>113</v>
      </c>
      <c r="B314" s="18">
        <v>149.99</v>
      </c>
    </row>
    <row r="315" spans="1:2" ht="20.100000000000001" customHeight="1" thickBot="1" x14ac:dyDescent="0.35">
      <c r="A315" s="36" t="s">
        <v>118</v>
      </c>
      <c r="B315" s="18">
        <v>150</v>
      </c>
    </row>
    <row r="316" spans="1:2" ht="20.100000000000001" customHeight="1" thickBot="1" x14ac:dyDescent="0.35">
      <c r="A316" s="36" t="s">
        <v>114</v>
      </c>
      <c r="B316" s="18">
        <v>2.99</v>
      </c>
    </row>
    <row r="317" spans="1:2" ht="20.100000000000001" customHeight="1" thickBot="1" x14ac:dyDescent="0.35">
      <c r="A317" s="36" t="s">
        <v>122</v>
      </c>
      <c r="B317" s="18">
        <v>3.84</v>
      </c>
    </row>
    <row r="318" spans="1:2" ht="20.100000000000001" customHeight="1" thickBot="1" x14ac:dyDescent="0.35">
      <c r="A318" s="36" t="s">
        <v>111</v>
      </c>
      <c r="B318" s="18">
        <v>14.95</v>
      </c>
    </row>
    <row r="319" spans="1:2" ht="20.100000000000001" customHeight="1" thickBot="1" x14ac:dyDescent="0.35">
      <c r="A319" s="36" t="s">
        <v>111</v>
      </c>
      <c r="B319" s="18">
        <v>14.95</v>
      </c>
    </row>
    <row r="320" spans="1:2" ht="20.100000000000001" customHeight="1" thickBot="1" x14ac:dyDescent="0.35">
      <c r="A320" s="36" t="s">
        <v>123</v>
      </c>
      <c r="B320" s="18">
        <v>600</v>
      </c>
    </row>
    <row r="321" spans="1:2" ht="20.100000000000001" customHeight="1" thickBot="1" x14ac:dyDescent="0.35">
      <c r="A321" s="36" t="s">
        <v>124</v>
      </c>
      <c r="B321" s="18">
        <v>109.99</v>
      </c>
    </row>
    <row r="322" spans="1:2" ht="20.100000000000001" customHeight="1" thickBot="1" x14ac:dyDescent="0.35">
      <c r="A322" s="36" t="s">
        <v>116</v>
      </c>
      <c r="B322" s="18">
        <v>11.95</v>
      </c>
    </row>
    <row r="323" spans="1:2" ht="20.100000000000001" customHeight="1" thickBot="1" x14ac:dyDescent="0.35">
      <c r="A323" s="36" t="s">
        <v>111</v>
      </c>
      <c r="B323" s="18">
        <v>14.95</v>
      </c>
    </row>
    <row r="324" spans="1:2" ht="20.100000000000001" customHeight="1" thickBot="1" x14ac:dyDescent="0.35">
      <c r="A324" s="36" t="s">
        <v>113</v>
      </c>
      <c r="B324" s="18">
        <v>149.99</v>
      </c>
    </row>
    <row r="325" spans="1:2" ht="20.100000000000001" customHeight="1" thickBot="1" x14ac:dyDescent="0.35">
      <c r="A325" s="36" t="s">
        <v>118</v>
      </c>
      <c r="B325" s="18">
        <v>150</v>
      </c>
    </row>
    <row r="326" spans="1:2" ht="20.100000000000001" customHeight="1" thickBot="1" x14ac:dyDescent="0.35">
      <c r="A326" s="36" t="s">
        <v>110</v>
      </c>
      <c r="B326" s="18">
        <v>700</v>
      </c>
    </row>
    <row r="327" spans="1:2" ht="20.100000000000001" customHeight="1" thickBot="1" x14ac:dyDescent="0.35">
      <c r="A327" s="36" t="s">
        <v>112</v>
      </c>
      <c r="B327" s="18">
        <v>11.99</v>
      </c>
    </row>
    <row r="328" spans="1:2" ht="20.100000000000001" customHeight="1" thickBot="1" x14ac:dyDescent="0.35">
      <c r="A328" s="36" t="s">
        <v>111</v>
      </c>
      <c r="B328" s="18">
        <v>14.95</v>
      </c>
    </row>
    <row r="329" spans="1:2" ht="20.100000000000001" customHeight="1" thickBot="1" x14ac:dyDescent="0.35">
      <c r="A329" s="36" t="s">
        <v>117</v>
      </c>
      <c r="B329" s="18">
        <v>99.99</v>
      </c>
    </row>
    <row r="330" spans="1:2" ht="20.100000000000001" customHeight="1" thickBot="1" x14ac:dyDescent="0.35">
      <c r="A330" s="36" t="s">
        <v>117</v>
      </c>
      <c r="B330" s="18">
        <v>99.99</v>
      </c>
    </row>
    <row r="331" spans="1:2" ht="20.100000000000001" customHeight="1" thickBot="1" x14ac:dyDescent="0.35">
      <c r="A331" s="36" t="s">
        <v>116</v>
      </c>
      <c r="B331" s="18">
        <v>11.95</v>
      </c>
    </row>
    <row r="332" spans="1:2" ht="20.100000000000001" customHeight="1" thickBot="1" x14ac:dyDescent="0.35">
      <c r="A332" s="36" t="s">
        <v>114</v>
      </c>
      <c r="B332" s="18">
        <v>2.99</v>
      </c>
    </row>
    <row r="333" spans="1:2" ht="20.100000000000001" customHeight="1" thickBot="1" x14ac:dyDescent="0.35">
      <c r="A333" s="36" t="s">
        <v>116</v>
      </c>
      <c r="B333" s="18">
        <v>11.95</v>
      </c>
    </row>
    <row r="334" spans="1:2" ht="20.100000000000001" customHeight="1" thickBot="1" x14ac:dyDescent="0.35">
      <c r="A334" s="36" t="s">
        <v>111</v>
      </c>
      <c r="B334" s="18">
        <v>14.95</v>
      </c>
    </row>
    <row r="335" spans="1:2" ht="20.100000000000001" customHeight="1" thickBot="1" x14ac:dyDescent="0.35">
      <c r="A335" s="36" t="s">
        <v>115</v>
      </c>
      <c r="B335" s="18">
        <v>389.99</v>
      </c>
    </row>
    <row r="336" spans="1:2" ht="20.100000000000001" customHeight="1" thickBot="1" x14ac:dyDescent="0.35">
      <c r="A336" s="36" t="s">
        <v>112</v>
      </c>
      <c r="B336" s="18">
        <v>11.99</v>
      </c>
    </row>
    <row r="337" spans="1:2" ht="20.100000000000001" customHeight="1" thickBot="1" x14ac:dyDescent="0.35">
      <c r="A337" s="36" t="s">
        <v>125</v>
      </c>
      <c r="B337" s="18">
        <v>379.99</v>
      </c>
    </row>
    <row r="338" spans="1:2" ht="20.100000000000001" customHeight="1" thickBot="1" x14ac:dyDescent="0.35">
      <c r="A338" s="36" t="s">
        <v>112</v>
      </c>
      <c r="B338" s="18">
        <v>11.99</v>
      </c>
    </row>
    <row r="339" spans="1:2" ht="20.100000000000001" customHeight="1" thickBot="1" x14ac:dyDescent="0.35">
      <c r="A339" s="36" t="s">
        <v>117</v>
      </c>
      <c r="B339" s="18">
        <v>99.99</v>
      </c>
    </row>
    <row r="340" spans="1:2" ht="20.100000000000001" customHeight="1" thickBot="1" x14ac:dyDescent="0.35">
      <c r="A340" s="36" t="s">
        <v>116</v>
      </c>
      <c r="B340" s="18">
        <v>11.95</v>
      </c>
    </row>
    <row r="341" spans="1:2" ht="20.100000000000001" customHeight="1" thickBot="1" x14ac:dyDescent="0.35">
      <c r="A341" s="36" t="s">
        <v>118</v>
      </c>
      <c r="B341" s="18">
        <v>150</v>
      </c>
    </row>
    <row r="342" spans="1:2" ht="20.100000000000001" customHeight="1" thickBot="1" x14ac:dyDescent="0.35">
      <c r="A342" s="36" t="s">
        <v>112</v>
      </c>
      <c r="B342" s="18">
        <v>11.99</v>
      </c>
    </row>
    <row r="343" spans="1:2" ht="20.100000000000001" customHeight="1" thickBot="1" x14ac:dyDescent="0.35">
      <c r="A343" s="36" t="s">
        <v>113</v>
      </c>
      <c r="B343" s="18">
        <v>149.99</v>
      </c>
    </row>
    <row r="344" spans="1:2" ht="20.100000000000001" customHeight="1" thickBot="1" x14ac:dyDescent="0.35">
      <c r="A344" s="36" t="s">
        <v>111</v>
      </c>
      <c r="B344" s="18">
        <v>14.95</v>
      </c>
    </row>
    <row r="345" spans="1:2" ht="20.100000000000001" customHeight="1" thickBot="1" x14ac:dyDescent="0.35">
      <c r="A345" s="36" t="s">
        <v>126</v>
      </c>
      <c r="B345" s="18">
        <v>999.99</v>
      </c>
    </row>
    <row r="346" spans="1:2" ht="20.100000000000001" customHeight="1" thickBot="1" x14ac:dyDescent="0.35">
      <c r="A346" s="36" t="s">
        <v>119</v>
      </c>
      <c r="B346" s="18">
        <v>1700</v>
      </c>
    </row>
    <row r="347" spans="1:2" ht="20.100000000000001" customHeight="1" thickBot="1" x14ac:dyDescent="0.35">
      <c r="A347" s="36" t="s">
        <v>116</v>
      </c>
      <c r="B347" s="18">
        <v>11.95</v>
      </c>
    </row>
    <row r="348" spans="1:2" ht="20.100000000000001" customHeight="1" thickBot="1" x14ac:dyDescent="0.35">
      <c r="A348" s="36" t="s">
        <v>111</v>
      </c>
      <c r="B348" s="18">
        <v>14.95</v>
      </c>
    </row>
    <row r="349" spans="1:2" ht="20.100000000000001" customHeight="1" thickBot="1" x14ac:dyDescent="0.35">
      <c r="A349" s="36" t="s">
        <v>114</v>
      </c>
      <c r="B349" s="18">
        <v>2.99</v>
      </c>
    </row>
    <row r="350" spans="1:2" ht="20.100000000000001" customHeight="1" thickBot="1" x14ac:dyDescent="0.35">
      <c r="A350" s="36" t="s">
        <v>111</v>
      </c>
      <c r="B350" s="18">
        <v>14.95</v>
      </c>
    </row>
    <row r="351" spans="1:2" ht="20.100000000000001" customHeight="1" thickBot="1" x14ac:dyDescent="0.35">
      <c r="A351" s="36" t="s">
        <v>111</v>
      </c>
      <c r="B351" s="18">
        <v>14.95</v>
      </c>
    </row>
    <row r="352" spans="1:2" ht="20.100000000000001" customHeight="1" thickBot="1" x14ac:dyDescent="0.35">
      <c r="A352" s="36" t="s">
        <v>116</v>
      </c>
      <c r="B352" s="18">
        <v>11.95</v>
      </c>
    </row>
    <row r="353" spans="1:2" ht="20.100000000000001" customHeight="1" thickBot="1" x14ac:dyDescent="0.35">
      <c r="A353" s="36" t="s">
        <v>118</v>
      </c>
      <c r="B353" s="18">
        <v>150</v>
      </c>
    </row>
    <row r="354" spans="1:2" ht="20.100000000000001" customHeight="1" thickBot="1" x14ac:dyDescent="0.35">
      <c r="A354" s="36" t="s">
        <v>120</v>
      </c>
      <c r="B354" s="18">
        <v>300</v>
      </c>
    </row>
    <row r="355" spans="1:2" ht="20.100000000000001" customHeight="1" thickBot="1" x14ac:dyDescent="0.35">
      <c r="A355" s="36" t="s">
        <v>117</v>
      </c>
      <c r="B355" s="18">
        <v>99.99</v>
      </c>
    </row>
    <row r="356" spans="1:2" ht="20.100000000000001" customHeight="1" thickBot="1" x14ac:dyDescent="0.35">
      <c r="A356" s="36" t="s">
        <v>111</v>
      </c>
      <c r="B356" s="18">
        <v>14.95</v>
      </c>
    </row>
    <row r="357" spans="1:2" ht="20.100000000000001" customHeight="1" thickBot="1" x14ac:dyDescent="0.35">
      <c r="A357" s="36" t="s">
        <v>122</v>
      </c>
      <c r="B357" s="18">
        <v>3.84</v>
      </c>
    </row>
    <row r="358" spans="1:2" ht="20.100000000000001" customHeight="1" thickBot="1" x14ac:dyDescent="0.35">
      <c r="A358" s="36" t="s">
        <v>118</v>
      </c>
      <c r="B358" s="18">
        <v>150</v>
      </c>
    </row>
    <row r="359" spans="1:2" ht="20.100000000000001" customHeight="1" thickBot="1" x14ac:dyDescent="0.35">
      <c r="A359" s="36" t="s">
        <v>110</v>
      </c>
      <c r="B359" s="18">
        <v>700</v>
      </c>
    </row>
    <row r="360" spans="1:2" ht="20.100000000000001" customHeight="1" thickBot="1" x14ac:dyDescent="0.35">
      <c r="A360" s="36" t="s">
        <v>116</v>
      </c>
      <c r="B360" s="18">
        <v>11.95</v>
      </c>
    </row>
    <row r="361" spans="1:2" ht="20.100000000000001" customHeight="1" thickBot="1" x14ac:dyDescent="0.35">
      <c r="A361" s="36" t="s">
        <v>119</v>
      </c>
      <c r="B361" s="18">
        <v>1700</v>
      </c>
    </row>
    <row r="362" spans="1:2" ht="20.100000000000001" customHeight="1" thickBot="1" x14ac:dyDescent="0.35">
      <c r="A362" s="36" t="s">
        <v>122</v>
      </c>
      <c r="B362" s="18">
        <v>3.84</v>
      </c>
    </row>
    <row r="363" spans="1:2" ht="20.100000000000001" customHeight="1" thickBot="1" x14ac:dyDescent="0.35">
      <c r="A363" s="36" t="s">
        <v>111</v>
      </c>
      <c r="B363" s="18">
        <v>14.95</v>
      </c>
    </row>
    <row r="364" spans="1:2" ht="20.100000000000001" customHeight="1" thickBot="1" x14ac:dyDescent="0.35">
      <c r="A364" s="36" t="s">
        <v>118</v>
      </c>
      <c r="B364" s="18">
        <v>150</v>
      </c>
    </row>
    <row r="365" spans="1:2" ht="20.100000000000001" customHeight="1" thickBot="1" x14ac:dyDescent="0.35">
      <c r="A365" s="36" t="s">
        <v>116</v>
      </c>
      <c r="B365" s="18">
        <v>11.95</v>
      </c>
    </row>
    <row r="366" spans="1:2" ht="20.100000000000001" customHeight="1" thickBot="1" x14ac:dyDescent="0.35">
      <c r="A366" s="36" t="s">
        <v>122</v>
      </c>
      <c r="B366" s="18">
        <v>3.84</v>
      </c>
    </row>
    <row r="367" spans="1:2" ht="20.100000000000001" customHeight="1" thickBot="1" x14ac:dyDescent="0.35">
      <c r="A367" s="36" t="s">
        <v>112</v>
      </c>
      <c r="B367" s="18">
        <v>11.99</v>
      </c>
    </row>
    <row r="368" spans="1:2" ht="20.100000000000001" customHeight="1" thickBot="1" x14ac:dyDescent="0.35">
      <c r="A368" s="36" t="s">
        <v>117</v>
      </c>
      <c r="B368" s="18">
        <v>99.99</v>
      </c>
    </row>
    <row r="369" spans="1:2" ht="20.100000000000001" customHeight="1" thickBot="1" x14ac:dyDescent="0.35">
      <c r="A369" s="36" t="s">
        <v>126</v>
      </c>
      <c r="B369" s="18">
        <v>999.99</v>
      </c>
    </row>
    <row r="370" spans="1:2" ht="20.100000000000001" customHeight="1" thickBot="1" x14ac:dyDescent="0.35">
      <c r="A370" s="36" t="s">
        <v>122</v>
      </c>
      <c r="B370" s="18">
        <v>3.84</v>
      </c>
    </row>
    <row r="371" spans="1:2" ht="20.100000000000001" customHeight="1" thickBot="1" x14ac:dyDescent="0.35">
      <c r="A371" s="36" t="s">
        <v>117</v>
      </c>
      <c r="B371" s="18">
        <v>99.99</v>
      </c>
    </row>
    <row r="372" spans="1:2" ht="20.100000000000001" customHeight="1" thickBot="1" x14ac:dyDescent="0.35">
      <c r="A372" s="36" t="s">
        <v>114</v>
      </c>
      <c r="B372" s="18">
        <v>2.99</v>
      </c>
    </row>
    <row r="373" spans="1:2" ht="20.100000000000001" customHeight="1" thickBot="1" x14ac:dyDescent="0.35">
      <c r="A373" s="36" t="s">
        <v>126</v>
      </c>
      <c r="B373" s="18">
        <v>999.99</v>
      </c>
    </row>
    <row r="374" spans="1:2" ht="20.100000000000001" customHeight="1" thickBot="1" x14ac:dyDescent="0.35">
      <c r="A374" s="36" t="s">
        <v>111</v>
      </c>
      <c r="B374" s="18">
        <v>14.95</v>
      </c>
    </row>
    <row r="375" spans="1:2" ht="20.100000000000001" customHeight="1" thickBot="1" x14ac:dyDescent="0.35">
      <c r="A375" s="36" t="s">
        <v>114</v>
      </c>
      <c r="B375" s="18">
        <v>2.99</v>
      </c>
    </row>
    <row r="376" spans="1:2" ht="20.100000000000001" customHeight="1" thickBot="1" x14ac:dyDescent="0.35">
      <c r="A376" s="36" t="s">
        <v>124</v>
      </c>
      <c r="B376" s="18">
        <v>109.99</v>
      </c>
    </row>
    <row r="377" spans="1:2" ht="20.100000000000001" customHeight="1" thickBot="1" x14ac:dyDescent="0.35">
      <c r="A377" s="36" t="s">
        <v>114</v>
      </c>
      <c r="B377" s="18">
        <v>2.99</v>
      </c>
    </row>
    <row r="378" spans="1:2" ht="20.100000000000001" customHeight="1" thickBot="1" x14ac:dyDescent="0.35">
      <c r="A378" s="36" t="s">
        <v>114</v>
      </c>
      <c r="B378" s="18">
        <v>2.99</v>
      </c>
    </row>
    <row r="379" spans="1:2" ht="20.100000000000001" customHeight="1" thickBot="1" x14ac:dyDescent="0.35">
      <c r="A379" s="36" t="s">
        <v>111</v>
      </c>
      <c r="B379" s="18">
        <v>14.95</v>
      </c>
    </row>
    <row r="380" spans="1:2" ht="20.100000000000001" customHeight="1" thickBot="1" x14ac:dyDescent="0.35">
      <c r="A380" s="36" t="s">
        <v>113</v>
      </c>
      <c r="B380" s="18">
        <v>149.99</v>
      </c>
    </row>
    <row r="381" spans="1:2" ht="20.100000000000001" customHeight="1" thickBot="1" x14ac:dyDescent="0.35">
      <c r="A381" s="36" t="s">
        <v>112</v>
      </c>
      <c r="B381" s="18">
        <v>11.99</v>
      </c>
    </row>
    <row r="382" spans="1:2" ht="20.100000000000001" customHeight="1" thickBot="1" x14ac:dyDescent="0.35">
      <c r="A382" s="36" t="s">
        <v>113</v>
      </c>
      <c r="B382" s="18">
        <v>149.99</v>
      </c>
    </row>
    <row r="383" spans="1:2" ht="20.100000000000001" customHeight="1" thickBot="1" x14ac:dyDescent="0.35">
      <c r="A383" s="36" t="s">
        <v>112</v>
      </c>
      <c r="B383" s="18">
        <v>11.99</v>
      </c>
    </row>
    <row r="384" spans="1:2" ht="20.100000000000001" customHeight="1" thickBot="1" x14ac:dyDescent="0.35">
      <c r="A384" s="36" t="s">
        <v>111</v>
      </c>
      <c r="B384" s="18">
        <v>14.95</v>
      </c>
    </row>
    <row r="385" spans="1:2" ht="20.100000000000001" customHeight="1" thickBot="1" x14ac:dyDescent="0.35">
      <c r="A385" s="36" t="s">
        <v>122</v>
      </c>
      <c r="B385" s="18">
        <v>3.84</v>
      </c>
    </row>
    <row r="386" spans="1:2" ht="20.100000000000001" customHeight="1" thickBot="1" x14ac:dyDescent="0.35">
      <c r="A386" s="36" t="s">
        <v>111</v>
      </c>
      <c r="B386" s="18">
        <v>14.95</v>
      </c>
    </row>
    <row r="387" spans="1:2" ht="20.100000000000001" customHeight="1" thickBot="1" x14ac:dyDescent="0.35">
      <c r="A387" s="36" t="s">
        <v>118</v>
      </c>
      <c r="B387" s="18">
        <v>150</v>
      </c>
    </row>
    <row r="388" spans="1:2" ht="20.100000000000001" customHeight="1" thickBot="1" x14ac:dyDescent="0.35">
      <c r="A388" s="36" t="s">
        <v>111</v>
      </c>
      <c r="B388" s="18">
        <v>14.95</v>
      </c>
    </row>
    <row r="389" spans="1:2" ht="20.100000000000001" customHeight="1" thickBot="1" x14ac:dyDescent="0.35">
      <c r="A389" s="36" t="s">
        <v>118</v>
      </c>
      <c r="B389" s="18">
        <v>150</v>
      </c>
    </row>
    <row r="390" spans="1:2" ht="20.100000000000001" customHeight="1" thickBot="1" x14ac:dyDescent="0.35">
      <c r="A390" s="36" t="s">
        <v>118</v>
      </c>
      <c r="B390" s="18">
        <v>150</v>
      </c>
    </row>
    <row r="391" spans="1:2" ht="20.100000000000001" customHeight="1" thickBot="1" x14ac:dyDescent="0.35">
      <c r="A391" s="36" t="s">
        <v>114</v>
      </c>
      <c r="B391" s="18">
        <v>2.99</v>
      </c>
    </row>
    <row r="392" spans="1:2" ht="20.100000000000001" customHeight="1" thickBot="1" x14ac:dyDescent="0.35">
      <c r="A392" s="36" t="s">
        <v>122</v>
      </c>
      <c r="B392" s="18">
        <v>3.84</v>
      </c>
    </row>
    <row r="393" spans="1:2" ht="20.100000000000001" customHeight="1" thickBot="1" x14ac:dyDescent="0.35">
      <c r="A393" s="36" t="s">
        <v>112</v>
      </c>
      <c r="B393" s="18">
        <v>11.99</v>
      </c>
    </row>
    <row r="394" spans="1:2" ht="20.100000000000001" customHeight="1" thickBot="1" x14ac:dyDescent="0.35">
      <c r="A394" s="36" t="s">
        <v>122</v>
      </c>
      <c r="B394" s="18">
        <v>3.84</v>
      </c>
    </row>
    <row r="395" spans="1:2" ht="20.100000000000001" customHeight="1" thickBot="1" x14ac:dyDescent="0.35">
      <c r="A395" s="36" t="s">
        <v>112</v>
      </c>
      <c r="B395" s="18">
        <v>11.99</v>
      </c>
    </row>
    <row r="396" spans="1:2" ht="20.100000000000001" customHeight="1" thickBot="1" x14ac:dyDescent="0.35">
      <c r="A396" s="36" t="s">
        <v>117</v>
      </c>
      <c r="B396" s="18">
        <v>99.99</v>
      </c>
    </row>
    <row r="397" spans="1:2" ht="20.100000000000001" customHeight="1" thickBot="1" x14ac:dyDescent="0.35">
      <c r="A397" s="36" t="s">
        <v>113</v>
      </c>
      <c r="B397" s="18">
        <v>149.99</v>
      </c>
    </row>
    <row r="398" spans="1:2" ht="20.100000000000001" customHeight="1" thickBot="1" x14ac:dyDescent="0.35">
      <c r="A398" s="36" t="s">
        <v>114</v>
      </c>
      <c r="B398" s="18">
        <v>2.99</v>
      </c>
    </row>
    <row r="399" spans="1:2" ht="20.100000000000001" customHeight="1" thickBot="1" x14ac:dyDescent="0.35">
      <c r="A399" s="36" t="s">
        <v>114</v>
      </c>
      <c r="B399" s="18">
        <v>2.99</v>
      </c>
    </row>
    <row r="400" spans="1:2" ht="20.100000000000001" customHeight="1" thickBot="1" x14ac:dyDescent="0.35">
      <c r="A400" s="36" t="s">
        <v>116</v>
      </c>
      <c r="B400" s="18">
        <v>11.95</v>
      </c>
    </row>
    <row r="401" spans="1:2" ht="20.100000000000001" customHeight="1" thickBot="1" x14ac:dyDescent="0.35">
      <c r="A401" s="36" t="s">
        <v>123</v>
      </c>
      <c r="B401" s="18">
        <v>600</v>
      </c>
    </row>
    <row r="402" spans="1:2" ht="20.100000000000001" customHeight="1" thickBot="1" x14ac:dyDescent="0.35">
      <c r="A402" s="36" t="s">
        <v>116</v>
      </c>
      <c r="B402" s="18">
        <v>11.95</v>
      </c>
    </row>
    <row r="403" spans="1:2" ht="20.100000000000001" customHeight="1" thickBot="1" x14ac:dyDescent="0.35">
      <c r="A403" s="36" t="s">
        <v>114</v>
      </c>
      <c r="B403" s="18">
        <v>2.99</v>
      </c>
    </row>
    <row r="404" spans="1:2" ht="20.100000000000001" customHeight="1" thickBot="1" x14ac:dyDescent="0.35">
      <c r="A404" s="36" t="s">
        <v>118</v>
      </c>
      <c r="B404" s="18">
        <v>150</v>
      </c>
    </row>
    <row r="405" spans="1:2" ht="20.100000000000001" customHeight="1" thickBot="1" x14ac:dyDescent="0.35">
      <c r="A405" s="36" t="s">
        <v>120</v>
      </c>
      <c r="B405" s="18">
        <v>300</v>
      </c>
    </row>
    <row r="406" spans="1:2" ht="20.100000000000001" customHeight="1" thickBot="1" x14ac:dyDescent="0.35">
      <c r="A406" s="36" t="s">
        <v>122</v>
      </c>
      <c r="B406" s="18">
        <v>3.84</v>
      </c>
    </row>
    <row r="407" spans="1:2" ht="20.100000000000001" customHeight="1" thickBot="1" x14ac:dyDescent="0.35">
      <c r="A407" s="36" t="s">
        <v>113</v>
      </c>
      <c r="B407" s="18">
        <v>149.99</v>
      </c>
    </row>
    <row r="408" spans="1:2" ht="20.100000000000001" customHeight="1" thickBot="1" x14ac:dyDescent="0.35">
      <c r="A408" s="36" t="s">
        <v>116</v>
      </c>
      <c r="B408" s="18">
        <v>11.95</v>
      </c>
    </row>
    <row r="409" spans="1:2" ht="20.100000000000001" customHeight="1" thickBot="1" x14ac:dyDescent="0.35">
      <c r="A409" s="36" t="s">
        <v>111</v>
      </c>
      <c r="B409" s="18">
        <v>14.95</v>
      </c>
    </row>
    <row r="410" spans="1:2" ht="20.100000000000001" customHeight="1" thickBot="1" x14ac:dyDescent="0.35">
      <c r="A410" s="36" t="s">
        <v>110</v>
      </c>
      <c r="B410" s="18">
        <v>700</v>
      </c>
    </row>
    <row r="411" spans="1:2" ht="20.100000000000001" customHeight="1" thickBot="1" x14ac:dyDescent="0.35">
      <c r="A411" s="36" t="s">
        <v>122</v>
      </c>
      <c r="B411" s="18">
        <v>3.84</v>
      </c>
    </row>
    <row r="412" spans="1:2" ht="20.100000000000001" customHeight="1" thickBot="1" x14ac:dyDescent="0.35">
      <c r="A412" s="36" t="s">
        <v>114</v>
      </c>
      <c r="B412" s="18">
        <v>2.99</v>
      </c>
    </row>
    <row r="413" spans="1:2" ht="20.100000000000001" customHeight="1" thickBot="1" x14ac:dyDescent="0.35">
      <c r="A413" s="36" t="s">
        <v>112</v>
      </c>
      <c r="B413" s="18">
        <v>11.99</v>
      </c>
    </row>
    <row r="414" spans="1:2" ht="20.100000000000001" customHeight="1" thickBot="1" x14ac:dyDescent="0.35">
      <c r="A414" s="36" t="s">
        <v>118</v>
      </c>
      <c r="B414" s="18">
        <v>150</v>
      </c>
    </row>
    <row r="415" spans="1:2" ht="20.100000000000001" customHeight="1" thickBot="1" x14ac:dyDescent="0.35">
      <c r="A415" s="36" t="s">
        <v>122</v>
      </c>
      <c r="B415" s="18">
        <v>3.84</v>
      </c>
    </row>
    <row r="416" spans="1:2" ht="20.100000000000001" customHeight="1" thickBot="1" x14ac:dyDescent="0.35">
      <c r="A416" s="36" t="s">
        <v>114</v>
      </c>
      <c r="B416" s="18">
        <v>2.99</v>
      </c>
    </row>
    <row r="417" spans="1:2" ht="20.100000000000001" customHeight="1" thickBot="1" x14ac:dyDescent="0.35">
      <c r="A417" s="36" t="s">
        <v>126</v>
      </c>
      <c r="B417" s="18">
        <v>999.99</v>
      </c>
    </row>
    <row r="418" spans="1:2" ht="20.100000000000001" customHeight="1" thickBot="1" x14ac:dyDescent="0.35">
      <c r="A418" s="36" t="s">
        <v>119</v>
      </c>
      <c r="B418" s="18">
        <v>1700</v>
      </c>
    </row>
    <row r="419" spans="1:2" ht="20.100000000000001" customHeight="1" thickBot="1" x14ac:dyDescent="0.35">
      <c r="A419" s="36" t="s">
        <v>124</v>
      </c>
      <c r="B419" s="18">
        <v>109.99</v>
      </c>
    </row>
    <row r="420" spans="1:2" ht="20.100000000000001" customHeight="1" thickBot="1" x14ac:dyDescent="0.35">
      <c r="A420" s="36" t="s">
        <v>114</v>
      </c>
      <c r="B420" s="18">
        <v>2.99</v>
      </c>
    </row>
    <row r="421" spans="1:2" ht="20.100000000000001" customHeight="1" thickBot="1" x14ac:dyDescent="0.35">
      <c r="A421" s="36" t="s">
        <v>117</v>
      </c>
      <c r="B421" s="18">
        <v>99.99</v>
      </c>
    </row>
    <row r="422" spans="1:2" ht="20.100000000000001" customHeight="1" thickBot="1" x14ac:dyDescent="0.35">
      <c r="A422" s="36" t="s">
        <v>114</v>
      </c>
      <c r="B422" s="18">
        <v>2.99</v>
      </c>
    </row>
    <row r="423" spans="1:2" ht="20.100000000000001" customHeight="1" thickBot="1" x14ac:dyDescent="0.35">
      <c r="A423" s="36" t="s">
        <v>111</v>
      </c>
      <c r="B423" s="18">
        <v>14.95</v>
      </c>
    </row>
    <row r="424" spans="1:2" ht="20.100000000000001" customHeight="1" thickBot="1" x14ac:dyDescent="0.35">
      <c r="A424" s="36" t="s">
        <v>112</v>
      </c>
      <c r="B424" s="18">
        <v>11.99</v>
      </c>
    </row>
    <row r="425" spans="1:2" ht="20.100000000000001" customHeight="1" thickBot="1" x14ac:dyDescent="0.35">
      <c r="A425" s="36" t="s">
        <v>111</v>
      </c>
      <c r="B425" s="18">
        <v>14.95</v>
      </c>
    </row>
    <row r="426" spans="1:2" ht="20.100000000000001" customHeight="1" thickBot="1" x14ac:dyDescent="0.35">
      <c r="A426" s="36" t="s">
        <v>124</v>
      </c>
      <c r="B426" s="18">
        <v>109.99</v>
      </c>
    </row>
    <row r="427" spans="1:2" ht="20.100000000000001" customHeight="1" thickBot="1" x14ac:dyDescent="0.35">
      <c r="A427" s="36" t="s">
        <v>123</v>
      </c>
      <c r="B427" s="18">
        <v>600</v>
      </c>
    </row>
    <row r="428" spans="1:2" ht="20.100000000000001" customHeight="1" thickBot="1" x14ac:dyDescent="0.35">
      <c r="A428" s="36" t="s">
        <v>111</v>
      </c>
      <c r="B428" s="18">
        <v>14.95</v>
      </c>
    </row>
    <row r="429" spans="1:2" ht="20.100000000000001" customHeight="1" thickBot="1" x14ac:dyDescent="0.35">
      <c r="A429" s="36" t="s">
        <v>114</v>
      </c>
      <c r="B429" s="18">
        <v>2.99</v>
      </c>
    </row>
    <row r="430" spans="1:2" ht="20.100000000000001" customHeight="1" thickBot="1" x14ac:dyDescent="0.35">
      <c r="A430" s="36" t="s">
        <v>122</v>
      </c>
      <c r="B430" s="18">
        <v>3.84</v>
      </c>
    </row>
    <row r="431" spans="1:2" ht="20.100000000000001" customHeight="1" thickBot="1" x14ac:dyDescent="0.35">
      <c r="A431" s="36" t="s">
        <v>111</v>
      </c>
      <c r="B431" s="18">
        <v>14.95</v>
      </c>
    </row>
    <row r="432" spans="1:2" ht="20.100000000000001" customHeight="1" thickBot="1" x14ac:dyDescent="0.35">
      <c r="A432" s="36" t="s">
        <v>122</v>
      </c>
      <c r="B432" s="18">
        <v>3.84</v>
      </c>
    </row>
    <row r="433" spans="1:2" ht="20.100000000000001" customHeight="1" thickBot="1" x14ac:dyDescent="0.35">
      <c r="A433" s="36" t="s">
        <v>122</v>
      </c>
      <c r="B433" s="18">
        <v>3.84</v>
      </c>
    </row>
    <row r="434" spans="1:2" ht="20.100000000000001" customHeight="1" thickBot="1" x14ac:dyDescent="0.35">
      <c r="A434" s="36" t="s">
        <v>112</v>
      </c>
      <c r="B434" s="18">
        <v>11.99</v>
      </c>
    </row>
    <row r="435" spans="1:2" ht="20.100000000000001" customHeight="1" thickBot="1" x14ac:dyDescent="0.35">
      <c r="A435" s="36" t="s">
        <v>118</v>
      </c>
      <c r="B435" s="18">
        <v>150</v>
      </c>
    </row>
    <row r="436" spans="1:2" ht="20.100000000000001" customHeight="1" thickBot="1" x14ac:dyDescent="0.35">
      <c r="A436" s="36" t="s">
        <v>114</v>
      </c>
      <c r="B436" s="18">
        <v>2.99</v>
      </c>
    </row>
    <row r="437" spans="1:2" ht="20.100000000000001" customHeight="1" thickBot="1" x14ac:dyDescent="0.35">
      <c r="A437" s="36" t="s">
        <v>122</v>
      </c>
      <c r="B437" s="18">
        <v>3.84</v>
      </c>
    </row>
    <row r="438" spans="1:2" ht="20.100000000000001" customHeight="1" thickBot="1" x14ac:dyDescent="0.35">
      <c r="A438" s="36" t="s">
        <v>119</v>
      </c>
      <c r="B438" s="18">
        <v>1700</v>
      </c>
    </row>
    <row r="439" spans="1:2" ht="20.100000000000001" customHeight="1" thickBot="1" x14ac:dyDescent="0.35">
      <c r="A439" s="36" t="s">
        <v>116</v>
      </c>
      <c r="B439" s="18">
        <v>11.95</v>
      </c>
    </row>
    <row r="440" spans="1:2" ht="20.100000000000001" customHeight="1" thickBot="1" x14ac:dyDescent="0.35">
      <c r="A440" s="36" t="s">
        <v>116</v>
      </c>
      <c r="B440" s="18">
        <v>11.95</v>
      </c>
    </row>
    <row r="441" spans="1:2" ht="20.100000000000001" customHeight="1" thickBot="1" x14ac:dyDescent="0.35">
      <c r="A441" s="36" t="s">
        <v>114</v>
      </c>
      <c r="B441" s="18">
        <v>2.99</v>
      </c>
    </row>
    <row r="442" spans="1:2" ht="20.100000000000001" customHeight="1" thickBot="1" x14ac:dyDescent="0.35">
      <c r="A442" s="36" t="s">
        <v>110</v>
      </c>
      <c r="B442" s="18">
        <v>700</v>
      </c>
    </row>
    <row r="443" spans="1:2" ht="20.100000000000001" customHeight="1" thickBot="1" x14ac:dyDescent="0.35">
      <c r="A443" s="36" t="s">
        <v>123</v>
      </c>
      <c r="B443" s="18">
        <v>600</v>
      </c>
    </row>
    <row r="444" spans="1:2" ht="20.100000000000001" customHeight="1" thickBot="1" x14ac:dyDescent="0.35">
      <c r="A444" s="36" t="s">
        <v>115</v>
      </c>
      <c r="B444" s="18">
        <v>389.99</v>
      </c>
    </row>
    <row r="445" spans="1:2" ht="20.100000000000001" customHeight="1" thickBot="1" x14ac:dyDescent="0.35">
      <c r="A445" s="36" t="s">
        <v>122</v>
      </c>
      <c r="B445" s="18">
        <v>3.84</v>
      </c>
    </row>
    <row r="446" spans="1:2" ht="20.100000000000001" customHeight="1" thickBot="1" x14ac:dyDescent="0.35">
      <c r="A446" s="36" t="s">
        <v>111</v>
      </c>
      <c r="B446" s="18">
        <v>14.95</v>
      </c>
    </row>
    <row r="447" spans="1:2" ht="20.100000000000001" customHeight="1" thickBot="1" x14ac:dyDescent="0.35">
      <c r="A447" s="36" t="s">
        <v>111</v>
      </c>
      <c r="B447" s="18">
        <v>14.95</v>
      </c>
    </row>
    <row r="448" spans="1:2" ht="20.100000000000001" customHeight="1" thickBot="1" x14ac:dyDescent="0.35">
      <c r="A448" s="36" t="s">
        <v>115</v>
      </c>
      <c r="B448" s="18">
        <v>389.99</v>
      </c>
    </row>
    <row r="449" spans="1:2" ht="20.100000000000001" customHeight="1" thickBot="1" x14ac:dyDescent="0.35">
      <c r="A449" s="36" t="s">
        <v>110</v>
      </c>
      <c r="B449" s="18">
        <v>700</v>
      </c>
    </row>
    <row r="450" spans="1:2" ht="20.100000000000001" customHeight="1" thickBot="1" x14ac:dyDescent="0.35">
      <c r="A450" s="36" t="s">
        <v>114</v>
      </c>
      <c r="B450" s="18">
        <v>2.99</v>
      </c>
    </row>
    <row r="451" spans="1:2" ht="20.100000000000001" customHeight="1" thickBot="1" x14ac:dyDescent="0.35">
      <c r="A451" s="36" t="s">
        <v>112</v>
      </c>
      <c r="B451" s="18">
        <v>11.99</v>
      </c>
    </row>
    <row r="452" spans="1:2" ht="20.100000000000001" customHeight="1" thickBot="1" x14ac:dyDescent="0.35">
      <c r="A452" s="36" t="s">
        <v>116</v>
      </c>
      <c r="B452" s="18">
        <v>11.95</v>
      </c>
    </row>
    <row r="453" spans="1:2" ht="20.100000000000001" customHeight="1" thickBot="1" x14ac:dyDescent="0.35">
      <c r="A453" s="36" t="s">
        <v>114</v>
      </c>
      <c r="B453" s="18">
        <v>2.99</v>
      </c>
    </row>
    <row r="454" spans="1:2" ht="20.100000000000001" customHeight="1" thickBot="1" x14ac:dyDescent="0.35">
      <c r="A454" s="36" t="s">
        <v>116</v>
      </c>
      <c r="B454" s="18">
        <v>11.95</v>
      </c>
    </row>
    <row r="455" spans="1:2" ht="20.100000000000001" customHeight="1" thickBot="1" x14ac:dyDescent="0.35">
      <c r="A455" s="36" t="s">
        <v>121</v>
      </c>
      <c r="B455" s="18">
        <v>400</v>
      </c>
    </row>
    <row r="456" spans="1:2" ht="20.100000000000001" customHeight="1" thickBot="1" x14ac:dyDescent="0.35">
      <c r="A456" s="36" t="s">
        <v>113</v>
      </c>
      <c r="B456" s="18">
        <v>149.99</v>
      </c>
    </row>
    <row r="457" spans="1:2" ht="20.100000000000001" customHeight="1" thickBot="1" x14ac:dyDescent="0.35">
      <c r="A457" s="36" t="s">
        <v>118</v>
      </c>
      <c r="B457" s="18">
        <v>150</v>
      </c>
    </row>
    <row r="458" spans="1:2" ht="20.100000000000001" customHeight="1" thickBot="1" x14ac:dyDescent="0.35">
      <c r="A458" s="36" t="s">
        <v>125</v>
      </c>
      <c r="B458" s="18">
        <v>379.99</v>
      </c>
    </row>
    <row r="459" spans="1:2" ht="20.100000000000001" customHeight="1" thickBot="1" x14ac:dyDescent="0.35">
      <c r="A459" s="36" t="s">
        <v>116</v>
      </c>
      <c r="B459" s="18">
        <v>11.95</v>
      </c>
    </row>
    <row r="460" spans="1:2" ht="20.100000000000001" customHeight="1" thickBot="1" x14ac:dyDescent="0.35">
      <c r="A460" s="36" t="s">
        <v>122</v>
      </c>
      <c r="B460" s="18">
        <v>3.84</v>
      </c>
    </row>
    <row r="461" spans="1:2" ht="20.100000000000001" customHeight="1" thickBot="1" x14ac:dyDescent="0.35">
      <c r="A461" s="36" t="s">
        <v>125</v>
      </c>
      <c r="B461" s="18">
        <v>379.99</v>
      </c>
    </row>
    <row r="462" spans="1:2" ht="20.100000000000001" customHeight="1" thickBot="1" x14ac:dyDescent="0.35">
      <c r="A462" s="36" t="s">
        <v>114</v>
      </c>
      <c r="B462" s="18">
        <v>2.99</v>
      </c>
    </row>
    <row r="463" spans="1:2" ht="20.100000000000001" customHeight="1" thickBot="1" x14ac:dyDescent="0.35">
      <c r="A463" s="36" t="s">
        <v>115</v>
      </c>
      <c r="B463" s="18">
        <v>389.99</v>
      </c>
    </row>
    <row r="464" spans="1:2" ht="20.100000000000001" customHeight="1" thickBot="1" x14ac:dyDescent="0.35">
      <c r="A464" s="36" t="s">
        <v>112</v>
      </c>
      <c r="B464" s="18">
        <v>11.99</v>
      </c>
    </row>
    <row r="465" spans="1:2" ht="20.100000000000001" customHeight="1" thickBot="1" x14ac:dyDescent="0.35">
      <c r="A465" s="36" t="s">
        <v>118</v>
      </c>
      <c r="B465" s="18">
        <v>150</v>
      </c>
    </row>
    <row r="466" spans="1:2" ht="20.100000000000001" customHeight="1" thickBot="1" x14ac:dyDescent="0.35">
      <c r="A466" s="36" t="s">
        <v>122</v>
      </c>
      <c r="B466" s="18">
        <v>3.84</v>
      </c>
    </row>
    <row r="467" spans="1:2" ht="20.100000000000001" customHeight="1" thickBot="1" x14ac:dyDescent="0.35">
      <c r="A467" s="36" t="s">
        <v>122</v>
      </c>
      <c r="B467" s="18">
        <v>3.84</v>
      </c>
    </row>
    <row r="468" spans="1:2" ht="20.100000000000001" customHeight="1" thickBot="1" x14ac:dyDescent="0.35">
      <c r="A468" s="36" t="s">
        <v>125</v>
      </c>
      <c r="B468" s="18">
        <v>379.99</v>
      </c>
    </row>
    <row r="469" spans="1:2" ht="20.100000000000001" customHeight="1" thickBot="1" x14ac:dyDescent="0.35">
      <c r="A469" s="36" t="s">
        <v>119</v>
      </c>
      <c r="B469" s="18">
        <v>1700</v>
      </c>
    </row>
    <row r="470" spans="1:2" ht="20.100000000000001" customHeight="1" thickBot="1" x14ac:dyDescent="0.35">
      <c r="A470" s="36" t="s">
        <v>125</v>
      </c>
      <c r="B470" s="18">
        <v>379.99</v>
      </c>
    </row>
    <row r="471" spans="1:2" ht="20.100000000000001" customHeight="1" thickBot="1" x14ac:dyDescent="0.35">
      <c r="A471" s="36" t="s">
        <v>117</v>
      </c>
      <c r="B471" s="18">
        <v>99.99</v>
      </c>
    </row>
    <row r="472" spans="1:2" ht="20.100000000000001" customHeight="1" thickBot="1" x14ac:dyDescent="0.35">
      <c r="A472" s="36" t="s">
        <v>112</v>
      </c>
      <c r="B472" s="18">
        <v>11.99</v>
      </c>
    </row>
    <row r="473" spans="1:2" ht="20.100000000000001" customHeight="1" thickBot="1" x14ac:dyDescent="0.35">
      <c r="A473" s="36" t="s">
        <v>112</v>
      </c>
      <c r="B473" s="18">
        <v>11.99</v>
      </c>
    </row>
    <row r="474" spans="1:2" ht="20.100000000000001" customHeight="1" thickBot="1" x14ac:dyDescent="0.35">
      <c r="A474" s="36" t="s">
        <v>114</v>
      </c>
      <c r="B474" s="18">
        <v>2.99</v>
      </c>
    </row>
    <row r="475" spans="1:2" ht="20.100000000000001" customHeight="1" thickBot="1" x14ac:dyDescent="0.35">
      <c r="A475" s="36" t="s">
        <v>121</v>
      </c>
      <c r="B475" s="18">
        <v>400</v>
      </c>
    </row>
    <row r="476" spans="1:2" ht="20.100000000000001" customHeight="1" thickBot="1" x14ac:dyDescent="0.35">
      <c r="A476" s="36" t="s">
        <v>111</v>
      </c>
      <c r="B476" s="18">
        <v>14.95</v>
      </c>
    </row>
    <row r="477" spans="1:2" ht="20.100000000000001" customHeight="1" thickBot="1" x14ac:dyDescent="0.35">
      <c r="A477" s="36" t="s">
        <v>115</v>
      </c>
      <c r="B477" s="18">
        <v>389.99</v>
      </c>
    </row>
    <row r="478" spans="1:2" ht="20.100000000000001" customHeight="1" thickBot="1" x14ac:dyDescent="0.35">
      <c r="A478" s="36" t="s">
        <v>116</v>
      </c>
      <c r="B478" s="18">
        <v>11.95</v>
      </c>
    </row>
    <row r="479" spans="1:2" ht="20.100000000000001" customHeight="1" thickBot="1" x14ac:dyDescent="0.35">
      <c r="A479" s="36" t="s">
        <v>118</v>
      </c>
      <c r="B479" s="18">
        <v>150</v>
      </c>
    </row>
    <row r="480" spans="1:2" ht="20.100000000000001" customHeight="1" thickBot="1" x14ac:dyDescent="0.35">
      <c r="A480" s="36" t="s">
        <v>119</v>
      </c>
      <c r="B480" s="18">
        <v>1700</v>
      </c>
    </row>
    <row r="481" spans="1:2" ht="20.100000000000001" customHeight="1" thickBot="1" x14ac:dyDescent="0.35">
      <c r="A481" s="36" t="s">
        <v>110</v>
      </c>
      <c r="B481" s="18">
        <v>700</v>
      </c>
    </row>
    <row r="482" spans="1:2" ht="20.100000000000001" customHeight="1" thickBot="1" x14ac:dyDescent="0.35">
      <c r="A482" s="36" t="s">
        <v>110</v>
      </c>
      <c r="B482" s="18">
        <v>700</v>
      </c>
    </row>
    <row r="483" spans="1:2" ht="20.100000000000001" customHeight="1" thickBot="1" x14ac:dyDescent="0.35">
      <c r="A483" s="36" t="s">
        <v>115</v>
      </c>
      <c r="B483" s="18">
        <v>389.99</v>
      </c>
    </row>
    <row r="484" spans="1:2" ht="20.100000000000001" customHeight="1" thickBot="1" x14ac:dyDescent="0.35">
      <c r="A484" s="36" t="s">
        <v>118</v>
      </c>
      <c r="B484" s="18">
        <v>150</v>
      </c>
    </row>
    <row r="485" spans="1:2" ht="20.100000000000001" customHeight="1" thickBot="1" x14ac:dyDescent="0.35">
      <c r="A485" s="36" t="s">
        <v>116</v>
      </c>
      <c r="B485" s="18">
        <v>11.95</v>
      </c>
    </row>
    <row r="486" spans="1:2" ht="20.100000000000001" customHeight="1" thickBot="1" x14ac:dyDescent="0.35">
      <c r="A486" s="36" t="s">
        <v>122</v>
      </c>
      <c r="B486" s="18">
        <v>3.84</v>
      </c>
    </row>
    <row r="487" spans="1:2" ht="20.100000000000001" customHeight="1" thickBot="1" x14ac:dyDescent="0.35">
      <c r="A487" s="36" t="s">
        <v>112</v>
      </c>
      <c r="B487" s="18">
        <v>11.99</v>
      </c>
    </row>
    <row r="488" spans="1:2" ht="20.100000000000001" customHeight="1" thickBot="1" x14ac:dyDescent="0.35">
      <c r="A488" s="36" t="s">
        <v>123</v>
      </c>
      <c r="B488" s="18">
        <v>600</v>
      </c>
    </row>
    <row r="489" spans="1:2" ht="20.100000000000001" customHeight="1" thickBot="1" x14ac:dyDescent="0.35">
      <c r="A489" s="36" t="s">
        <v>116</v>
      </c>
      <c r="B489" s="18">
        <v>11.95</v>
      </c>
    </row>
    <row r="490" spans="1:2" ht="20.100000000000001" customHeight="1" thickBot="1" x14ac:dyDescent="0.35">
      <c r="A490" s="36" t="s">
        <v>116</v>
      </c>
      <c r="B490" s="18">
        <v>11.95</v>
      </c>
    </row>
    <row r="491" spans="1:2" ht="20.100000000000001" customHeight="1" thickBot="1" x14ac:dyDescent="0.35">
      <c r="A491" s="36" t="s">
        <v>122</v>
      </c>
      <c r="B491" s="18">
        <v>3.84</v>
      </c>
    </row>
    <row r="492" spans="1:2" ht="20.100000000000001" customHeight="1" thickBot="1" x14ac:dyDescent="0.35">
      <c r="A492" s="36" t="s">
        <v>116</v>
      </c>
      <c r="B492" s="18">
        <v>11.95</v>
      </c>
    </row>
    <row r="493" spans="1:2" ht="20.100000000000001" customHeight="1" thickBot="1" x14ac:dyDescent="0.35">
      <c r="A493" s="36" t="s">
        <v>116</v>
      </c>
      <c r="B493" s="18">
        <v>11.95</v>
      </c>
    </row>
    <row r="494" spans="1:2" ht="20.100000000000001" customHeight="1" thickBot="1" x14ac:dyDescent="0.35">
      <c r="A494" s="36" t="s">
        <v>117</v>
      </c>
      <c r="B494" s="18">
        <v>99.99</v>
      </c>
    </row>
    <row r="495" spans="1:2" ht="20.100000000000001" customHeight="1" thickBot="1" x14ac:dyDescent="0.35">
      <c r="A495" s="36" t="s">
        <v>117</v>
      </c>
      <c r="B495" s="18">
        <v>99.99</v>
      </c>
    </row>
    <row r="496" spans="1:2" ht="20.100000000000001" customHeight="1" thickBot="1" x14ac:dyDescent="0.35">
      <c r="A496" s="36" t="s">
        <v>114</v>
      </c>
      <c r="B496" s="18">
        <v>2.99</v>
      </c>
    </row>
    <row r="497" spans="1:2" ht="20.100000000000001" customHeight="1" thickBot="1" x14ac:dyDescent="0.35">
      <c r="A497" s="36" t="s">
        <v>123</v>
      </c>
      <c r="B497" s="18">
        <v>600</v>
      </c>
    </row>
    <row r="498" spans="1:2" ht="20.100000000000001" customHeight="1" thickBot="1" x14ac:dyDescent="0.35">
      <c r="A498" s="36" t="s">
        <v>115</v>
      </c>
      <c r="B498" s="18">
        <v>389.99</v>
      </c>
    </row>
    <row r="499" spans="1:2" ht="20.100000000000001" customHeight="1" thickBot="1" x14ac:dyDescent="0.35">
      <c r="A499" s="36" t="s">
        <v>116</v>
      </c>
      <c r="B499" s="18">
        <v>11.95</v>
      </c>
    </row>
    <row r="500" spans="1:2" ht="20.100000000000001" customHeight="1" thickBot="1" x14ac:dyDescent="0.35">
      <c r="A500" s="36" t="s">
        <v>122</v>
      </c>
      <c r="B500" s="18">
        <v>3.84</v>
      </c>
    </row>
    <row r="501" spans="1:2" ht="20.100000000000001" customHeight="1" thickBot="1" x14ac:dyDescent="0.35">
      <c r="A501" s="36" t="s">
        <v>119</v>
      </c>
      <c r="B501" s="18">
        <v>1700</v>
      </c>
    </row>
    <row r="502" spans="1:2" ht="20.100000000000001" customHeight="1" thickBot="1" x14ac:dyDescent="0.35">
      <c r="A502" s="36" t="s">
        <v>112</v>
      </c>
      <c r="B502" s="18">
        <v>11.99</v>
      </c>
    </row>
    <row r="503" spans="1:2" ht="20.100000000000001" customHeight="1" thickBot="1" x14ac:dyDescent="0.35">
      <c r="A503" s="36" t="s">
        <v>111</v>
      </c>
      <c r="B503" s="18">
        <v>14.95</v>
      </c>
    </row>
    <row r="504" spans="1:2" ht="20.100000000000001" customHeight="1" thickBot="1" x14ac:dyDescent="0.35">
      <c r="A504" s="36" t="s">
        <v>112</v>
      </c>
      <c r="B504" s="18">
        <v>11.99</v>
      </c>
    </row>
    <row r="505" spans="1:2" ht="20.100000000000001" customHeight="1" thickBot="1" x14ac:dyDescent="0.35">
      <c r="A505" s="36" t="s">
        <v>116</v>
      </c>
      <c r="B505" s="18">
        <v>11.95</v>
      </c>
    </row>
    <row r="506" spans="1:2" ht="20.100000000000001" customHeight="1" thickBot="1" x14ac:dyDescent="0.35">
      <c r="A506" s="36" t="s">
        <v>111</v>
      </c>
      <c r="B506" s="18">
        <v>14.95</v>
      </c>
    </row>
    <row r="507" spans="1:2" ht="20.100000000000001" customHeight="1" thickBot="1" x14ac:dyDescent="0.35">
      <c r="A507" s="36" t="s">
        <v>114</v>
      </c>
      <c r="B507" s="18">
        <v>2.99</v>
      </c>
    </row>
    <row r="508" spans="1:2" ht="20.100000000000001" customHeight="1" thickBot="1" x14ac:dyDescent="0.35">
      <c r="A508" s="36" t="s">
        <v>112</v>
      </c>
      <c r="B508" s="18">
        <v>11.99</v>
      </c>
    </row>
    <row r="509" spans="1:2" ht="20.100000000000001" customHeight="1" thickBot="1" x14ac:dyDescent="0.35">
      <c r="A509" s="36" t="s">
        <v>111</v>
      </c>
      <c r="B509" s="18">
        <v>14.95</v>
      </c>
    </row>
    <row r="510" spans="1:2" ht="20.100000000000001" customHeight="1" thickBot="1" x14ac:dyDescent="0.35">
      <c r="A510" s="36" t="s">
        <v>119</v>
      </c>
      <c r="B510" s="18">
        <v>1700</v>
      </c>
    </row>
    <row r="511" spans="1:2" ht="20.100000000000001" customHeight="1" thickBot="1" x14ac:dyDescent="0.35">
      <c r="A511" s="36" t="s">
        <v>110</v>
      </c>
      <c r="B511" s="18">
        <v>700</v>
      </c>
    </row>
    <row r="512" spans="1:2" ht="20.100000000000001" customHeight="1" thickBot="1" x14ac:dyDescent="0.35">
      <c r="A512" s="36" t="s">
        <v>115</v>
      </c>
      <c r="B512" s="18">
        <v>389.99</v>
      </c>
    </row>
    <row r="513" spans="1:2" ht="20.100000000000001" customHeight="1" thickBot="1" x14ac:dyDescent="0.35">
      <c r="A513" s="36" t="s">
        <v>117</v>
      </c>
      <c r="B513" s="18">
        <v>99.99</v>
      </c>
    </row>
    <row r="514" spans="1:2" ht="20.100000000000001" customHeight="1" thickBot="1" x14ac:dyDescent="0.35">
      <c r="A514" s="36" t="s">
        <v>125</v>
      </c>
      <c r="B514" s="18">
        <v>379.99</v>
      </c>
    </row>
    <row r="515" spans="1:2" ht="20.100000000000001" customHeight="1" thickBot="1" x14ac:dyDescent="0.35">
      <c r="A515" s="36" t="s">
        <v>116</v>
      </c>
      <c r="B515" s="18">
        <v>11.95</v>
      </c>
    </row>
    <row r="516" spans="1:2" ht="20.100000000000001" customHeight="1" thickBot="1" x14ac:dyDescent="0.35">
      <c r="A516" s="36" t="s">
        <v>126</v>
      </c>
      <c r="B516" s="18">
        <v>999.99</v>
      </c>
    </row>
    <row r="517" spans="1:2" ht="20.100000000000001" customHeight="1" thickBot="1" x14ac:dyDescent="0.35">
      <c r="A517" s="36" t="s">
        <v>110</v>
      </c>
      <c r="B517" s="18">
        <v>700</v>
      </c>
    </row>
    <row r="518" spans="1:2" ht="20.100000000000001" customHeight="1" thickBot="1" x14ac:dyDescent="0.35">
      <c r="A518" s="36" t="s">
        <v>111</v>
      </c>
      <c r="B518" s="18">
        <v>14.95</v>
      </c>
    </row>
    <row r="519" spans="1:2" ht="20.100000000000001" customHeight="1" thickBot="1" x14ac:dyDescent="0.35">
      <c r="A519" s="36" t="s">
        <v>122</v>
      </c>
      <c r="B519" s="18">
        <v>3.84</v>
      </c>
    </row>
    <row r="520" spans="1:2" ht="20.100000000000001" customHeight="1" thickBot="1" x14ac:dyDescent="0.35">
      <c r="A520" s="36" t="s">
        <v>122</v>
      </c>
      <c r="B520" s="18">
        <v>3.84</v>
      </c>
    </row>
    <row r="521" spans="1:2" ht="20.100000000000001" customHeight="1" thickBot="1" x14ac:dyDescent="0.35">
      <c r="A521" s="36" t="s">
        <v>117</v>
      </c>
      <c r="B521" s="18">
        <v>99.99</v>
      </c>
    </row>
    <row r="522" spans="1:2" ht="20.100000000000001" customHeight="1" thickBot="1" x14ac:dyDescent="0.35">
      <c r="A522" s="36" t="s">
        <v>116</v>
      </c>
      <c r="B522" s="18">
        <v>11.95</v>
      </c>
    </row>
    <row r="523" spans="1:2" ht="20.100000000000001" customHeight="1" thickBot="1" x14ac:dyDescent="0.35">
      <c r="A523" s="36" t="s">
        <v>116</v>
      </c>
      <c r="B523" s="18">
        <v>11.95</v>
      </c>
    </row>
    <row r="524" spans="1:2" ht="20.100000000000001" customHeight="1" thickBot="1" x14ac:dyDescent="0.35">
      <c r="A524" s="36" t="s">
        <v>118</v>
      </c>
      <c r="B524" s="18">
        <v>150</v>
      </c>
    </row>
    <row r="525" spans="1:2" ht="20.100000000000001" customHeight="1" thickBot="1" x14ac:dyDescent="0.35">
      <c r="A525" s="36" t="s">
        <v>114</v>
      </c>
      <c r="B525" s="18">
        <v>2.99</v>
      </c>
    </row>
    <row r="526" spans="1:2" ht="20.100000000000001" customHeight="1" thickBot="1" x14ac:dyDescent="0.35">
      <c r="A526" s="36" t="s">
        <v>111</v>
      </c>
      <c r="B526" s="18">
        <v>14.95</v>
      </c>
    </row>
    <row r="527" spans="1:2" ht="20.100000000000001" customHeight="1" thickBot="1" x14ac:dyDescent="0.35">
      <c r="A527" s="36" t="s">
        <v>113</v>
      </c>
      <c r="B527" s="18">
        <v>149.99</v>
      </c>
    </row>
    <row r="528" spans="1:2" ht="20.100000000000001" customHeight="1" thickBot="1" x14ac:dyDescent="0.35">
      <c r="A528" s="36" t="s">
        <v>118</v>
      </c>
      <c r="B528" s="18">
        <v>150</v>
      </c>
    </row>
    <row r="529" spans="1:2" ht="20.100000000000001" customHeight="1" thickBot="1" x14ac:dyDescent="0.35">
      <c r="A529" s="36" t="s">
        <v>120</v>
      </c>
      <c r="B529" s="18">
        <v>300</v>
      </c>
    </row>
    <row r="530" spans="1:2" ht="20.100000000000001" customHeight="1" thickBot="1" x14ac:dyDescent="0.35">
      <c r="A530" s="36" t="s">
        <v>113</v>
      </c>
      <c r="B530" s="18">
        <v>149.99</v>
      </c>
    </row>
    <row r="531" spans="1:2" ht="20.100000000000001" customHeight="1" thickBot="1" x14ac:dyDescent="0.35">
      <c r="A531" s="36" t="s">
        <v>115</v>
      </c>
      <c r="B531" s="18">
        <v>389.99</v>
      </c>
    </row>
    <row r="532" spans="1:2" ht="20.100000000000001" customHeight="1" thickBot="1" x14ac:dyDescent="0.35">
      <c r="A532" s="36" t="s">
        <v>111</v>
      </c>
      <c r="B532" s="18">
        <v>14.95</v>
      </c>
    </row>
    <row r="533" spans="1:2" ht="20.100000000000001" customHeight="1" thickBot="1" x14ac:dyDescent="0.35">
      <c r="A533" s="36" t="s">
        <v>116</v>
      </c>
      <c r="B533" s="18">
        <v>11.95</v>
      </c>
    </row>
    <row r="534" spans="1:2" ht="20.100000000000001" customHeight="1" thickBot="1" x14ac:dyDescent="0.35">
      <c r="A534" s="36" t="s">
        <v>118</v>
      </c>
      <c r="B534" s="18">
        <v>150</v>
      </c>
    </row>
    <row r="535" spans="1:2" ht="20.100000000000001" customHeight="1" thickBot="1" x14ac:dyDescent="0.35">
      <c r="A535" s="36" t="s">
        <v>122</v>
      </c>
      <c r="B535" s="18">
        <v>3.84</v>
      </c>
    </row>
    <row r="536" spans="1:2" ht="20.100000000000001" customHeight="1" thickBot="1" x14ac:dyDescent="0.35">
      <c r="A536" s="36" t="s">
        <v>117</v>
      </c>
      <c r="B536" s="18">
        <v>99.99</v>
      </c>
    </row>
    <row r="537" spans="1:2" ht="20.100000000000001" customHeight="1" thickBot="1" x14ac:dyDescent="0.35">
      <c r="A537" s="36" t="s">
        <v>113</v>
      </c>
      <c r="B537" s="18">
        <v>149.99</v>
      </c>
    </row>
    <row r="538" spans="1:2" ht="20.100000000000001" customHeight="1" thickBot="1" x14ac:dyDescent="0.35">
      <c r="A538" s="36" t="s">
        <v>112</v>
      </c>
      <c r="B538" s="18">
        <v>11.99</v>
      </c>
    </row>
    <row r="539" spans="1:2" ht="20.100000000000001" customHeight="1" thickBot="1" x14ac:dyDescent="0.35">
      <c r="A539" s="36" t="s">
        <v>114</v>
      </c>
      <c r="B539" s="18">
        <v>2.99</v>
      </c>
    </row>
    <row r="540" spans="1:2" ht="20.100000000000001" customHeight="1" thickBot="1" x14ac:dyDescent="0.35">
      <c r="A540" s="36" t="s">
        <v>121</v>
      </c>
      <c r="B540" s="18">
        <v>400</v>
      </c>
    </row>
    <row r="541" spans="1:2" ht="20.100000000000001" customHeight="1" thickBot="1" x14ac:dyDescent="0.35">
      <c r="A541" s="36" t="s">
        <v>111</v>
      </c>
      <c r="B541" s="18">
        <v>14.95</v>
      </c>
    </row>
    <row r="542" spans="1:2" ht="20.100000000000001" customHeight="1" thickBot="1" x14ac:dyDescent="0.35">
      <c r="A542" s="36" t="s">
        <v>117</v>
      </c>
      <c r="B542" s="18">
        <v>99.99</v>
      </c>
    </row>
    <row r="543" spans="1:2" ht="20.100000000000001" customHeight="1" thickBot="1" x14ac:dyDescent="0.35">
      <c r="A543" s="36" t="s">
        <v>113</v>
      </c>
      <c r="B543" s="18">
        <v>149.99</v>
      </c>
    </row>
    <row r="544" spans="1:2" ht="20.100000000000001" customHeight="1" thickBot="1" x14ac:dyDescent="0.35">
      <c r="A544" s="36" t="s">
        <v>116</v>
      </c>
      <c r="B544" s="18">
        <v>11.95</v>
      </c>
    </row>
    <row r="545" spans="1:2" ht="20.100000000000001" customHeight="1" thickBot="1" x14ac:dyDescent="0.35">
      <c r="A545" s="36" t="s">
        <v>111</v>
      </c>
      <c r="B545" s="18">
        <v>14.95</v>
      </c>
    </row>
    <row r="546" spans="1:2" ht="20.100000000000001" customHeight="1" thickBot="1" x14ac:dyDescent="0.35">
      <c r="A546" s="36" t="s">
        <v>128</v>
      </c>
      <c r="B546" s="18">
        <v>600</v>
      </c>
    </row>
    <row r="547" spans="1:2" ht="20.100000000000001" customHeight="1" thickBot="1" x14ac:dyDescent="0.35">
      <c r="A547" s="36" t="s">
        <v>124</v>
      </c>
      <c r="B547" s="18">
        <v>109.99</v>
      </c>
    </row>
    <row r="548" spans="1:2" ht="20.100000000000001" customHeight="1" thickBot="1" x14ac:dyDescent="0.35">
      <c r="A548" s="36" t="s">
        <v>116</v>
      </c>
      <c r="B548" s="18">
        <v>11.95</v>
      </c>
    </row>
    <row r="549" spans="1:2" ht="20.100000000000001" customHeight="1" thickBot="1" x14ac:dyDescent="0.35">
      <c r="A549" s="36" t="s">
        <v>122</v>
      </c>
      <c r="B549" s="18">
        <v>3.84</v>
      </c>
    </row>
    <row r="550" spans="1:2" ht="20.100000000000001" customHeight="1" thickBot="1" x14ac:dyDescent="0.35">
      <c r="A550" s="36" t="s">
        <v>112</v>
      </c>
      <c r="B550" s="18">
        <v>11.99</v>
      </c>
    </row>
    <row r="551" spans="1:2" ht="20.100000000000001" customHeight="1" thickBot="1" x14ac:dyDescent="0.35">
      <c r="A551" s="36" t="s">
        <v>111</v>
      </c>
      <c r="B551" s="18">
        <v>14.95</v>
      </c>
    </row>
    <row r="552" spans="1:2" ht="20.100000000000001" customHeight="1" thickBot="1" x14ac:dyDescent="0.35">
      <c r="A552" s="36" t="s">
        <v>118</v>
      </c>
      <c r="B552" s="18">
        <v>150</v>
      </c>
    </row>
    <row r="553" spans="1:2" ht="20.100000000000001" customHeight="1" thickBot="1" x14ac:dyDescent="0.35">
      <c r="A553" s="36" t="s">
        <v>116</v>
      </c>
      <c r="B553" s="18">
        <v>11.95</v>
      </c>
    </row>
    <row r="554" spans="1:2" ht="20.100000000000001" customHeight="1" thickBot="1" x14ac:dyDescent="0.35">
      <c r="A554" s="36" t="s">
        <v>117</v>
      </c>
      <c r="B554" s="18">
        <v>99.99</v>
      </c>
    </row>
    <row r="555" spans="1:2" ht="20.100000000000001" customHeight="1" thickBot="1" x14ac:dyDescent="0.35">
      <c r="A555" s="36" t="s">
        <v>116</v>
      </c>
      <c r="B555" s="18">
        <v>11.95</v>
      </c>
    </row>
    <row r="556" spans="1:2" ht="20.100000000000001" customHeight="1" thickBot="1" x14ac:dyDescent="0.35">
      <c r="A556" s="36" t="s">
        <v>111</v>
      </c>
      <c r="B556" s="18">
        <v>14.95</v>
      </c>
    </row>
    <row r="557" spans="1:2" ht="20.100000000000001" customHeight="1" thickBot="1" x14ac:dyDescent="0.35">
      <c r="A557" s="36" t="s">
        <v>116</v>
      </c>
      <c r="B557" s="18">
        <v>11.95</v>
      </c>
    </row>
    <row r="558" spans="1:2" ht="20.100000000000001" customHeight="1" thickBot="1" x14ac:dyDescent="0.35">
      <c r="A558" s="36" t="s">
        <v>111</v>
      </c>
      <c r="B558" s="18">
        <v>14.95</v>
      </c>
    </row>
    <row r="559" spans="1:2" ht="20.100000000000001" customHeight="1" thickBot="1" x14ac:dyDescent="0.35">
      <c r="A559" s="36" t="s">
        <v>111</v>
      </c>
      <c r="B559" s="18">
        <v>14.95</v>
      </c>
    </row>
    <row r="560" spans="1:2" ht="20.100000000000001" customHeight="1" thickBot="1" x14ac:dyDescent="0.35">
      <c r="A560" s="36" t="s">
        <v>112</v>
      </c>
      <c r="B560" s="18">
        <v>11.99</v>
      </c>
    </row>
    <row r="561" spans="1:2" ht="20.100000000000001" customHeight="1" thickBot="1" x14ac:dyDescent="0.35">
      <c r="A561" s="36" t="s">
        <v>118</v>
      </c>
      <c r="B561" s="18">
        <v>150</v>
      </c>
    </row>
    <row r="562" spans="1:2" ht="20.100000000000001" customHeight="1" thickBot="1" x14ac:dyDescent="0.35">
      <c r="A562" s="36" t="s">
        <v>113</v>
      </c>
      <c r="B562" s="18">
        <v>149.99</v>
      </c>
    </row>
    <row r="563" spans="1:2" ht="20.100000000000001" customHeight="1" thickBot="1" x14ac:dyDescent="0.35">
      <c r="A563" s="36" t="s">
        <v>117</v>
      </c>
      <c r="B563" s="18">
        <v>99.99</v>
      </c>
    </row>
    <row r="564" spans="1:2" ht="20.100000000000001" customHeight="1" thickBot="1" x14ac:dyDescent="0.35">
      <c r="A564" s="36" t="s">
        <v>117</v>
      </c>
      <c r="B564" s="18">
        <v>99.99</v>
      </c>
    </row>
    <row r="565" spans="1:2" ht="20.100000000000001" customHeight="1" thickBot="1" x14ac:dyDescent="0.35">
      <c r="A565" s="36" t="s">
        <v>115</v>
      </c>
      <c r="B565" s="18">
        <v>389.99</v>
      </c>
    </row>
    <row r="566" spans="1:2" ht="20.100000000000001" customHeight="1" thickBot="1" x14ac:dyDescent="0.35">
      <c r="A566" s="36" t="s">
        <v>118</v>
      </c>
      <c r="B566" s="18">
        <v>150</v>
      </c>
    </row>
    <row r="567" spans="1:2" ht="20.100000000000001" customHeight="1" thickBot="1" x14ac:dyDescent="0.35">
      <c r="A567" s="36" t="s">
        <v>119</v>
      </c>
      <c r="B567" s="18">
        <v>1700</v>
      </c>
    </row>
    <row r="568" spans="1:2" ht="20.100000000000001" customHeight="1" thickBot="1" x14ac:dyDescent="0.35">
      <c r="A568" s="36" t="s">
        <v>118</v>
      </c>
      <c r="B568" s="18">
        <v>150</v>
      </c>
    </row>
    <row r="569" spans="1:2" ht="20.100000000000001" customHeight="1" thickBot="1" x14ac:dyDescent="0.35">
      <c r="A569" s="36" t="s">
        <v>122</v>
      </c>
      <c r="B569" s="18">
        <v>3.84</v>
      </c>
    </row>
    <row r="570" spans="1:2" ht="20.100000000000001" customHeight="1" thickBot="1" x14ac:dyDescent="0.35">
      <c r="A570" s="36" t="s">
        <v>123</v>
      </c>
      <c r="B570" s="18">
        <v>600</v>
      </c>
    </row>
    <row r="571" spans="1:2" ht="20.100000000000001" customHeight="1" thickBot="1" x14ac:dyDescent="0.35">
      <c r="A571" s="36" t="s">
        <v>116</v>
      </c>
      <c r="B571" s="18">
        <v>11.95</v>
      </c>
    </row>
    <row r="572" spans="1:2" ht="20.100000000000001" customHeight="1" thickBot="1" x14ac:dyDescent="0.35">
      <c r="A572" s="36" t="s">
        <v>114</v>
      </c>
      <c r="B572" s="18">
        <v>2.99</v>
      </c>
    </row>
    <row r="573" spans="1:2" ht="20.100000000000001" customHeight="1" thickBot="1" x14ac:dyDescent="0.35">
      <c r="A573" s="36" t="s">
        <v>116</v>
      </c>
      <c r="B573" s="18">
        <v>11.95</v>
      </c>
    </row>
    <row r="574" spans="1:2" ht="20.100000000000001" customHeight="1" thickBot="1" x14ac:dyDescent="0.35">
      <c r="A574" s="36" t="s">
        <v>116</v>
      </c>
      <c r="B574" s="18">
        <v>11.95</v>
      </c>
    </row>
    <row r="575" spans="1:2" ht="20.100000000000001" customHeight="1" thickBot="1" x14ac:dyDescent="0.35">
      <c r="A575" s="36" t="s">
        <v>122</v>
      </c>
      <c r="B575" s="18">
        <v>3.84</v>
      </c>
    </row>
    <row r="576" spans="1:2" ht="20.100000000000001" customHeight="1" thickBot="1" x14ac:dyDescent="0.35">
      <c r="A576" s="36" t="s">
        <v>117</v>
      </c>
      <c r="B576" s="18">
        <v>99.99</v>
      </c>
    </row>
    <row r="577" spans="1:2" ht="20.100000000000001" customHeight="1" thickBot="1" x14ac:dyDescent="0.35">
      <c r="A577" s="36" t="s">
        <v>110</v>
      </c>
      <c r="B577" s="18">
        <v>700</v>
      </c>
    </row>
    <row r="578" spans="1:2" ht="20.100000000000001" customHeight="1" thickBot="1" x14ac:dyDescent="0.35">
      <c r="A578" s="36" t="s">
        <v>112</v>
      </c>
      <c r="B578" s="18">
        <v>11.99</v>
      </c>
    </row>
    <row r="579" spans="1:2" ht="20.100000000000001" customHeight="1" thickBot="1" x14ac:dyDescent="0.35">
      <c r="A579" s="36" t="s">
        <v>114</v>
      </c>
      <c r="B579" s="18">
        <v>2.99</v>
      </c>
    </row>
    <row r="580" spans="1:2" ht="20.100000000000001" customHeight="1" thickBot="1" x14ac:dyDescent="0.35">
      <c r="A580" s="36" t="s">
        <v>113</v>
      </c>
      <c r="B580" s="18">
        <v>149.99</v>
      </c>
    </row>
    <row r="581" spans="1:2" ht="20.100000000000001" customHeight="1" thickBot="1" x14ac:dyDescent="0.35">
      <c r="A581" s="36" t="s">
        <v>124</v>
      </c>
      <c r="B581" s="18">
        <v>109.99</v>
      </c>
    </row>
    <row r="582" spans="1:2" ht="20.100000000000001" customHeight="1" thickBot="1" x14ac:dyDescent="0.35">
      <c r="A582" s="36" t="s">
        <v>122</v>
      </c>
      <c r="B582" s="18">
        <v>3.84</v>
      </c>
    </row>
    <row r="583" spans="1:2" ht="20.100000000000001" customHeight="1" thickBot="1" x14ac:dyDescent="0.35">
      <c r="A583" s="36" t="s">
        <v>113</v>
      </c>
      <c r="B583" s="18">
        <v>149.99</v>
      </c>
    </row>
    <row r="584" spans="1:2" ht="20.100000000000001" customHeight="1" thickBot="1" x14ac:dyDescent="0.35">
      <c r="A584" s="36" t="s">
        <v>116</v>
      </c>
      <c r="B584" s="18">
        <v>11.95</v>
      </c>
    </row>
    <row r="585" spans="1:2" ht="20.100000000000001" customHeight="1" thickBot="1" x14ac:dyDescent="0.35">
      <c r="A585" s="36" t="s">
        <v>120</v>
      </c>
      <c r="B585" s="18">
        <v>300</v>
      </c>
    </row>
    <row r="586" spans="1:2" ht="20.100000000000001" customHeight="1" thickBot="1" x14ac:dyDescent="0.35">
      <c r="A586" s="36" t="s">
        <v>115</v>
      </c>
      <c r="B586" s="18">
        <v>389.99</v>
      </c>
    </row>
    <row r="587" spans="1:2" ht="20.100000000000001" customHeight="1" thickBot="1" x14ac:dyDescent="0.35">
      <c r="A587" s="36" t="s">
        <v>117</v>
      </c>
      <c r="B587" s="18">
        <v>99.99</v>
      </c>
    </row>
    <row r="588" spans="1:2" ht="20.100000000000001" customHeight="1" thickBot="1" x14ac:dyDescent="0.35">
      <c r="A588" s="36" t="s">
        <v>117</v>
      </c>
      <c r="B588" s="18">
        <v>99.99</v>
      </c>
    </row>
    <row r="589" spans="1:2" ht="20.100000000000001" customHeight="1" thickBot="1" x14ac:dyDescent="0.35">
      <c r="A589" s="36" t="s">
        <v>115</v>
      </c>
      <c r="B589" s="18">
        <v>389.99</v>
      </c>
    </row>
    <row r="590" spans="1:2" ht="20.100000000000001" customHeight="1" thickBot="1" x14ac:dyDescent="0.35">
      <c r="A590" s="36" t="s">
        <v>121</v>
      </c>
      <c r="B590" s="18">
        <v>400</v>
      </c>
    </row>
    <row r="591" spans="1:2" ht="20.100000000000001" customHeight="1" thickBot="1" x14ac:dyDescent="0.35">
      <c r="A591" s="36" t="s">
        <v>111</v>
      </c>
      <c r="B591" s="18">
        <v>14.95</v>
      </c>
    </row>
    <row r="592" spans="1:2" ht="20.100000000000001" customHeight="1" thickBot="1" x14ac:dyDescent="0.35">
      <c r="A592" s="36" t="s">
        <v>123</v>
      </c>
      <c r="B592" s="18">
        <v>600</v>
      </c>
    </row>
    <row r="593" spans="1:2" ht="20.100000000000001" customHeight="1" thickBot="1" x14ac:dyDescent="0.35">
      <c r="A593" s="36" t="s">
        <v>116</v>
      </c>
      <c r="B593" s="18">
        <v>11.95</v>
      </c>
    </row>
    <row r="594" spans="1:2" ht="20.100000000000001" customHeight="1" thickBot="1" x14ac:dyDescent="0.35">
      <c r="A594" s="36" t="s">
        <v>111</v>
      </c>
      <c r="B594" s="18">
        <v>14.95</v>
      </c>
    </row>
    <row r="595" spans="1:2" ht="20.100000000000001" customHeight="1" thickBot="1" x14ac:dyDescent="0.35">
      <c r="A595" s="36" t="s">
        <v>114</v>
      </c>
      <c r="B595" s="18">
        <v>2.99</v>
      </c>
    </row>
    <row r="596" spans="1:2" ht="20.100000000000001" customHeight="1" thickBot="1" x14ac:dyDescent="0.35">
      <c r="A596" s="36" t="s">
        <v>122</v>
      </c>
      <c r="B596" s="18">
        <v>3.84</v>
      </c>
    </row>
    <row r="597" spans="1:2" ht="20.100000000000001" customHeight="1" thickBot="1" x14ac:dyDescent="0.35">
      <c r="A597" s="36" t="s">
        <v>116</v>
      </c>
      <c r="B597" s="18">
        <v>11.95</v>
      </c>
    </row>
    <row r="598" spans="1:2" ht="20.100000000000001" customHeight="1" thickBot="1" x14ac:dyDescent="0.35">
      <c r="A598" s="36" t="s">
        <v>124</v>
      </c>
      <c r="B598" s="18">
        <v>109.99</v>
      </c>
    </row>
    <row r="599" spans="1:2" ht="20.100000000000001" customHeight="1" thickBot="1" x14ac:dyDescent="0.35">
      <c r="A599" s="36" t="s">
        <v>114</v>
      </c>
      <c r="B599" s="18">
        <v>2.99</v>
      </c>
    </row>
    <row r="600" spans="1:2" ht="20.100000000000001" customHeight="1" thickBot="1" x14ac:dyDescent="0.35">
      <c r="A600" s="36" t="s">
        <v>125</v>
      </c>
      <c r="B600" s="18">
        <v>379.99</v>
      </c>
    </row>
    <row r="601" spans="1:2" ht="20.100000000000001" customHeight="1" thickBot="1" x14ac:dyDescent="0.35">
      <c r="A601" s="36" t="s">
        <v>127</v>
      </c>
      <c r="B601" s="18">
        <v>600</v>
      </c>
    </row>
    <row r="602" spans="1:2" ht="20.100000000000001" customHeight="1" thickBot="1" x14ac:dyDescent="0.35">
      <c r="A602" s="36" t="s">
        <v>122</v>
      </c>
      <c r="B602" s="18">
        <v>3.84</v>
      </c>
    </row>
    <row r="603" spans="1:2" ht="20.100000000000001" customHeight="1" thickBot="1" x14ac:dyDescent="0.35">
      <c r="A603" s="36" t="s">
        <v>114</v>
      </c>
      <c r="B603" s="18">
        <v>2.99</v>
      </c>
    </row>
    <row r="604" spans="1:2" ht="20.100000000000001" customHeight="1" thickBot="1" x14ac:dyDescent="0.35">
      <c r="A604" s="36" t="s">
        <v>111</v>
      </c>
      <c r="B604" s="18">
        <v>14.95</v>
      </c>
    </row>
    <row r="605" spans="1:2" ht="20.100000000000001" customHeight="1" thickBot="1" x14ac:dyDescent="0.35">
      <c r="A605" s="36" t="s">
        <v>116</v>
      </c>
      <c r="B605" s="18">
        <v>11.95</v>
      </c>
    </row>
    <row r="606" spans="1:2" ht="20.100000000000001" customHeight="1" thickBot="1" x14ac:dyDescent="0.35">
      <c r="A606" s="36" t="s">
        <v>111</v>
      </c>
      <c r="B606" s="18">
        <v>14.95</v>
      </c>
    </row>
    <row r="607" spans="1:2" ht="20.100000000000001" customHeight="1" thickBot="1" x14ac:dyDescent="0.35">
      <c r="A607" s="36" t="s">
        <v>116</v>
      </c>
      <c r="B607" s="18">
        <v>11.95</v>
      </c>
    </row>
    <row r="608" spans="1:2" ht="20.100000000000001" customHeight="1" thickBot="1" x14ac:dyDescent="0.35">
      <c r="A608" s="36" t="s">
        <v>112</v>
      </c>
      <c r="B608" s="18">
        <v>11.99</v>
      </c>
    </row>
    <row r="609" spans="1:2" ht="20.100000000000001" customHeight="1" thickBot="1" x14ac:dyDescent="0.35">
      <c r="A609" s="36" t="s">
        <v>111</v>
      </c>
      <c r="B609" s="18">
        <v>14.95</v>
      </c>
    </row>
    <row r="610" spans="1:2" ht="20.100000000000001" customHeight="1" thickBot="1" x14ac:dyDescent="0.35">
      <c r="A610" s="36" t="s">
        <v>111</v>
      </c>
      <c r="B610" s="18">
        <v>14.95</v>
      </c>
    </row>
    <row r="611" spans="1:2" ht="20.100000000000001" customHeight="1" thickBot="1" x14ac:dyDescent="0.35">
      <c r="A611" s="36" t="s">
        <v>124</v>
      </c>
      <c r="B611" s="18">
        <v>109.99</v>
      </c>
    </row>
    <row r="612" spans="1:2" ht="20.100000000000001" customHeight="1" thickBot="1" x14ac:dyDescent="0.35">
      <c r="A612" s="36" t="s">
        <v>122</v>
      </c>
      <c r="B612" s="18">
        <v>3.84</v>
      </c>
    </row>
    <row r="613" spans="1:2" ht="20.100000000000001" customHeight="1" thickBot="1" x14ac:dyDescent="0.35">
      <c r="A613" s="36" t="s">
        <v>120</v>
      </c>
      <c r="B613" s="18">
        <v>300</v>
      </c>
    </row>
    <row r="614" spans="1:2" ht="20.100000000000001" customHeight="1" thickBot="1" x14ac:dyDescent="0.35">
      <c r="A614" s="36" t="s">
        <v>116</v>
      </c>
      <c r="B614" s="18">
        <v>11.95</v>
      </c>
    </row>
    <row r="615" spans="1:2" ht="20.100000000000001" customHeight="1" thickBot="1" x14ac:dyDescent="0.35">
      <c r="A615" s="36" t="s">
        <v>117</v>
      </c>
      <c r="B615" s="18">
        <v>99.99</v>
      </c>
    </row>
    <row r="616" spans="1:2" ht="20.100000000000001" customHeight="1" thickBot="1" x14ac:dyDescent="0.35">
      <c r="A616" s="36" t="s">
        <v>125</v>
      </c>
      <c r="B616" s="18">
        <v>379.99</v>
      </c>
    </row>
    <row r="617" spans="1:2" ht="20.100000000000001" customHeight="1" thickBot="1" x14ac:dyDescent="0.35">
      <c r="A617" s="36" t="s">
        <v>125</v>
      </c>
      <c r="B617" s="18">
        <v>379.99</v>
      </c>
    </row>
    <row r="618" spans="1:2" ht="20.100000000000001" customHeight="1" thickBot="1" x14ac:dyDescent="0.35">
      <c r="A618" s="36" t="s">
        <v>113</v>
      </c>
      <c r="B618" s="18">
        <v>149.99</v>
      </c>
    </row>
    <row r="619" spans="1:2" ht="20.100000000000001" customHeight="1" thickBot="1" x14ac:dyDescent="0.35">
      <c r="A619" s="36" t="s">
        <v>120</v>
      </c>
      <c r="B619" s="18">
        <v>300</v>
      </c>
    </row>
    <row r="620" spans="1:2" ht="20.100000000000001" customHeight="1" thickBot="1" x14ac:dyDescent="0.35">
      <c r="A620" s="36" t="s">
        <v>114</v>
      </c>
      <c r="B620" s="18">
        <v>2.99</v>
      </c>
    </row>
    <row r="621" spans="1:2" ht="20.100000000000001" customHeight="1" thickBot="1" x14ac:dyDescent="0.35">
      <c r="A621" s="36" t="s">
        <v>117</v>
      </c>
      <c r="B621" s="18">
        <v>99.99</v>
      </c>
    </row>
    <row r="622" spans="1:2" ht="20.100000000000001" customHeight="1" thickBot="1" x14ac:dyDescent="0.35">
      <c r="A622" s="36" t="s">
        <v>112</v>
      </c>
      <c r="B622" s="18">
        <v>11.99</v>
      </c>
    </row>
    <row r="623" spans="1:2" ht="20.100000000000001" customHeight="1" thickBot="1" x14ac:dyDescent="0.35">
      <c r="A623" s="36" t="s">
        <v>116</v>
      </c>
      <c r="B623" s="18">
        <v>11.95</v>
      </c>
    </row>
    <row r="624" spans="1:2" ht="20.100000000000001" customHeight="1" thickBot="1" x14ac:dyDescent="0.35">
      <c r="A624" s="36" t="s">
        <v>116</v>
      </c>
      <c r="B624" s="18">
        <v>11.95</v>
      </c>
    </row>
    <row r="625" spans="1:2" ht="20.100000000000001" customHeight="1" thickBot="1" x14ac:dyDescent="0.35">
      <c r="A625" s="36" t="s">
        <v>117</v>
      </c>
      <c r="B625" s="18">
        <v>99.99</v>
      </c>
    </row>
    <row r="626" spans="1:2" ht="20.100000000000001" customHeight="1" thickBot="1" x14ac:dyDescent="0.35">
      <c r="A626" s="36" t="s">
        <v>117</v>
      </c>
      <c r="B626" s="18">
        <v>99.99</v>
      </c>
    </row>
    <row r="627" spans="1:2" ht="20.100000000000001" customHeight="1" thickBot="1" x14ac:dyDescent="0.35">
      <c r="A627" s="36" t="s">
        <v>122</v>
      </c>
      <c r="B627" s="18">
        <v>3.84</v>
      </c>
    </row>
    <row r="628" spans="1:2" ht="20.100000000000001" customHeight="1" thickBot="1" x14ac:dyDescent="0.35">
      <c r="A628" s="36" t="s">
        <v>114</v>
      </c>
      <c r="B628" s="18">
        <v>2.99</v>
      </c>
    </row>
    <row r="629" spans="1:2" ht="20.100000000000001" customHeight="1" thickBot="1" x14ac:dyDescent="0.35">
      <c r="A629" s="36" t="s">
        <v>111</v>
      </c>
      <c r="B629" s="18">
        <v>14.95</v>
      </c>
    </row>
    <row r="630" spans="1:2" ht="20.100000000000001" customHeight="1" thickBot="1" x14ac:dyDescent="0.35">
      <c r="A630" s="36" t="s">
        <v>114</v>
      </c>
      <c r="B630" s="18">
        <v>2.99</v>
      </c>
    </row>
    <row r="631" spans="1:2" ht="20.100000000000001" customHeight="1" thickBot="1" x14ac:dyDescent="0.35">
      <c r="A631" s="36" t="s">
        <v>122</v>
      </c>
      <c r="B631" s="18">
        <v>3.84</v>
      </c>
    </row>
    <row r="632" spans="1:2" ht="20.100000000000001" customHeight="1" thickBot="1" x14ac:dyDescent="0.35">
      <c r="A632" s="36" t="s">
        <v>117</v>
      </c>
      <c r="B632" s="18">
        <v>99.99</v>
      </c>
    </row>
    <row r="633" spans="1:2" ht="20.100000000000001" customHeight="1" thickBot="1" x14ac:dyDescent="0.35">
      <c r="A633" s="36" t="s">
        <v>116</v>
      </c>
      <c r="B633" s="18">
        <v>11.95</v>
      </c>
    </row>
    <row r="634" spans="1:2" ht="20.100000000000001" customHeight="1" thickBot="1" x14ac:dyDescent="0.35">
      <c r="A634" s="36" t="s">
        <v>117</v>
      </c>
      <c r="B634" s="18">
        <v>99.99</v>
      </c>
    </row>
    <row r="635" spans="1:2" ht="20.100000000000001" customHeight="1" thickBot="1" x14ac:dyDescent="0.35">
      <c r="A635" s="36" t="s">
        <v>114</v>
      </c>
      <c r="B635" s="18">
        <v>2.99</v>
      </c>
    </row>
    <row r="636" spans="1:2" ht="20.100000000000001" customHeight="1" thickBot="1" x14ac:dyDescent="0.35">
      <c r="A636" s="36" t="s">
        <v>113</v>
      </c>
      <c r="B636" s="18">
        <v>149.99</v>
      </c>
    </row>
    <row r="637" spans="1:2" ht="20.100000000000001" customHeight="1" thickBot="1" x14ac:dyDescent="0.35">
      <c r="A637" s="36" t="s">
        <v>116</v>
      </c>
      <c r="B637" s="18">
        <v>11.95</v>
      </c>
    </row>
    <row r="638" spans="1:2" ht="20.100000000000001" customHeight="1" thickBot="1" x14ac:dyDescent="0.35">
      <c r="A638" s="36" t="s">
        <v>118</v>
      </c>
      <c r="B638" s="18">
        <v>150</v>
      </c>
    </row>
    <row r="639" spans="1:2" ht="20.100000000000001" customHeight="1" thickBot="1" x14ac:dyDescent="0.35">
      <c r="A639" s="36" t="s">
        <v>124</v>
      </c>
      <c r="B639" s="18">
        <v>109.99</v>
      </c>
    </row>
    <row r="640" spans="1:2" ht="20.100000000000001" customHeight="1" thickBot="1" x14ac:dyDescent="0.35">
      <c r="A640" s="36" t="s">
        <v>126</v>
      </c>
      <c r="B640" s="18">
        <v>999.99</v>
      </c>
    </row>
    <row r="641" spans="1:2" ht="20.100000000000001" customHeight="1" thickBot="1" x14ac:dyDescent="0.35">
      <c r="A641" s="36" t="s">
        <v>111</v>
      </c>
      <c r="B641" s="18">
        <v>14.95</v>
      </c>
    </row>
    <row r="642" spans="1:2" ht="20.100000000000001" customHeight="1" thickBot="1" x14ac:dyDescent="0.35">
      <c r="A642" s="36" t="s">
        <v>117</v>
      </c>
      <c r="B642" s="18">
        <v>99.99</v>
      </c>
    </row>
    <row r="643" spans="1:2" ht="20.100000000000001" customHeight="1" thickBot="1" x14ac:dyDescent="0.35">
      <c r="A643" s="36" t="s">
        <v>116</v>
      </c>
      <c r="B643" s="18">
        <v>11.95</v>
      </c>
    </row>
    <row r="644" spans="1:2" ht="20.100000000000001" customHeight="1" thickBot="1" x14ac:dyDescent="0.35">
      <c r="A644" s="36" t="s">
        <v>122</v>
      </c>
      <c r="B644" s="18">
        <v>3.84</v>
      </c>
    </row>
    <row r="645" spans="1:2" ht="20.100000000000001" customHeight="1" thickBot="1" x14ac:dyDescent="0.35">
      <c r="A645" s="36" t="s">
        <v>126</v>
      </c>
      <c r="B645" s="18">
        <v>999.99</v>
      </c>
    </row>
    <row r="646" spans="1:2" ht="20.100000000000001" customHeight="1" thickBot="1" x14ac:dyDescent="0.35">
      <c r="A646" s="36" t="s">
        <v>113</v>
      </c>
      <c r="B646" s="18">
        <v>149.99</v>
      </c>
    </row>
    <row r="647" spans="1:2" ht="20.100000000000001" customHeight="1" thickBot="1" x14ac:dyDescent="0.35">
      <c r="A647" s="36" t="s">
        <v>112</v>
      </c>
      <c r="B647" s="18">
        <v>11.99</v>
      </c>
    </row>
    <row r="648" spans="1:2" ht="20.100000000000001" customHeight="1" thickBot="1" x14ac:dyDescent="0.35">
      <c r="A648" s="36" t="s">
        <v>114</v>
      </c>
      <c r="B648" s="18">
        <v>2.99</v>
      </c>
    </row>
    <row r="649" spans="1:2" ht="20.100000000000001" customHeight="1" thickBot="1" x14ac:dyDescent="0.35">
      <c r="A649" s="36" t="s">
        <v>115</v>
      </c>
      <c r="B649" s="18">
        <v>389.99</v>
      </c>
    </row>
    <row r="650" spans="1:2" ht="20.100000000000001" customHeight="1" thickBot="1" x14ac:dyDescent="0.35">
      <c r="A650" s="36" t="s">
        <v>112</v>
      </c>
      <c r="B650" s="18">
        <v>11.99</v>
      </c>
    </row>
    <row r="651" spans="1:2" ht="20.100000000000001" customHeight="1" thickBot="1" x14ac:dyDescent="0.35">
      <c r="A651" s="36" t="s">
        <v>117</v>
      </c>
      <c r="B651" s="18">
        <v>99.99</v>
      </c>
    </row>
    <row r="652" spans="1:2" ht="20.100000000000001" customHeight="1" thickBot="1" x14ac:dyDescent="0.35">
      <c r="A652" s="36" t="s">
        <v>118</v>
      </c>
      <c r="B652" s="18">
        <v>150</v>
      </c>
    </row>
    <row r="653" spans="1:2" ht="20.100000000000001" customHeight="1" thickBot="1" x14ac:dyDescent="0.35">
      <c r="A653" s="36" t="s">
        <v>112</v>
      </c>
      <c r="B653" s="18">
        <v>11.99</v>
      </c>
    </row>
    <row r="654" spans="1:2" ht="20.100000000000001" customHeight="1" thickBot="1" x14ac:dyDescent="0.35">
      <c r="A654" s="36" t="s">
        <v>124</v>
      </c>
      <c r="B654" s="18">
        <v>109.99</v>
      </c>
    </row>
    <row r="655" spans="1:2" ht="20.100000000000001" customHeight="1" thickBot="1" x14ac:dyDescent="0.35">
      <c r="A655" s="36" t="s">
        <v>122</v>
      </c>
      <c r="B655" s="18">
        <v>3.84</v>
      </c>
    </row>
    <row r="656" spans="1:2" ht="20.100000000000001" customHeight="1" thickBot="1" x14ac:dyDescent="0.35">
      <c r="A656" s="36" t="s">
        <v>111</v>
      </c>
      <c r="B656" s="18">
        <v>14.95</v>
      </c>
    </row>
    <row r="657" spans="1:2" ht="20.100000000000001" customHeight="1" thickBot="1" x14ac:dyDescent="0.35">
      <c r="A657" s="36" t="s">
        <v>125</v>
      </c>
      <c r="B657" s="18">
        <v>379.99</v>
      </c>
    </row>
    <row r="658" spans="1:2" ht="20.100000000000001" customHeight="1" thickBot="1" x14ac:dyDescent="0.35">
      <c r="A658" s="36" t="s">
        <v>125</v>
      </c>
      <c r="B658" s="18">
        <v>379.99</v>
      </c>
    </row>
    <row r="659" spans="1:2" ht="20.100000000000001" customHeight="1" thickBot="1" x14ac:dyDescent="0.35">
      <c r="A659" s="36" t="s">
        <v>111</v>
      </c>
      <c r="B659" s="18">
        <v>14.95</v>
      </c>
    </row>
    <row r="660" spans="1:2" ht="20.100000000000001" customHeight="1" thickBot="1" x14ac:dyDescent="0.35">
      <c r="A660" s="36" t="s">
        <v>122</v>
      </c>
      <c r="B660" s="18">
        <v>3.84</v>
      </c>
    </row>
    <row r="661" spans="1:2" ht="20.100000000000001" customHeight="1" thickBot="1" x14ac:dyDescent="0.35">
      <c r="A661" s="36" t="s">
        <v>118</v>
      </c>
      <c r="B661" s="18">
        <v>150</v>
      </c>
    </row>
    <row r="662" spans="1:2" ht="20.100000000000001" customHeight="1" thickBot="1" x14ac:dyDescent="0.35">
      <c r="A662" s="36" t="s">
        <v>116</v>
      </c>
      <c r="B662" s="18">
        <v>11.95</v>
      </c>
    </row>
    <row r="663" spans="1:2" ht="20.100000000000001" customHeight="1" thickBot="1" x14ac:dyDescent="0.35">
      <c r="A663" s="36" t="s">
        <v>118</v>
      </c>
      <c r="B663" s="18">
        <v>150</v>
      </c>
    </row>
    <row r="664" spans="1:2" ht="20.100000000000001" customHeight="1" thickBot="1" x14ac:dyDescent="0.35">
      <c r="A664" s="36" t="s">
        <v>122</v>
      </c>
      <c r="B664" s="18">
        <v>3.84</v>
      </c>
    </row>
    <row r="665" spans="1:2" ht="20.100000000000001" customHeight="1" thickBot="1" x14ac:dyDescent="0.35">
      <c r="A665" s="36" t="s">
        <v>114</v>
      </c>
      <c r="B665" s="18">
        <v>2.99</v>
      </c>
    </row>
    <row r="666" spans="1:2" ht="20.100000000000001" customHeight="1" thickBot="1" x14ac:dyDescent="0.35">
      <c r="A666" s="36" t="s">
        <v>114</v>
      </c>
      <c r="B666" s="18">
        <v>2.99</v>
      </c>
    </row>
    <row r="667" spans="1:2" ht="20.100000000000001" customHeight="1" thickBot="1" x14ac:dyDescent="0.35">
      <c r="A667" s="36" t="s">
        <v>122</v>
      </c>
      <c r="B667" s="18">
        <v>3.84</v>
      </c>
    </row>
    <row r="668" spans="1:2" ht="20.100000000000001" customHeight="1" thickBot="1" x14ac:dyDescent="0.35">
      <c r="A668" s="36" t="s">
        <v>122</v>
      </c>
      <c r="B668" s="18">
        <v>3.84</v>
      </c>
    </row>
    <row r="669" spans="1:2" ht="20.100000000000001" customHeight="1" thickBot="1" x14ac:dyDescent="0.35">
      <c r="A669" s="36" t="s">
        <v>123</v>
      </c>
      <c r="B669" s="18">
        <v>600</v>
      </c>
    </row>
    <row r="670" spans="1:2" ht="20.100000000000001" customHeight="1" thickBot="1" x14ac:dyDescent="0.35">
      <c r="A670" s="36" t="s">
        <v>112</v>
      </c>
      <c r="B670" s="18">
        <v>11.99</v>
      </c>
    </row>
    <row r="671" spans="1:2" ht="20.100000000000001" customHeight="1" thickBot="1" x14ac:dyDescent="0.35">
      <c r="A671" s="36" t="s">
        <v>110</v>
      </c>
      <c r="B671" s="18">
        <v>700</v>
      </c>
    </row>
    <row r="672" spans="1:2" ht="20.100000000000001" customHeight="1" thickBot="1" x14ac:dyDescent="0.35">
      <c r="A672" s="36" t="s">
        <v>114</v>
      </c>
      <c r="B672" s="18">
        <v>2.99</v>
      </c>
    </row>
    <row r="673" spans="1:2" ht="20.100000000000001" customHeight="1" thickBot="1" x14ac:dyDescent="0.35">
      <c r="A673" s="36" t="s">
        <v>110</v>
      </c>
      <c r="B673" s="18">
        <v>700</v>
      </c>
    </row>
    <row r="674" spans="1:2" ht="20.100000000000001" customHeight="1" thickBot="1" x14ac:dyDescent="0.35">
      <c r="A674" s="36" t="s">
        <v>125</v>
      </c>
      <c r="B674" s="18">
        <v>379.99</v>
      </c>
    </row>
    <row r="675" spans="1:2" ht="20.100000000000001" customHeight="1" thickBot="1" x14ac:dyDescent="0.35">
      <c r="A675" s="36" t="s">
        <v>111</v>
      </c>
      <c r="B675" s="18">
        <v>14.95</v>
      </c>
    </row>
    <row r="676" spans="1:2" ht="20.100000000000001" customHeight="1" thickBot="1" x14ac:dyDescent="0.35">
      <c r="A676" s="36" t="s">
        <v>116</v>
      </c>
      <c r="B676" s="18">
        <v>11.95</v>
      </c>
    </row>
    <row r="677" spans="1:2" ht="20.100000000000001" customHeight="1" thickBot="1" x14ac:dyDescent="0.35">
      <c r="A677" s="36" t="s">
        <v>122</v>
      </c>
      <c r="B677" s="18">
        <v>3.84</v>
      </c>
    </row>
    <row r="678" spans="1:2" ht="20.100000000000001" customHeight="1" thickBot="1" x14ac:dyDescent="0.35">
      <c r="A678" s="36" t="s">
        <v>122</v>
      </c>
      <c r="B678" s="18">
        <v>3.84</v>
      </c>
    </row>
    <row r="679" spans="1:2" ht="20.100000000000001" customHeight="1" thickBot="1" x14ac:dyDescent="0.35">
      <c r="A679" s="36" t="s">
        <v>118</v>
      </c>
      <c r="B679" s="18">
        <v>150</v>
      </c>
    </row>
    <row r="680" spans="1:2" ht="20.100000000000001" customHeight="1" thickBot="1" x14ac:dyDescent="0.35">
      <c r="A680" s="36" t="s">
        <v>122</v>
      </c>
      <c r="B680" s="18">
        <v>3.84</v>
      </c>
    </row>
    <row r="681" spans="1:2" ht="20.100000000000001" customHeight="1" thickBot="1" x14ac:dyDescent="0.35">
      <c r="A681" s="36" t="s">
        <v>122</v>
      </c>
      <c r="B681" s="18">
        <v>3.84</v>
      </c>
    </row>
    <row r="682" spans="1:2" ht="20.100000000000001" customHeight="1" thickBot="1" x14ac:dyDescent="0.35">
      <c r="A682" s="36" t="s">
        <v>123</v>
      </c>
      <c r="B682" s="18">
        <v>600</v>
      </c>
    </row>
    <row r="683" spans="1:2" ht="20.100000000000001" customHeight="1" thickBot="1" x14ac:dyDescent="0.35">
      <c r="A683" s="36" t="s">
        <v>120</v>
      </c>
      <c r="B683" s="18">
        <v>300</v>
      </c>
    </row>
    <row r="684" spans="1:2" ht="20.100000000000001" customHeight="1" thickBot="1" x14ac:dyDescent="0.35">
      <c r="A684" s="36" t="s">
        <v>114</v>
      </c>
      <c r="B684" s="18">
        <v>2.99</v>
      </c>
    </row>
    <row r="685" spans="1:2" ht="20.100000000000001" customHeight="1" thickBot="1" x14ac:dyDescent="0.35">
      <c r="A685" s="36" t="s">
        <v>116</v>
      </c>
      <c r="B685" s="18">
        <v>11.95</v>
      </c>
    </row>
    <row r="686" spans="1:2" ht="20.100000000000001" customHeight="1" thickBot="1" x14ac:dyDescent="0.35">
      <c r="A686" s="36" t="s">
        <v>121</v>
      </c>
      <c r="B686" s="18">
        <v>400</v>
      </c>
    </row>
    <row r="687" spans="1:2" ht="20.100000000000001" customHeight="1" thickBot="1" x14ac:dyDescent="0.35">
      <c r="A687" s="36" t="s">
        <v>112</v>
      </c>
      <c r="B687" s="18">
        <v>11.99</v>
      </c>
    </row>
    <row r="688" spans="1:2" ht="20.100000000000001" customHeight="1" thickBot="1" x14ac:dyDescent="0.35">
      <c r="A688" s="36" t="s">
        <v>123</v>
      </c>
      <c r="B688" s="18">
        <v>600</v>
      </c>
    </row>
    <row r="689" spans="1:2" ht="20.100000000000001" customHeight="1" thickBot="1" x14ac:dyDescent="0.35">
      <c r="A689" s="36" t="s">
        <v>116</v>
      </c>
      <c r="B689" s="18">
        <v>11.95</v>
      </c>
    </row>
    <row r="690" spans="1:2" ht="20.100000000000001" customHeight="1" thickBot="1" x14ac:dyDescent="0.35">
      <c r="A690" s="36" t="s">
        <v>112</v>
      </c>
      <c r="B690" s="18">
        <v>11.99</v>
      </c>
    </row>
    <row r="691" spans="1:2" ht="20.100000000000001" customHeight="1" thickBot="1" x14ac:dyDescent="0.35">
      <c r="A691" s="36" t="s">
        <v>126</v>
      </c>
      <c r="B691" s="18">
        <v>999.99</v>
      </c>
    </row>
    <row r="692" spans="1:2" ht="20.100000000000001" customHeight="1" thickBot="1" x14ac:dyDescent="0.35">
      <c r="A692" s="36" t="s">
        <v>118</v>
      </c>
      <c r="B692" s="18">
        <v>150</v>
      </c>
    </row>
    <row r="693" spans="1:2" ht="20.100000000000001" customHeight="1" thickBot="1" x14ac:dyDescent="0.35">
      <c r="A693" s="36" t="s">
        <v>116</v>
      </c>
      <c r="B693" s="18">
        <v>11.95</v>
      </c>
    </row>
    <row r="694" spans="1:2" ht="20.100000000000001" customHeight="1" thickBot="1" x14ac:dyDescent="0.35">
      <c r="A694" s="36" t="s">
        <v>114</v>
      </c>
      <c r="B694" s="18">
        <v>2.99</v>
      </c>
    </row>
    <row r="695" spans="1:2" ht="20.100000000000001" customHeight="1" thickBot="1" x14ac:dyDescent="0.35">
      <c r="A695" s="36" t="s">
        <v>116</v>
      </c>
      <c r="B695" s="18">
        <v>11.95</v>
      </c>
    </row>
    <row r="696" spans="1:2" ht="20.100000000000001" customHeight="1" thickBot="1" x14ac:dyDescent="0.35">
      <c r="A696" s="36" t="s">
        <v>118</v>
      </c>
      <c r="B696" s="18">
        <v>150</v>
      </c>
    </row>
    <row r="697" spans="1:2" ht="20.100000000000001" customHeight="1" thickBot="1" x14ac:dyDescent="0.35">
      <c r="A697" s="36" t="s">
        <v>122</v>
      </c>
      <c r="B697" s="18">
        <v>3.84</v>
      </c>
    </row>
    <row r="698" spans="1:2" ht="20.100000000000001" customHeight="1" thickBot="1" x14ac:dyDescent="0.35">
      <c r="A698" s="36" t="s">
        <v>121</v>
      </c>
      <c r="B698" s="18">
        <v>400</v>
      </c>
    </row>
    <row r="699" spans="1:2" ht="20.100000000000001" customHeight="1" thickBot="1" x14ac:dyDescent="0.35">
      <c r="A699" s="36" t="s">
        <v>112</v>
      </c>
      <c r="B699" s="18">
        <v>11.99</v>
      </c>
    </row>
    <row r="700" spans="1:2" ht="20.100000000000001" customHeight="1" thickBot="1" x14ac:dyDescent="0.35">
      <c r="A700" s="36" t="s">
        <v>111</v>
      </c>
      <c r="B700" s="18">
        <v>14.95</v>
      </c>
    </row>
    <row r="701" spans="1:2" ht="20.100000000000001" customHeight="1" thickBot="1" x14ac:dyDescent="0.35">
      <c r="A701" s="36" t="s">
        <v>118</v>
      </c>
      <c r="B701" s="18">
        <v>150</v>
      </c>
    </row>
    <row r="702" spans="1:2" ht="20.100000000000001" customHeight="1" thickBot="1" x14ac:dyDescent="0.35">
      <c r="A702" s="36" t="s">
        <v>114</v>
      </c>
      <c r="B702" s="18">
        <v>2.99</v>
      </c>
    </row>
    <row r="703" spans="1:2" ht="20.100000000000001" customHeight="1" thickBot="1" x14ac:dyDescent="0.35">
      <c r="A703" s="36" t="s">
        <v>117</v>
      </c>
      <c r="B703" s="18">
        <v>99.99</v>
      </c>
    </row>
    <row r="704" spans="1:2" ht="20.100000000000001" customHeight="1" thickBot="1" x14ac:dyDescent="0.35">
      <c r="A704" s="36" t="s">
        <v>114</v>
      </c>
      <c r="B704" s="18">
        <v>2.99</v>
      </c>
    </row>
    <row r="705" spans="1:2" ht="20.100000000000001" customHeight="1" thickBot="1" x14ac:dyDescent="0.35">
      <c r="A705" s="36" t="s">
        <v>112</v>
      </c>
      <c r="B705" s="18">
        <v>11.99</v>
      </c>
    </row>
    <row r="706" spans="1:2" ht="20.100000000000001" customHeight="1" thickBot="1" x14ac:dyDescent="0.35">
      <c r="A706" s="36" t="s">
        <v>114</v>
      </c>
      <c r="B706" s="18">
        <v>2.99</v>
      </c>
    </row>
    <row r="707" spans="1:2" ht="20.100000000000001" customHeight="1" thickBot="1" x14ac:dyDescent="0.35">
      <c r="A707" s="36" t="s">
        <v>117</v>
      </c>
      <c r="B707" s="18">
        <v>99.99</v>
      </c>
    </row>
    <row r="708" spans="1:2" ht="20.100000000000001" customHeight="1" thickBot="1" x14ac:dyDescent="0.35">
      <c r="A708" s="36" t="s">
        <v>112</v>
      </c>
      <c r="B708" s="18">
        <v>11.99</v>
      </c>
    </row>
    <row r="709" spans="1:2" ht="20.100000000000001" customHeight="1" thickBot="1" x14ac:dyDescent="0.35">
      <c r="A709" s="36" t="s">
        <v>112</v>
      </c>
      <c r="B709" s="18">
        <v>11.99</v>
      </c>
    </row>
    <row r="710" spans="1:2" ht="20.100000000000001" customHeight="1" thickBot="1" x14ac:dyDescent="0.35">
      <c r="A710" s="36" t="s">
        <v>111</v>
      </c>
      <c r="B710" s="18">
        <v>14.95</v>
      </c>
    </row>
    <row r="711" spans="1:2" ht="20.100000000000001" customHeight="1" thickBot="1" x14ac:dyDescent="0.35">
      <c r="A711" s="36" t="s">
        <v>122</v>
      </c>
      <c r="B711" s="18">
        <v>3.84</v>
      </c>
    </row>
    <row r="712" spans="1:2" ht="20.100000000000001" customHeight="1" thickBot="1" x14ac:dyDescent="0.35">
      <c r="A712" s="36" t="s">
        <v>111</v>
      </c>
      <c r="B712" s="18">
        <v>14.95</v>
      </c>
    </row>
    <row r="713" spans="1:2" ht="20.100000000000001" customHeight="1" thickBot="1" x14ac:dyDescent="0.35">
      <c r="A713" s="36" t="s">
        <v>116</v>
      </c>
      <c r="B713" s="18">
        <v>11.95</v>
      </c>
    </row>
    <row r="714" spans="1:2" ht="20.100000000000001" customHeight="1" thickBot="1" x14ac:dyDescent="0.35">
      <c r="A714" s="36" t="s">
        <v>111</v>
      </c>
      <c r="B714" s="18">
        <v>14.95</v>
      </c>
    </row>
    <row r="715" spans="1:2" ht="20.100000000000001" customHeight="1" thickBot="1" x14ac:dyDescent="0.35">
      <c r="A715" s="36" t="s">
        <v>124</v>
      </c>
      <c r="B715" s="18">
        <v>109.99</v>
      </c>
    </row>
    <row r="716" spans="1:2" ht="20.100000000000001" customHeight="1" thickBot="1" x14ac:dyDescent="0.35">
      <c r="A716" s="36" t="s">
        <v>113</v>
      </c>
      <c r="B716" s="18">
        <v>149.99</v>
      </c>
    </row>
    <row r="717" spans="1:2" ht="20.100000000000001" customHeight="1" thickBot="1" x14ac:dyDescent="0.35">
      <c r="A717" s="36" t="s">
        <v>118</v>
      </c>
      <c r="B717" s="18">
        <v>150</v>
      </c>
    </row>
    <row r="718" spans="1:2" ht="20.100000000000001" customHeight="1" thickBot="1" x14ac:dyDescent="0.35">
      <c r="A718" s="36" t="s">
        <v>122</v>
      </c>
      <c r="B718" s="18">
        <v>3.84</v>
      </c>
    </row>
    <row r="719" spans="1:2" ht="20.100000000000001" customHeight="1" thickBot="1" x14ac:dyDescent="0.35">
      <c r="A719" s="36" t="s">
        <v>124</v>
      </c>
      <c r="B719" s="18">
        <v>109.99</v>
      </c>
    </row>
    <row r="720" spans="1:2" ht="20.100000000000001" customHeight="1" thickBot="1" x14ac:dyDescent="0.35">
      <c r="A720" s="36" t="s">
        <v>116</v>
      </c>
      <c r="B720" s="18">
        <v>11.95</v>
      </c>
    </row>
    <row r="721" spans="1:2" ht="20.100000000000001" customHeight="1" thickBot="1" x14ac:dyDescent="0.35">
      <c r="A721" s="36" t="s">
        <v>111</v>
      </c>
      <c r="B721" s="18">
        <v>14.95</v>
      </c>
    </row>
    <row r="722" spans="1:2" ht="20.100000000000001" customHeight="1" thickBot="1" x14ac:dyDescent="0.35">
      <c r="A722" s="36" t="s">
        <v>112</v>
      </c>
      <c r="B722" s="18">
        <v>11.99</v>
      </c>
    </row>
    <row r="723" spans="1:2" ht="20.100000000000001" customHeight="1" thickBot="1" x14ac:dyDescent="0.35">
      <c r="A723" s="36" t="s">
        <v>120</v>
      </c>
      <c r="B723" s="18">
        <v>300</v>
      </c>
    </row>
    <row r="724" spans="1:2" ht="20.100000000000001" customHeight="1" thickBot="1" x14ac:dyDescent="0.35">
      <c r="A724" s="36" t="s">
        <v>125</v>
      </c>
      <c r="B724" s="18">
        <v>379.99</v>
      </c>
    </row>
    <row r="725" spans="1:2" ht="20.100000000000001" customHeight="1" thickBot="1" x14ac:dyDescent="0.35">
      <c r="A725" s="36" t="s">
        <v>111</v>
      </c>
      <c r="B725" s="18">
        <v>14.95</v>
      </c>
    </row>
    <row r="726" spans="1:2" ht="20.100000000000001" customHeight="1" thickBot="1" x14ac:dyDescent="0.35">
      <c r="A726" s="36" t="s">
        <v>116</v>
      </c>
      <c r="B726" s="18">
        <v>11.95</v>
      </c>
    </row>
    <row r="727" spans="1:2" ht="20.100000000000001" customHeight="1" thickBot="1" x14ac:dyDescent="0.35">
      <c r="A727" s="36" t="s">
        <v>119</v>
      </c>
      <c r="B727" s="18">
        <v>1700</v>
      </c>
    </row>
    <row r="728" spans="1:2" ht="20.100000000000001" customHeight="1" thickBot="1" x14ac:dyDescent="0.35">
      <c r="A728" s="36" t="s">
        <v>125</v>
      </c>
      <c r="B728" s="18">
        <v>379.99</v>
      </c>
    </row>
    <row r="729" spans="1:2" ht="20.100000000000001" customHeight="1" thickBot="1" x14ac:dyDescent="0.35">
      <c r="A729" s="36" t="s">
        <v>111</v>
      </c>
      <c r="B729" s="18">
        <v>14.95</v>
      </c>
    </row>
    <row r="730" spans="1:2" ht="20.100000000000001" customHeight="1" thickBot="1" x14ac:dyDescent="0.35">
      <c r="A730" s="36" t="s">
        <v>117</v>
      </c>
      <c r="B730" s="18">
        <v>99.99</v>
      </c>
    </row>
    <row r="731" spans="1:2" ht="20.100000000000001" customHeight="1" thickBot="1" x14ac:dyDescent="0.35">
      <c r="A731" s="36" t="s">
        <v>124</v>
      </c>
      <c r="B731" s="18">
        <v>109.99</v>
      </c>
    </row>
    <row r="732" spans="1:2" ht="20.100000000000001" customHeight="1" thickBot="1" x14ac:dyDescent="0.35">
      <c r="A732" s="36" t="s">
        <v>114</v>
      </c>
      <c r="B732" s="18">
        <v>2.99</v>
      </c>
    </row>
    <row r="733" spans="1:2" ht="20.100000000000001" customHeight="1" thickBot="1" x14ac:dyDescent="0.35">
      <c r="A733" s="36" t="s">
        <v>111</v>
      </c>
      <c r="B733" s="18">
        <v>14.95</v>
      </c>
    </row>
    <row r="734" spans="1:2" ht="20.100000000000001" customHeight="1" thickBot="1" x14ac:dyDescent="0.35">
      <c r="A734" s="36" t="s">
        <v>124</v>
      </c>
      <c r="B734" s="18">
        <v>109.99</v>
      </c>
    </row>
    <row r="735" spans="1:2" ht="20.100000000000001" customHeight="1" thickBot="1" x14ac:dyDescent="0.35">
      <c r="A735" s="36" t="s">
        <v>116</v>
      </c>
      <c r="B735" s="18">
        <v>11.95</v>
      </c>
    </row>
    <row r="736" spans="1:2" ht="20.100000000000001" customHeight="1" thickBot="1" x14ac:dyDescent="0.35">
      <c r="A736" s="36" t="s">
        <v>116</v>
      </c>
      <c r="B736" s="18">
        <v>11.95</v>
      </c>
    </row>
    <row r="737" spans="1:2" ht="20.100000000000001" customHeight="1" thickBot="1" x14ac:dyDescent="0.35">
      <c r="A737" s="36" t="s">
        <v>112</v>
      </c>
      <c r="B737" s="18">
        <v>11.99</v>
      </c>
    </row>
    <row r="738" spans="1:2" ht="20.100000000000001" customHeight="1" thickBot="1" x14ac:dyDescent="0.35">
      <c r="A738" s="36" t="s">
        <v>117</v>
      </c>
      <c r="B738" s="18">
        <v>99.99</v>
      </c>
    </row>
    <row r="739" spans="1:2" ht="20.100000000000001" customHeight="1" thickBot="1" x14ac:dyDescent="0.35">
      <c r="A739" s="36" t="s">
        <v>111</v>
      </c>
      <c r="B739" s="18">
        <v>14.95</v>
      </c>
    </row>
    <row r="740" spans="1:2" ht="20.100000000000001" customHeight="1" thickBot="1" x14ac:dyDescent="0.35">
      <c r="A740" s="36" t="s">
        <v>113</v>
      </c>
      <c r="B740" s="18">
        <v>149.99</v>
      </c>
    </row>
    <row r="741" spans="1:2" ht="20.100000000000001" customHeight="1" thickBot="1" x14ac:dyDescent="0.35">
      <c r="A741" s="36" t="s">
        <v>116</v>
      </c>
      <c r="B741" s="18">
        <v>11.95</v>
      </c>
    </row>
    <row r="742" spans="1:2" ht="20.100000000000001" customHeight="1" thickBot="1" x14ac:dyDescent="0.35">
      <c r="A742" s="36" t="s">
        <v>114</v>
      </c>
      <c r="B742" s="18">
        <v>2.99</v>
      </c>
    </row>
    <row r="743" spans="1:2" ht="20.100000000000001" customHeight="1" thickBot="1" x14ac:dyDescent="0.35">
      <c r="A743" s="36" t="s">
        <v>126</v>
      </c>
      <c r="B743" s="18">
        <v>999.99</v>
      </c>
    </row>
    <row r="744" spans="1:2" ht="20.100000000000001" customHeight="1" thickBot="1" x14ac:dyDescent="0.35">
      <c r="A744" s="36" t="s">
        <v>111</v>
      </c>
      <c r="B744" s="18">
        <v>14.95</v>
      </c>
    </row>
    <row r="745" spans="1:2" ht="20.100000000000001" customHeight="1" thickBot="1" x14ac:dyDescent="0.35">
      <c r="A745" s="36" t="s">
        <v>119</v>
      </c>
      <c r="B745" s="18">
        <v>1700</v>
      </c>
    </row>
    <row r="746" spans="1:2" ht="20.100000000000001" customHeight="1" thickBot="1" x14ac:dyDescent="0.35">
      <c r="A746" s="36" t="s">
        <v>123</v>
      </c>
      <c r="B746" s="18">
        <v>600</v>
      </c>
    </row>
    <row r="747" spans="1:2" ht="20.100000000000001" customHeight="1" thickBot="1" x14ac:dyDescent="0.35">
      <c r="A747" s="36" t="s">
        <v>111</v>
      </c>
      <c r="B747" s="18">
        <v>14.95</v>
      </c>
    </row>
    <row r="748" spans="1:2" ht="20.100000000000001" customHeight="1" thickBot="1" x14ac:dyDescent="0.35">
      <c r="A748" s="36" t="s">
        <v>120</v>
      </c>
      <c r="B748" s="18">
        <v>300</v>
      </c>
    </row>
    <row r="749" spans="1:2" ht="20.100000000000001" customHeight="1" thickBot="1" x14ac:dyDescent="0.35">
      <c r="A749" s="36" t="s">
        <v>116</v>
      </c>
      <c r="B749" s="18">
        <v>11.95</v>
      </c>
    </row>
    <row r="750" spans="1:2" ht="20.100000000000001" customHeight="1" thickBot="1" x14ac:dyDescent="0.35">
      <c r="A750" s="36" t="s">
        <v>111</v>
      </c>
      <c r="B750" s="18">
        <v>14.95</v>
      </c>
    </row>
    <row r="751" spans="1:2" ht="20.100000000000001" customHeight="1" thickBot="1" x14ac:dyDescent="0.35">
      <c r="A751" s="36" t="s">
        <v>112</v>
      </c>
      <c r="B751" s="18">
        <v>11.99</v>
      </c>
    </row>
    <row r="752" spans="1:2" ht="20.100000000000001" customHeight="1" thickBot="1" x14ac:dyDescent="0.35">
      <c r="A752" s="36" t="s">
        <v>122</v>
      </c>
      <c r="B752" s="18">
        <v>3.84</v>
      </c>
    </row>
    <row r="753" spans="1:2" ht="20.100000000000001" customHeight="1" thickBot="1" x14ac:dyDescent="0.35">
      <c r="A753" s="36" t="s">
        <v>110</v>
      </c>
      <c r="B753" s="18">
        <v>700</v>
      </c>
    </row>
    <row r="754" spans="1:2" ht="20.100000000000001" customHeight="1" thickBot="1" x14ac:dyDescent="0.35">
      <c r="A754" s="36" t="s">
        <v>122</v>
      </c>
      <c r="B754" s="18">
        <v>3.84</v>
      </c>
    </row>
    <row r="755" spans="1:2" ht="20.100000000000001" customHeight="1" thickBot="1" x14ac:dyDescent="0.35">
      <c r="A755" s="36" t="s">
        <v>117</v>
      </c>
      <c r="B755" s="18">
        <v>99.99</v>
      </c>
    </row>
    <row r="756" spans="1:2" ht="20.100000000000001" customHeight="1" thickBot="1" x14ac:dyDescent="0.35">
      <c r="A756" s="36" t="s">
        <v>122</v>
      </c>
      <c r="B756" s="18">
        <v>3.84</v>
      </c>
    </row>
    <row r="757" spans="1:2" ht="20.100000000000001" customHeight="1" thickBot="1" x14ac:dyDescent="0.35">
      <c r="A757" s="36" t="s">
        <v>123</v>
      </c>
      <c r="B757" s="18">
        <v>600</v>
      </c>
    </row>
    <row r="758" spans="1:2" ht="20.100000000000001" customHeight="1" thickBot="1" x14ac:dyDescent="0.35">
      <c r="A758" s="36" t="s">
        <v>112</v>
      </c>
      <c r="B758" s="18">
        <v>11.99</v>
      </c>
    </row>
    <row r="759" spans="1:2" ht="20.100000000000001" customHeight="1" thickBot="1" x14ac:dyDescent="0.35">
      <c r="A759" s="36" t="s">
        <v>111</v>
      </c>
      <c r="B759" s="18">
        <v>14.95</v>
      </c>
    </row>
    <row r="760" spans="1:2" ht="20.100000000000001" customHeight="1" thickBot="1" x14ac:dyDescent="0.35">
      <c r="A760" s="36" t="s">
        <v>110</v>
      </c>
      <c r="B760" s="18">
        <v>700</v>
      </c>
    </row>
    <row r="761" spans="1:2" ht="20.100000000000001" customHeight="1" thickBot="1" x14ac:dyDescent="0.35">
      <c r="A761" s="36" t="s">
        <v>112</v>
      </c>
      <c r="B761" s="18">
        <v>11.99</v>
      </c>
    </row>
    <row r="762" spans="1:2" ht="20.100000000000001" customHeight="1" thickBot="1" x14ac:dyDescent="0.35">
      <c r="A762" s="36" t="s">
        <v>120</v>
      </c>
      <c r="B762" s="18">
        <v>300</v>
      </c>
    </row>
    <row r="763" spans="1:2" ht="20.100000000000001" customHeight="1" thickBot="1" x14ac:dyDescent="0.35">
      <c r="A763" s="36" t="s">
        <v>113</v>
      </c>
      <c r="B763" s="18">
        <v>149.99</v>
      </c>
    </row>
    <row r="764" spans="1:2" ht="20.100000000000001" customHeight="1" thickBot="1" x14ac:dyDescent="0.35">
      <c r="A764" s="36" t="s">
        <v>118</v>
      </c>
      <c r="B764" s="18">
        <v>150</v>
      </c>
    </row>
    <row r="765" spans="1:2" ht="20.100000000000001" customHeight="1" thickBot="1" x14ac:dyDescent="0.35">
      <c r="A765" s="36" t="s">
        <v>111</v>
      </c>
      <c r="B765" s="18">
        <v>14.95</v>
      </c>
    </row>
    <row r="766" spans="1:2" ht="20.100000000000001" customHeight="1" thickBot="1" x14ac:dyDescent="0.35">
      <c r="A766" s="36" t="s">
        <v>125</v>
      </c>
      <c r="B766" s="18">
        <v>379.99</v>
      </c>
    </row>
    <row r="767" spans="1:2" ht="20.100000000000001" customHeight="1" thickBot="1" x14ac:dyDescent="0.35">
      <c r="A767" s="36" t="s">
        <v>123</v>
      </c>
      <c r="B767" s="18">
        <v>600</v>
      </c>
    </row>
    <row r="768" spans="1:2" ht="20.100000000000001" customHeight="1" thickBot="1" x14ac:dyDescent="0.35">
      <c r="A768" s="36" t="s">
        <v>110</v>
      </c>
      <c r="B768" s="18">
        <v>700</v>
      </c>
    </row>
    <row r="769" spans="1:2" ht="20.100000000000001" customHeight="1" thickBot="1" x14ac:dyDescent="0.35">
      <c r="A769" s="36" t="s">
        <v>114</v>
      </c>
      <c r="B769" s="18">
        <v>2.99</v>
      </c>
    </row>
    <row r="770" spans="1:2" ht="20.100000000000001" customHeight="1" thickBot="1" x14ac:dyDescent="0.35">
      <c r="A770" s="36" t="s">
        <v>114</v>
      </c>
      <c r="B770" s="18">
        <v>2.99</v>
      </c>
    </row>
    <row r="771" spans="1:2" ht="20.100000000000001" customHeight="1" thickBot="1" x14ac:dyDescent="0.35">
      <c r="A771" s="36" t="s">
        <v>122</v>
      </c>
      <c r="B771" s="18">
        <v>3.84</v>
      </c>
    </row>
    <row r="772" spans="1:2" ht="20.100000000000001" customHeight="1" thickBot="1" x14ac:dyDescent="0.35">
      <c r="A772" s="36" t="s">
        <v>116</v>
      </c>
      <c r="B772" s="18">
        <v>11.95</v>
      </c>
    </row>
    <row r="773" spans="1:2" ht="20.100000000000001" customHeight="1" thickBot="1" x14ac:dyDescent="0.35">
      <c r="A773" s="36" t="s">
        <v>113</v>
      </c>
      <c r="B773" s="18">
        <v>149.99</v>
      </c>
    </row>
    <row r="774" spans="1:2" ht="20.100000000000001" customHeight="1" thickBot="1" x14ac:dyDescent="0.35">
      <c r="A774" s="36" t="s">
        <v>112</v>
      </c>
      <c r="B774" s="18">
        <v>11.99</v>
      </c>
    </row>
    <row r="775" spans="1:2" ht="20.100000000000001" customHeight="1" thickBot="1" x14ac:dyDescent="0.35">
      <c r="A775" s="36" t="s">
        <v>120</v>
      </c>
      <c r="B775" s="18">
        <v>300</v>
      </c>
    </row>
    <row r="776" spans="1:2" ht="20.100000000000001" customHeight="1" thickBot="1" x14ac:dyDescent="0.35">
      <c r="A776" s="36" t="s">
        <v>117</v>
      </c>
      <c r="B776" s="18">
        <v>99.99</v>
      </c>
    </row>
    <row r="777" spans="1:2" ht="20.100000000000001" customHeight="1" thickBot="1" x14ac:dyDescent="0.35">
      <c r="A777" s="36" t="s">
        <v>124</v>
      </c>
      <c r="B777" s="18">
        <v>109.99</v>
      </c>
    </row>
    <row r="778" spans="1:2" ht="20.100000000000001" customHeight="1" thickBot="1" x14ac:dyDescent="0.35">
      <c r="A778" s="36" t="s">
        <v>113</v>
      </c>
      <c r="B778" s="18">
        <v>149.99</v>
      </c>
    </row>
    <row r="779" spans="1:2" ht="20.100000000000001" customHeight="1" thickBot="1" x14ac:dyDescent="0.35">
      <c r="A779" s="36" t="s">
        <v>115</v>
      </c>
      <c r="B779" s="18">
        <v>389.99</v>
      </c>
    </row>
    <row r="780" spans="1:2" ht="20.100000000000001" customHeight="1" thickBot="1" x14ac:dyDescent="0.35">
      <c r="A780" s="36" t="s">
        <v>121</v>
      </c>
      <c r="B780" s="18">
        <v>400</v>
      </c>
    </row>
    <row r="781" spans="1:2" ht="20.100000000000001" customHeight="1" thickBot="1" x14ac:dyDescent="0.35">
      <c r="A781" s="36" t="s">
        <v>118</v>
      </c>
      <c r="B781" s="18">
        <v>150</v>
      </c>
    </row>
    <row r="782" spans="1:2" ht="20.100000000000001" customHeight="1" thickBot="1" x14ac:dyDescent="0.35">
      <c r="A782" s="36" t="s">
        <v>111</v>
      </c>
      <c r="B782" s="18">
        <v>14.95</v>
      </c>
    </row>
    <row r="783" spans="1:2" ht="20.100000000000001" customHeight="1" thickBot="1" x14ac:dyDescent="0.35">
      <c r="A783" s="36" t="s">
        <v>123</v>
      </c>
      <c r="B783" s="18">
        <v>600</v>
      </c>
    </row>
    <row r="784" spans="1:2" ht="20.100000000000001" customHeight="1" thickBot="1" x14ac:dyDescent="0.35">
      <c r="A784" s="36" t="s">
        <v>117</v>
      </c>
      <c r="B784" s="18">
        <v>99.99</v>
      </c>
    </row>
    <row r="785" spans="1:2" ht="20.100000000000001" customHeight="1" thickBot="1" x14ac:dyDescent="0.35">
      <c r="A785" s="36" t="s">
        <v>117</v>
      </c>
      <c r="B785" s="18">
        <v>99.99</v>
      </c>
    </row>
    <row r="786" spans="1:2" ht="20.100000000000001" customHeight="1" thickBot="1" x14ac:dyDescent="0.35">
      <c r="A786" s="36" t="s">
        <v>116</v>
      </c>
      <c r="B786" s="18">
        <v>11.95</v>
      </c>
    </row>
    <row r="787" spans="1:2" ht="20.100000000000001" customHeight="1" thickBot="1" x14ac:dyDescent="0.35">
      <c r="A787" s="36" t="s">
        <v>114</v>
      </c>
      <c r="B787" s="18">
        <v>2.99</v>
      </c>
    </row>
    <row r="788" spans="1:2" ht="20.100000000000001" customHeight="1" thickBot="1" x14ac:dyDescent="0.35">
      <c r="A788" s="36" t="s">
        <v>117</v>
      </c>
      <c r="B788" s="18">
        <v>99.99</v>
      </c>
    </row>
    <row r="789" spans="1:2" ht="20.100000000000001" customHeight="1" thickBot="1" x14ac:dyDescent="0.35">
      <c r="A789" s="36" t="s">
        <v>110</v>
      </c>
      <c r="B789" s="18">
        <v>700</v>
      </c>
    </row>
    <row r="790" spans="1:2" ht="20.100000000000001" customHeight="1" thickBot="1" x14ac:dyDescent="0.35">
      <c r="A790" s="36" t="s">
        <v>112</v>
      </c>
      <c r="B790" s="18">
        <v>11.99</v>
      </c>
    </row>
    <row r="791" spans="1:2" ht="20.100000000000001" customHeight="1" thickBot="1" x14ac:dyDescent="0.35">
      <c r="A791" s="36" t="s">
        <v>111</v>
      </c>
      <c r="B791" s="18">
        <v>14.95</v>
      </c>
    </row>
    <row r="792" spans="1:2" ht="20.100000000000001" customHeight="1" thickBot="1" x14ac:dyDescent="0.35">
      <c r="A792" s="36" t="s">
        <v>122</v>
      </c>
      <c r="B792" s="18">
        <v>3.84</v>
      </c>
    </row>
    <row r="793" spans="1:2" ht="20.100000000000001" customHeight="1" thickBot="1" x14ac:dyDescent="0.35">
      <c r="A793" s="36" t="s">
        <v>111</v>
      </c>
      <c r="B793" s="18">
        <v>14.95</v>
      </c>
    </row>
    <row r="794" spans="1:2" ht="20.100000000000001" customHeight="1" thickBot="1" x14ac:dyDescent="0.35">
      <c r="A794" s="36" t="s">
        <v>113</v>
      </c>
      <c r="B794" s="18">
        <v>149.99</v>
      </c>
    </row>
    <row r="795" spans="1:2" ht="20.100000000000001" customHeight="1" thickBot="1" x14ac:dyDescent="0.35">
      <c r="A795" s="36" t="s">
        <v>114</v>
      </c>
      <c r="B795" s="18">
        <v>2.99</v>
      </c>
    </row>
    <row r="796" spans="1:2" ht="20.100000000000001" customHeight="1" thickBot="1" x14ac:dyDescent="0.35">
      <c r="A796" s="36" t="s">
        <v>113</v>
      </c>
      <c r="B796" s="18">
        <v>149.99</v>
      </c>
    </row>
    <row r="797" spans="1:2" ht="20.100000000000001" customHeight="1" thickBot="1" x14ac:dyDescent="0.35">
      <c r="A797" s="36" t="s">
        <v>115</v>
      </c>
      <c r="B797" s="18">
        <v>389.99</v>
      </c>
    </row>
    <row r="798" spans="1:2" ht="20.100000000000001" customHeight="1" thickBot="1" x14ac:dyDescent="0.35">
      <c r="A798" s="36" t="s">
        <v>114</v>
      </c>
      <c r="B798" s="18">
        <v>2.99</v>
      </c>
    </row>
    <row r="799" spans="1:2" ht="20.100000000000001" customHeight="1" thickBot="1" x14ac:dyDescent="0.35">
      <c r="A799" s="36" t="s">
        <v>113</v>
      </c>
      <c r="B799" s="18">
        <v>149.99</v>
      </c>
    </row>
    <row r="800" spans="1:2" ht="20.100000000000001" customHeight="1" thickBot="1" x14ac:dyDescent="0.35">
      <c r="A800" s="36" t="s">
        <v>111</v>
      </c>
      <c r="B800" s="18">
        <v>14.95</v>
      </c>
    </row>
    <row r="801" spans="1:2" ht="20.100000000000001" customHeight="1" thickBot="1" x14ac:dyDescent="0.35">
      <c r="A801" s="36" t="s">
        <v>117</v>
      </c>
      <c r="B801" s="18">
        <v>99.99</v>
      </c>
    </row>
    <row r="802" spans="1:2" ht="20.100000000000001" customHeight="1" thickBot="1" x14ac:dyDescent="0.35">
      <c r="A802" s="36" t="s">
        <v>116</v>
      </c>
      <c r="B802" s="18">
        <v>11.95</v>
      </c>
    </row>
    <row r="803" spans="1:2" ht="20.100000000000001" customHeight="1" thickBot="1" x14ac:dyDescent="0.35">
      <c r="A803" s="36" t="s">
        <v>117</v>
      </c>
      <c r="B803" s="18">
        <v>99.99</v>
      </c>
    </row>
    <row r="804" spans="1:2" ht="20.100000000000001" customHeight="1" thickBot="1" x14ac:dyDescent="0.35">
      <c r="A804" s="36" t="s">
        <v>113</v>
      </c>
      <c r="B804" s="18">
        <v>149.99</v>
      </c>
    </row>
    <row r="805" spans="1:2" ht="20.100000000000001" customHeight="1" thickBot="1" x14ac:dyDescent="0.35">
      <c r="A805" s="36" t="s">
        <v>112</v>
      </c>
      <c r="B805" s="18">
        <v>11.99</v>
      </c>
    </row>
    <row r="806" spans="1:2" ht="20.100000000000001" customHeight="1" thickBot="1" x14ac:dyDescent="0.35">
      <c r="A806" s="36" t="s">
        <v>110</v>
      </c>
      <c r="B806" s="18">
        <v>700</v>
      </c>
    </row>
    <row r="807" spans="1:2" ht="20.100000000000001" customHeight="1" thickBot="1" x14ac:dyDescent="0.35">
      <c r="A807" s="36" t="s">
        <v>110</v>
      </c>
      <c r="B807" s="18">
        <v>700</v>
      </c>
    </row>
    <row r="808" spans="1:2" ht="20.100000000000001" customHeight="1" thickBot="1" x14ac:dyDescent="0.35">
      <c r="A808" s="36" t="s">
        <v>111</v>
      </c>
      <c r="B808" s="18">
        <v>14.95</v>
      </c>
    </row>
    <row r="809" spans="1:2" ht="20.100000000000001" customHeight="1" thickBot="1" x14ac:dyDescent="0.35">
      <c r="A809" s="36" t="s">
        <v>118</v>
      </c>
      <c r="B809" s="18">
        <v>150</v>
      </c>
    </row>
    <row r="810" spans="1:2" ht="20.100000000000001" customHeight="1" thickBot="1" x14ac:dyDescent="0.35">
      <c r="A810" s="36" t="s">
        <v>114</v>
      </c>
      <c r="B810" s="18">
        <v>2.99</v>
      </c>
    </row>
    <row r="811" spans="1:2" ht="20.100000000000001" customHeight="1" thickBot="1" x14ac:dyDescent="0.35">
      <c r="A811" s="36" t="s">
        <v>117</v>
      </c>
      <c r="B811" s="18">
        <v>99.99</v>
      </c>
    </row>
    <row r="812" spans="1:2" ht="20.100000000000001" customHeight="1" thickBot="1" x14ac:dyDescent="0.35">
      <c r="A812" s="36" t="s">
        <v>119</v>
      </c>
      <c r="B812" s="18">
        <v>1700</v>
      </c>
    </row>
    <row r="813" spans="1:2" ht="20.100000000000001" customHeight="1" thickBot="1" x14ac:dyDescent="0.35">
      <c r="A813" s="36" t="s">
        <v>118</v>
      </c>
      <c r="B813" s="18">
        <v>150</v>
      </c>
    </row>
    <row r="814" spans="1:2" ht="20.100000000000001" customHeight="1" thickBot="1" x14ac:dyDescent="0.35">
      <c r="A814" s="36" t="s">
        <v>114</v>
      </c>
      <c r="B814" s="18">
        <v>2.99</v>
      </c>
    </row>
    <row r="815" spans="1:2" ht="20.100000000000001" customHeight="1" thickBot="1" x14ac:dyDescent="0.35">
      <c r="A815" s="36" t="s">
        <v>115</v>
      </c>
      <c r="B815" s="18">
        <v>389.99</v>
      </c>
    </row>
    <row r="816" spans="1:2" ht="20.100000000000001" customHeight="1" thickBot="1" x14ac:dyDescent="0.35">
      <c r="A816" s="36" t="s">
        <v>116</v>
      </c>
      <c r="B816" s="18">
        <v>11.95</v>
      </c>
    </row>
    <row r="817" spans="1:2" ht="20.100000000000001" customHeight="1" thickBot="1" x14ac:dyDescent="0.35">
      <c r="A817" s="36" t="s">
        <v>111</v>
      </c>
      <c r="B817" s="18">
        <v>14.95</v>
      </c>
    </row>
    <row r="818" spans="1:2" ht="20.100000000000001" customHeight="1" thickBot="1" x14ac:dyDescent="0.35">
      <c r="A818" s="36" t="s">
        <v>116</v>
      </c>
      <c r="B818" s="18">
        <v>11.95</v>
      </c>
    </row>
    <row r="819" spans="1:2" ht="20.100000000000001" customHeight="1" thickBot="1" x14ac:dyDescent="0.35">
      <c r="A819" s="36" t="s">
        <v>111</v>
      </c>
      <c r="B819" s="18">
        <v>14.95</v>
      </c>
    </row>
    <row r="820" spans="1:2" ht="20.100000000000001" customHeight="1" thickBot="1" x14ac:dyDescent="0.35">
      <c r="A820" s="36" t="s">
        <v>122</v>
      </c>
      <c r="B820" s="18">
        <v>3.84</v>
      </c>
    </row>
    <row r="821" spans="1:2" ht="20.100000000000001" customHeight="1" thickBot="1" x14ac:dyDescent="0.35">
      <c r="A821" s="36" t="s">
        <v>124</v>
      </c>
      <c r="B821" s="18">
        <v>109.99</v>
      </c>
    </row>
    <row r="822" spans="1:2" ht="20.100000000000001" customHeight="1" thickBot="1" x14ac:dyDescent="0.35">
      <c r="A822" s="36" t="s">
        <v>112</v>
      </c>
      <c r="B822" s="18">
        <v>11.99</v>
      </c>
    </row>
    <row r="823" spans="1:2" ht="20.100000000000001" customHeight="1" thickBot="1" x14ac:dyDescent="0.35">
      <c r="A823" s="36" t="s">
        <v>114</v>
      </c>
      <c r="B823" s="18">
        <v>2.99</v>
      </c>
    </row>
    <row r="824" spans="1:2" ht="20.100000000000001" customHeight="1" thickBot="1" x14ac:dyDescent="0.35">
      <c r="A824" s="36" t="s">
        <v>120</v>
      </c>
      <c r="B824" s="18">
        <v>300</v>
      </c>
    </row>
    <row r="825" spans="1:2" ht="20.100000000000001" customHeight="1" thickBot="1" x14ac:dyDescent="0.35">
      <c r="A825" s="36" t="s">
        <v>123</v>
      </c>
      <c r="B825" s="18">
        <v>600</v>
      </c>
    </row>
    <row r="826" spans="1:2" ht="20.100000000000001" customHeight="1" thickBot="1" x14ac:dyDescent="0.35">
      <c r="A826" s="36" t="s">
        <v>112</v>
      </c>
      <c r="B826" s="18">
        <v>11.99</v>
      </c>
    </row>
    <row r="827" spans="1:2" ht="20.100000000000001" customHeight="1" thickBot="1" x14ac:dyDescent="0.35">
      <c r="A827" s="36" t="s">
        <v>122</v>
      </c>
      <c r="B827" s="18">
        <v>3.84</v>
      </c>
    </row>
    <row r="828" spans="1:2" ht="20.100000000000001" customHeight="1" thickBot="1" x14ac:dyDescent="0.35">
      <c r="A828" s="36" t="s">
        <v>124</v>
      </c>
      <c r="B828" s="18">
        <v>109.99</v>
      </c>
    </row>
    <row r="829" spans="1:2" ht="20.100000000000001" customHeight="1" thickBot="1" x14ac:dyDescent="0.35">
      <c r="A829" s="36" t="s">
        <v>114</v>
      </c>
      <c r="B829" s="18">
        <v>2.99</v>
      </c>
    </row>
    <row r="830" spans="1:2" ht="20.100000000000001" customHeight="1" thickBot="1" x14ac:dyDescent="0.35">
      <c r="A830" s="36" t="s">
        <v>122</v>
      </c>
      <c r="B830" s="18">
        <v>3.84</v>
      </c>
    </row>
    <row r="831" spans="1:2" ht="20.100000000000001" customHeight="1" thickBot="1" x14ac:dyDescent="0.35">
      <c r="A831" s="36" t="s">
        <v>120</v>
      </c>
      <c r="B831" s="18">
        <v>300</v>
      </c>
    </row>
    <row r="832" spans="1:2" ht="20.100000000000001" customHeight="1" thickBot="1" x14ac:dyDescent="0.35">
      <c r="A832" s="36" t="s">
        <v>118</v>
      </c>
      <c r="B832" s="18">
        <v>150</v>
      </c>
    </row>
    <row r="833" spans="1:2" ht="20.100000000000001" customHeight="1" thickBot="1" x14ac:dyDescent="0.35">
      <c r="A833" s="36" t="s">
        <v>118</v>
      </c>
      <c r="B833" s="18">
        <v>150</v>
      </c>
    </row>
    <row r="834" spans="1:2" ht="20.100000000000001" customHeight="1" thickBot="1" x14ac:dyDescent="0.35">
      <c r="A834" s="36" t="s">
        <v>110</v>
      </c>
      <c r="B834" s="18">
        <v>700</v>
      </c>
    </row>
    <row r="835" spans="1:2" ht="20.100000000000001" customHeight="1" thickBot="1" x14ac:dyDescent="0.35">
      <c r="A835" s="36" t="s">
        <v>126</v>
      </c>
      <c r="B835" s="18">
        <v>999.99</v>
      </c>
    </row>
    <row r="836" spans="1:2" ht="20.100000000000001" customHeight="1" thickBot="1" x14ac:dyDescent="0.35">
      <c r="A836" s="36" t="s">
        <v>118</v>
      </c>
      <c r="B836" s="18">
        <v>150</v>
      </c>
    </row>
    <row r="837" spans="1:2" ht="20.100000000000001" customHeight="1" thickBot="1" x14ac:dyDescent="0.35">
      <c r="A837" s="36" t="s">
        <v>110</v>
      </c>
      <c r="B837" s="18">
        <v>700</v>
      </c>
    </row>
    <row r="838" spans="1:2" ht="20.100000000000001" customHeight="1" thickBot="1" x14ac:dyDescent="0.35">
      <c r="A838" s="36" t="s">
        <v>114</v>
      </c>
      <c r="B838" s="18">
        <v>2.99</v>
      </c>
    </row>
    <row r="839" spans="1:2" ht="20.100000000000001" customHeight="1" thickBot="1" x14ac:dyDescent="0.35">
      <c r="A839" s="36" t="s">
        <v>123</v>
      </c>
      <c r="B839" s="18">
        <v>600</v>
      </c>
    </row>
    <row r="840" spans="1:2" ht="20.100000000000001" customHeight="1" thickBot="1" x14ac:dyDescent="0.35">
      <c r="A840" s="36" t="s">
        <v>116</v>
      </c>
      <c r="B840" s="18">
        <v>11.95</v>
      </c>
    </row>
    <row r="841" spans="1:2" ht="20.100000000000001" customHeight="1" thickBot="1" x14ac:dyDescent="0.35">
      <c r="A841" s="36" t="s">
        <v>111</v>
      </c>
      <c r="B841" s="18">
        <v>14.95</v>
      </c>
    </row>
    <row r="842" spans="1:2" ht="20.100000000000001" customHeight="1" thickBot="1" x14ac:dyDescent="0.35">
      <c r="A842" s="36" t="s">
        <v>111</v>
      </c>
      <c r="B842" s="18">
        <v>14.95</v>
      </c>
    </row>
    <row r="843" spans="1:2" ht="20.100000000000001" customHeight="1" thickBot="1" x14ac:dyDescent="0.35">
      <c r="A843" s="36" t="s">
        <v>111</v>
      </c>
      <c r="B843" s="18">
        <v>14.95</v>
      </c>
    </row>
    <row r="844" spans="1:2" ht="20.100000000000001" customHeight="1" thickBot="1" x14ac:dyDescent="0.35">
      <c r="A844" s="36" t="s">
        <v>120</v>
      </c>
      <c r="B844" s="18">
        <v>300</v>
      </c>
    </row>
    <row r="845" spans="1:2" ht="20.100000000000001" customHeight="1" thickBot="1" x14ac:dyDescent="0.35">
      <c r="A845" s="36" t="s">
        <v>116</v>
      </c>
      <c r="B845" s="18">
        <v>11.95</v>
      </c>
    </row>
    <row r="846" spans="1:2" ht="20.100000000000001" customHeight="1" thickBot="1" x14ac:dyDescent="0.35">
      <c r="A846" s="36" t="s">
        <v>126</v>
      </c>
      <c r="B846" s="18">
        <v>999.99</v>
      </c>
    </row>
    <row r="847" spans="1:2" ht="20.100000000000001" customHeight="1" thickBot="1" x14ac:dyDescent="0.35">
      <c r="A847" s="36" t="s">
        <v>112</v>
      </c>
      <c r="B847" s="18">
        <v>11.99</v>
      </c>
    </row>
    <row r="848" spans="1:2" ht="20.100000000000001" customHeight="1" thickBot="1" x14ac:dyDescent="0.35">
      <c r="A848" s="36" t="s">
        <v>122</v>
      </c>
      <c r="B848" s="18">
        <v>3.84</v>
      </c>
    </row>
    <row r="849" spans="1:2" ht="20.100000000000001" customHeight="1" thickBot="1" x14ac:dyDescent="0.35">
      <c r="A849" s="36" t="s">
        <v>123</v>
      </c>
      <c r="B849" s="18">
        <v>600</v>
      </c>
    </row>
    <row r="850" spans="1:2" ht="20.100000000000001" customHeight="1" thickBot="1" x14ac:dyDescent="0.35">
      <c r="A850" s="36" t="s">
        <v>112</v>
      </c>
      <c r="B850" s="18">
        <v>11.99</v>
      </c>
    </row>
    <row r="851" spans="1:2" ht="20.100000000000001" customHeight="1" thickBot="1" x14ac:dyDescent="0.35">
      <c r="A851" s="36" t="s">
        <v>114</v>
      </c>
      <c r="B851" s="18">
        <v>2.99</v>
      </c>
    </row>
    <row r="852" spans="1:2" ht="20.100000000000001" customHeight="1" thickBot="1" x14ac:dyDescent="0.35">
      <c r="A852" s="36" t="s">
        <v>113</v>
      </c>
      <c r="B852" s="18">
        <v>149.99</v>
      </c>
    </row>
    <row r="853" spans="1:2" ht="20.100000000000001" customHeight="1" thickBot="1" x14ac:dyDescent="0.35">
      <c r="A853" s="36" t="s">
        <v>116</v>
      </c>
      <c r="B853" s="18">
        <v>11.95</v>
      </c>
    </row>
    <row r="854" spans="1:2" ht="20.100000000000001" customHeight="1" thickBot="1" x14ac:dyDescent="0.35">
      <c r="A854" s="36" t="s">
        <v>119</v>
      </c>
      <c r="B854" s="18">
        <v>1700</v>
      </c>
    </row>
    <row r="855" spans="1:2" ht="20.100000000000001" customHeight="1" thickBot="1" x14ac:dyDescent="0.35">
      <c r="A855" s="36" t="s">
        <v>118</v>
      </c>
      <c r="B855" s="18">
        <v>150</v>
      </c>
    </row>
    <row r="856" spans="1:2" ht="20.100000000000001" customHeight="1" thickBot="1" x14ac:dyDescent="0.35">
      <c r="A856" s="36" t="s">
        <v>117</v>
      </c>
      <c r="B856" s="18">
        <v>99.99</v>
      </c>
    </row>
    <row r="857" spans="1:2" ht="20.100000000000001" customHeight="1" thickBot="1" x14ac:dyDescent="0.35">
      <c r="A857" s="36" t="s">
        <v>117</v>
      </c>
      <c r="B857" s="18">
        <v>99.99</v>
      </c>
    </row>
    <row r="858" spans="1:2" ht="20.100000000000001" customHeight="1" thickBot="1" x14ac:dyDescent="0.35">
      <c r="A858" s="36" t="s">
        <v>116</v>
      </c>
      <c r="B858" s="18">
        <v>11.95</v>
      </c>
    </row>
    <row r="859" spans="1:2" ht="20.100000000000001" customHeight="1" thickBot="1" x14ac:dyDescent="0.35">
      <c r="A859" s="36" t="s">
        <v>123</v>
      </c>
      <c r="B859" s="18">
        <v>600</v>
      </c>
    </row>
    <row r="860" spans="1:2" ht="20.100000000000001" customHeight="1" thickBot="1" x14ac:dyDescent="0.35">
      <c r="A860" s="36" t="s">
        <v>110</v>
      </c>
      <c r="B860" s="18">
        <v>700</v>
      </c>
    </row>
    <row r="861" spans="1:2" ht="20.100000000000001" customHeight="1" thickBot="1" x14ac:dyDescent="0.35">
      <c r="A861" s="36" t="s">
        <v>119</v>
      </c>
      <c r="B861" s="18">
        <v>1700</v>
      </c>
    </row>
    <row r="862" spans="1:2" ht="20.100000000000001" customHeight="1" thickBot="1" x14ac:dyDescent="0.35">
      <c r="A862" s="36" t="s">
        <v>111</v>
      </c>
      <c r="B862" s="18">
        <v>14.95</v>
      </c>
    </row>
    <row r="863" spans="1:2" ht="20.100000000000001" customHeight="1" thickBot="1" x14ac:dyDescent="0.35">
      <c r="A863" s="36" t="s">
        <v>122</v>
      </c>
      <c r="B863" s="18">
        <v>3.84</v>
      </c>
    </row>
    <row r="864" spans="1:2" ht="20.100000000000001" customHeight="1" thickBot="1" x14ac:dyDescent="0.35">
      <c r="A864" s="36" t="s">
        <v>112</v>
      </c>
      <c r="B864" s="18">
        <v>11.99</v>
      </c>
    </row>
    <row r="865" spans="1:2" ht="20.100000000000001" customHeight="1" thickBot="1" x14ac:dyDescent="0.35">
      <c r="A865" s="36" t="s">
        <v>114</v>
      </c>
      <c r="B865" s="18">
        <v>2.99</v>
      </c>
    </row>
    <row r="866" spans="1:2" ht="20.100000000000001" customHeight="1" thickBot="1" x14ac:dyDescent="0.35">
      <c r="A866" s="36" t="s">
        <v>122</v>
      </c>
      <c r="B866" s="18">
        <v>3.84</v>
      </c>
    </row>
    <row r="867" spans="1:2" ht="20.100000000000001" customHeight="1" thickBot="1" x14ac:dyDescent="0.35">
      <c r="A867" s="36" t="s">
        <v>114</v>
      </c>
      <c r="B867" s="18">
        <v>2.99</v>
      </c>
    </row>
    <row r="868" spans="1:2" ht="20.100000000000001" customHeight="1" thickBot="1" x14ac:dyDescent="0.35">
      <c r="A868" s="36" t="s">
        <v>115</v>
      </c>
      <c r="B868" s="18">
        <v>389.99</v>
      </c>
    </row>
    <row r="869" spans="1:2" ht="20.100000000000001" customHeight="1" thickBot="1" x14ac:dyDescent="0.35">
      <c r="A869" s="36" t="s">
        <v>113</v>
      </c>
      <c r="B869" s="18">
        <v>149.99</v>
      </c>
    </row>
    <row r="870" spans="1:2" ht="20.100000000000001" customHeight="1" thickBot="1" x14ac:dyDescent="0.35">
      <c r="A870" s="36" t="s">
        <v>115</v>
      </c>
      <c r="B870" s="18">
        <v>389.99</v>
      </c>
    </row>
    <row r="871" spans="1:2" ht="20.100000000000001" customHeight="1" thickBot="1" x14ac:dyDescent="0.35">
      <c r="A871" s="36" t="s">
        <v>114</v>
      </c>
      <c r="B871" s="18">
        <v>2.99</v>
      </c>
    </row>
    <row r="872" spans="1:2" ht="20.100000000000001" customHeight="1" thickBot="1" x14ac:dyDescent="0.35">
      <c r="A872" s="36" t="s">
        <v>116</v>
      </c>
      <c r="B872" s="18">
        <v>11.95</v>
      </c>
    </row>
    <row r="873" spans="1:2" ht="20.100000000000001" customHeight="1" thickBot="1" x14ac:dyDescent="0.35">
      <c r="A873" s="36" t="s">
        <v>122</v>
      </c>
      <c r="B873" s="18">
        <v>3.84</v>
      </c>
    </row>
    <row r="874" spans="1:2" ht="20.100000000000001" customHeight="1" thickBot="1" x14ac:dyDescent="0.35">
      <c r="A874" s="36" t="s">
        <v>122</v>
      </c>
      <c r="B874" s="18">
        <v>3.84</v>
      </c>
    </row>
    <row r="875" spans="1:2" ht="20.100000000000001" customHeight="1" thickBot="1" x14ac:dyDescent="0.35">
      <c r="A875" s="36" t="s">
        <v>126</v>
      </c>
      <c r="B875" s="18">
        <v>999.99</v>
      </c>
    </row>
    <row r="876" spans="1:2" ht="20.100000000000001" customHeight="1" thickBot="1" x14ac:dyDescent="0.35">
      <c r="A876" s="36" t="s">
        <v>112</v>
      </c>
      <c r="B876" s="18">
        <v>11.99</v>
      </c>
    </row>
    <row r="877" spans="1:2" ht="20.100000000000001" customHeight="1" thickBot="1" x14ac:dyDescent="0.35">
      <c r="A877" s="36" t="s">
        <v>117</v>
      </c>
      <c r="B877" s="18">
        <v>99.99</v>
      </c>
    </row>
    <row r="878" spans="1:2" ht="20.100000000000001" customHeight="1" thickBot="1" x14ac:dyDescent="0.35">
      <c r="A878" s="36" t="s">
        <v>112</v>
      </c>
      <c r="B878" s="18">
        <v>11.99</v>
      </c>
    </row>
    <row r="879" spans="1:2" ht="20.100000000000001" customHeight="1" thickBot="1" x14ac:dyDescent="0.35">
      <c r="A879" s="36" t="s">
        <v>112</v>
      </c>
      <c r="B879" s="18">
        <v>11.99</v>
      </c>
    </row>
    <row r="880" spans="1:2" ht="20.100000000000001" customHeight="1" thickBot="1" x14ac:dyDescent="0.35">
      <c r="A880" s="36" t="s">
        <v>118</v>
      </c>
      <c r="B880" s="18">
        <v>150</v>
      </c>
    </row>
    <row r="881" spans="1:2" ht="20.100000000000001" customHeight="1" thickBot="1" x14ac:dyDescent="0.35">
      <c r="A881" s="36" t="s">
        <v>122</v>
      </c>
      <c r="B881" s="18">
        <v>3.84</v>
      </c>
    </row>
    <row r="882" spans="1:2" ht="20.100000000000001" customHeight="1" thickBot="1" x14ac:dyDescent="0.35">
      <c r="A882" s="36" t="s">
        <v>122</v>
      </c>
      <c r="B882" s="18">
        <v>3.84</v>
      </c>
    </row>
    <row r="883" spans="1:2" ht="20.100000000000001" customHeight="1" thickBot="1" x14ac:dyDescent="0.35">
      <c r="A883" s="36" t="s">
        <v>116</v>
      </c>
      <c r="B883" s="18">
        <v>11.95</v>
      </c>
    </row>
    <row r="884" spans="1:2" ht="20.100000000000001" customHeight="1" thickBot="1" x14ac:dyDescent="0.35">
      <c r="A884" s="36" t="s">
        <v>114</v>
      </c>
      <c r="B884" s="18">
        <v>2.99</v>
      </c>
    </row>
    <row r="885" spans="1:2" ht="20.100000000000001" customHeight="1" thickBot="1" x14ac:dyDescent="0.35">
      <c r="A885" s="36" t="s">
        <v>114</v>
      </c>
      <c r="B885" s="18">
        <v>2.99</v>
      </c>
    </row>
    <row r="886" spans="1:2" ht="20.100000000000001" customHeight="1" thickBot="1" x14ac:dyDescent="0.35">
      <c r="A886" s="36" t="s">
        <v>119</v>
      </c>
      <c r="B886" s="18">
        <v>1700</v>
      </c>
    </row>
    <row r="887" spans="1:2" ht="20.100000000000001" customHeight="1" thickBot="1" x14ac:dyDescent="0.35">
      <c r="A887" s="36" t="s">
        <v>116</v>
      </c>
      <c r="B887" s="18">
        <v>11.95</v>
      </c>
    </row>
    <row r="888" spans="1:2" ht="20.100000000000001" customHeight="1" thickBot="1" x14ac:dyDescent="0.35">
      <c r="A888" s="36" t="s">
        <v>110</v>
      </c>
      <c r="B888" s="18">
        <v>700</v>
      </c>
    </row>
    <row r="889" spans="1:2" ht="20.100000000000001" customHeight="1" thickBot="1" x14ac:dyDescent="0.35">
      <c r="A889" s="36" t="s">
        <v>111</v>
      </c>
      <c r="B889" s="18">
        <v>14.95</v>
      </c>
    </row>
    <row r="890" spans="1:2" ht="20.100000000000001" customHeight="1" thickBot="1" x14ac:dyDescent="0.35">
      <c r="A890" s="36" t="s">
        <v>111</v>
      </c>
      <c r="B890" s="18">
        <v>14.95</v>
      </c>
    </row>
    <row r="891" spans="1:2" ht="20.100000000000001" customHeight="1" thickBot="1" x14ac:dyDescent="0.35">
      <c r="A891" s="36" t="s">
        <v>115</v>
      </c>
      <c r="B891" s="18">
        <v>389.99</v>
      </c>
    </row>
    <row r="892" spans="1:2" ht="20.100000000000001" customHeight="1" thickBot="1" x14ac:dyDescent="0.35">
      <c r="A892" s="36" t="s">
        <v>123</v>
      </c>
      <c r="B892" s="18">
        <v>600</v>
      </c>
    </row>
    <row r="893" spans="1:2" ht="20.100000000000001" customHeight="1" thickBot="1" x14ac:dyDescent="0.35">
      <c r="A893" s="36" t="s">
        <v>116</v>
      </c>
      <c r="B893" s="18">
        <v>11.95</v>
      </c>
    </row>
    <row r="894" spans="1:2" ht="20.100000000000001" customHeight="1" thickBot="1" x14ac:dyDescent="0.35">
      <c r="A894" s="36" t="s">
        <v>112</v>
      </c>
      <c r="B894" s="18">
        <v>11.99</v>
      </c>
    </row>
    <row r="895" spans="1:2" ht="20.100000000000001" customHeight="1" thickBot="1" x14ac:dyDescent="0.35">
      <c r="A895" s="36" t="s">
        <v>114</v>
      </c>
      <c r="B895" s="18">
        <v>2.99</v>
      </c>
    </row>
    <row r="896" spans="1:2" ht="20.100000000000001" customHeight="1" thickBot="1" x14ac:dyDescent="0.35">
      <c r="A896" s="36" t="s">
        <v>117</v>
      </c>
      <c r="B896" s="18">
        <v>99.99</v>
      </c>
    </row>
    <row r="897" spans="1:2" ht="20.100000000000001" customHeight="1" thickBot="1" x14ac:dyDescent="0.35">
      <c r="A897" s="36" t="s">
        <v>111</v>
      </c>
      <c r="B897" s="18">
        <v>14.95</v>
      </c>
    </row>
    <row r="898" spans="1:2" ht="20.100000000000001" customHeight="1" thickBot="1" x14ac:dyDescent="0.35">
      <c r="A898" s="36" t="s">
        <v>112</v>
      </c>
      <c r="B898" s="18">
        <v>11.99</v>
      </c>
    </row>
    <row r="899" spans="1:2" ht="20.100000000000001" customHeight="1" thickBot="1" x14ac:dyDescent="0.35">
      <c r="A899" s="36" t="s">
        <v>118</v>
      </c>
      <c r="B899" s="18">
        <v>150</v>
      </c>
    </row>
    <row r="900" spans="1:2" ht="20.100000000000001" customHeight="1" thickBot="1" x14ac:dyDescent="0.35">
      <c r="A900" s="36" t="s">
        <v>116</v>
      </c>
      <c r="B900" s="18">
        <v>11.95</v>
      </c>
    </row>
    <row r="901" spans="1:2" ht="20.100000000000001" customHeight="1" thickBot="1" x14ac:dyDescent="0.35">
      <c r="A901" s="36" t="s">
        <v>111</v>
      </c>
      <c r="B901" s="18">
        <v>14.95</v>
      </c>
    </row>
    <row r="902" spans="1:2" ht="20.100000000000001" customHeight="1" thickBot="1" x14ac:dyDescent="0.35">
      <c r="A902" s="36" t="s">
        <v>122</v>
      </c>
      <c r="B902" s="18">
        <v>3.84</v>
      </c>
    </row>
    <row r="903" spans="1:2" ht="20.100000000000001" customHeight="1" thickBot="1" x14ac:dyDescent="0.35">
      <c r="A903" s="36" t="s">
        <v>122</v>
      </c>
      <c r="B903" s="18">
        <v>3.84</v>
      </c>
    </row>
    <row r="904" spans="1:2" ht="20.100000000000001" customHeight="1" thickBot="1" x14ac:dyDescent="0.35">
      <c r="A904" s="36" t="s">
        <v>117</v>
      </c>
      <c r="B904" s="18">
        <v>99.99</v>
      </c>
    </row>
    <row r="905" spans="1:2" ht="20.100000000000001" customHeight="1" thickBot="1" x14ac:dyDescent="0.35">
      <c r="A905" s="36" t="s">
        <v>110</v>
      </c>
      <c r="B905" s="18">
        <v>700</v>
      </c>
    </row>
    <row r="906" spans="1:2" ht="20.100000000000001" customHeight="1" thickBot="1" x14ac:dyDescent="0.35">
      <c r="A906" s="36" t="s">
        <v>114</v>
      </c>
      <c r="B906" s="18">
        <v>2.99</v>
      </c>
    </row>
    <row r="907" spans="1:2" ht="20.100000000000001" customHeight="1" thickBot="1" x14ac:dyDescent="0.35">
      <c r="A907" s="36" t="s">
        <v>110</v>
      </c>
      <c r="B907" s="18">
        <v>700</v>
      </c>
    </row>
    <row r="908" spans="1:2" ht="20.100000000000001" customHeight="1" thickBot="1" x14ac:dyDescent="0.35">
      <c r="A908" s="36" t="s">
        <v>118</v>
      </c>
      <c r="B908" s="18">
        <v>150</v>
      </c>
    </row>
    <row r="909" spans="1:2" ht="20.100000000000001" customHeight="1" thickBot="1" x14ac:dyDescent="0.35">
      <c r="A909" s="36" t="s">
        <v>126</v>
      </c>
      <c r="B909" s="18">
        <v>999.99</v>
      </c>
    </row>
    <row r="910" spans="1:2" ht="20.100000000000001" customHeight="1" thickBot="1" x14ac:dyDescent="0.35">
      <c r="A910" s="36" t="s">
        <v>115</v>
      </c>
      <c r="B910" s="18">
        <v>389.99</v>
      </c>
    </row>
    <row r="911" spans="1:2" ht="20.100000000000001" customHeight="1" thickBot="1" x14ac:dyDescent="0.35">
      <c r="A911" s="36" t="s">
        <v>111</v>
      </c>
      <c r="B911" s="18">
        <v>14.95</v>
      </c>
    </row>
    <row r="912" spans="1:2" ht="20.100000000000001" customHeight="1" thickBot="1" x14ac:dyDescent="0.35">
      <c r="A912" s="36" t="s">
        <v>127</v>
      </c>
      <c r="B912" s="18">
        <v>600</v>
      </c>
    </row>
    <row r="913" spans="1:2" ht="20.100000000000001" customHeight="1" thickBot="1" x14ac:dyDescent="0.35">
      <c r="A913" s="36" t="s">
        <v>119</v>
      </c>
      <c r="B913" s="18">
        <v>1700</v>
      </c>
    </row>
    <row r="914" spans="1:2" ht="20.100000000000001" customHeight="1" thickBot="1" x14ac:dyDescent="0.35">
      <c r="A914" s="36" t="s">
        <v>116</v>
      </c>
      <c r="B914" s="18">
        <v>11.95</v>
      </c>
    </row>
    <row r="915" spans="1:2" ht="20.100000000000001" customHeight="1" thickBot="1" x14ac:dyDescent="0.35">
      <c r="A915" s="36" t="s">
        <v>111</v>
      </c>
      <c r="B915" s="18">
        <v>14.95</v>
      </c>
    </row>
    <row r="916" spans="1:2" ht="20.100000000000001" customHeight="1" thickBot="1" x14ac:dyDescent="0.35">
      <c r="A916" s="36" t="s">
        <v>124</v>
      </c>
      <c r="B916" s="18">
        <v>109.99</v>
      </c>
    </row>
    <row r="917" spans="1:2" ht="20.100000000000001" customHeight="1" thickBot="1" x14ac:dyDescent="0.35">
      <c r="A917" s="36" t="s">
        <v>117</v>
      </c>
      <c r="B917" s="18">
        <v>99.99</v>
      </c>
    </row>
    <row r="918" spans="1:2" ht="20.100000000000001" customHeight="1" thickBot="1" x14ac:dyDescent="0.35">
      <c r="A918" s="36" t="s">
        <v>114</v>
      </c>
      <c r="B918" s="18">
        <v>2.99</v>
      </c>
    </row>
    <row r="919" spans="1:2" ht="20.100000000000001" customHeight="1" thickBot="1" x14ac:dyDescent="0.35">
      <c r="A919" s="36" t="s">
        <v>117</v>
      </c>
      <c r="B919" s="18">
        <v>99.99</v>
      </c>
    </row>
    <row r="920" spans="1:2" ht="20.100000000000001" customHeight="1" thickBot="1" x14ac:dyDescent="0.35">
      <c r="A920" s="36" t="s">
        <v>118</v>
      </c>
      <c r="B920" s="18">
        <v>150</v>
      </c>
    </row>
    <row r="921" spans="1:2" ht="20.100000000000001" customHeight="1" thickBot="1" x14ac:dyDescent="0.35">
      <c r="A921" s="36" t="s">
        <v>122</v>
      </c>
      <c r="B921" s="18">
        <v>3.84</v>
      </c>
    </row>
    <row r="922" spans="1:2" ht="20.100000000000001" customHeight="1" thickBot="1" x14ac:dyDescent="0.35">
      <c r="A922" s="36" t="s">
        <v>119</v>
      </c>
      <c r="B922" s="18">
        <v>1700</v>
      </c>
    </row>
    <row r="923" spans="1:2" ht="20.100000000000001" customHeight="1" thickBot="1" x14ac:dyDescent="0.35">
      <c r="A923" s="36" t="s">
        <v>117</v>
      </c>
      <c r="B923" s="18">
        <v>99.99</v>
      </c>
    </row>
    <row r="924" spans="1:2" ht="20.100000000000001" customHeight="1" thickBot="1" x14ac:dyDescent="0.35">
      <c r="A924" s="36" t="s">
        <v>116</v>
      </c>
      <c r="B924" s="18">
        <v>11.95</v>
      </c>
    </row>
    <row r="925" spans="1:2" ht="20.100000000000001" customHeight="1" thickBot="1" x14ac:dyDescent="0.35">
      <c r="A925" s="36" t="s">
        <v>115</v>
      </c>
      <c r="B925" s="18">
        <v>389.99</v>
      </c>
    </row>
    <row r="926" spans="1:2" ht="20.100000000000001" customHeight="1" thickBot="1" x14ac:dyDescent="0.35">
      <c r="A926" s="36" t="s">
        <v>112</v>
      </c>
      <c r="B926" s="18">
        <v>11.99</v>
      </c>
    </row>
    <row r="927" spans="1:2" ht="20.100000000000001" customHeight="1" thickBot="1" x14ac:dyDescent="0.35">
      <c r="A927" s="36" t="s">
        <v>118</v>
      </c>
      <c r="B927" s="18">
        <v>150</v>
      </c>
    </row>
    <row r="928" spans="1:2" ht="20.100000000000001" customHeight="1" thickBot="1" x14ac:dyDescent="0.35">
      <c r="A928" s="36" t="s">
        <v>111</v>
      </c>
      <c r="B928" s="18">
        <v>14.95</v>
      </c>
    </row>
    <row r="929" spans="1:2" ht="20.100000000000001" customHeight="1" thickBot="1" x14ac:dyDescent="0.35">
      <c r="A929" s="36" t="s">
        <v>122</v>
      </c>
      <c r="B929" s="18">
        <v>3.84</v>
      </c>
    </row>
    <row r="930" spans="1:2" ht="20.100000000000001" customHeight="1" thickBot="1" x14ac:dyDescent="0.35">
      <c r="A930" s="36" t="s">
        <v>111</v>
      </c>
      <c r="B930" s="18">
        <v>14.95</v>
      </c>
    </row>
    <row r="931" spans="1:2" ht="20.100000000000001" customHeight="1" thickBot="1" x14ac:dyDescent="0.35">
      <c r="A931" s="36" t="s">
        <v>114</v>
      </c>
      <c r="B931" s="18">
        <v>2.99</v>
      </c>
    </row>
    <row r="932" spans="1:2" ht="20.100000000000001" customHeight="1" thickBot="1" x14ac:dyDescent="0.35">
      <c r="A932" s="36" t="s">
        <v>112</v>
      </c>
      <c r="B932" s="18">
        <v>11.99</v>
      </c>
    </row>
    <row r="933" spans="1:2" ht="20.100000000000001" customHeight="1" thickBot="1" x14ac:dyDescent="0.35">
      <c r="A933" s="36" t="s">
        <v>117</v>
      </c>
      <c r="B933" s="18">
        <v>99.99</v>
      </c>
    </row>
    <row r="934" spans="1:2" ht="20.100000000000001" customHeight="1" thickBot="1" x14ac:dyDescent="0.35">
      <c r="A934" s="36" t="s">
        <v>123</v>
      </c>
      <c r="B934" s="18">
        <v>600</v>
      </c>
    </row>
    <row r="935" spans="1:2" ht="20.100000000000001" customHeight="1" thickBot="1" x14ac:dyDescent="0.35">
      <c r="A935" s="36" t="s">
        <v>112</v>
      </c>
      <c r="B935" s="18">
        <v>11.99</v>
      </c>
    </row>
    <row r="936" spans="1:2" ht="20.100000000000001" customHeight="1" thickBot="1" x14ac:dyDescent="0.35">
      <c r="A936" s="36" t="s">
        <v>118</v>
      </c>
      <c r="B936" s="18">
        <v>150</v>
      </c>
    </row>
    <row r="937" spans="1:2" ht="20.100000000000001" customHeight="1" thickBot="1" x14ac:dyDescent="0.35">
      <c r="A937" s="36" t="s">
        <v>123</v>
      </c>
      <c r="B937" s="18">
        <v>600</v>
      </c>
    </row>
    <row r="938" spans="1:2" ht="20.100000000000001" customHeight="1" thickBot="1" x14ac:dyDescent="0.35">
      <c r="A938" s="36" t="s">
        <v>114</v>
      </c>
      <c r="B938" s="18">
        <v>2.99</v>
      </c>
    </row>
    <row r="939" spans="1:2" ht="20.100000000000001" customHeight="1" thickBot="1" x14ac:dyDescent="0.35">
      <c r="A939" s="36" t="s">
        <v>116</v>
      </c>
      <c r="B939" s="18">
        <v>11.95</v>
      </c>
    </row>
    <row r="940" spans="1:2" ht="20.100000000000001" customHeight="1" thickBot="1" x14ac:dyDescent="0.35">
      <c r="A940" s="36" t="s">
        <v>116</v>
      </c>
      <c r="B940" s="18">
        <v>11.95</v>
      </c>
    </row>
    <row r="941" spans="1:2" ht="20.100000000000001" customHeight="1" thickBot="1" x14ac:dyDescent="0.35">
      <c r="A941" s="36" t="s">
        <v>123</v>
      </c>
      <c r="B941" s="18">
        <v>600</v>
      </c>
    </row>
    <row r="942" spans="1:2" ht="20.100000000000001" customHeight="1" thickBot="1" x14ac:dyDescent="0.35">
      <c r="A942" s="36" t="s">
        <v>116</v>
      </c>
      <c r="B942" s="18">
        <v>11.95</v>
      </c>
    </row>
    <row r="943" spans="1:2" ht="20.100000000000001" customHeight="1" thickBot="1" x14ac:dyDescent="0.35">
      <c r="A943" s="36" t="s">
        <v>122</v>
      </c>
      <c r="B943" s="18">
        <v>3.84</v>
      </c>
    </row>
    <row r="944" spans="1:2" ht="20.100000000000001" customHeight="1" thickBot="1" x14ac:dyDescent="0.35">
      <c r="A944" s="36" t="s">
        <v>114</v>
      </c>
      <c r="B944" s="18">
        <v>2.99</v>
      </c>
    </row>
    <row r="945" spans="1:2" ht="20.100000000000001" customHeight="1" thickBot="1" x14ac:dyDescent="0.35">
      <c r="A945" s="36" t="s">
        <v>122</v>
      </c>
      <c r="B945" s="18">
        <v>3.84</v>
      </c>
    </row>
    <row r="946" spans="1:2" ht="20.100000000000001" customHeight="1" thickBot="1" x14ac:dyDescent="0.35">
      <c r="A946" s="36" t="s">
        <v>122</v>
      </c>
      <c r="B946" s="18">
        <v>3.84</v>
      </c>
    </row>
    <row r="947" spans="1:2" ht="20.100000000000001" customHeight="1" thickBot="1" x14ac:dyDescent="0.35">
      <c r="A947" s="36" t="s">
        <v>111</v>
      </c>
      <c r="B947" s="18">
        <v>14.95</v>
      </c>
    </row>
    <row r="948" spans="1:2" ht="20.100000000000001" customHeight="1" thickBot="1" x14ac:dyDescent="0.35">
      <c r="A948" s="36" t="s">
        <v>112</v>
      </c>
      <c r="B948" s="18">
        <v>11.99</v>
      </c>
    </row>
    <row r="949" spans="1:2" ht="20.100000000000001" customHeight="1" thickBot="1" x14ac:dyDescent="0.35">
      <c r="A949" s="36" t="s">
        <v>112</v>
      </c>
      <c r="B949" s="18">
        <v>11.99</v>
      </c>
    </row>
    <row r="950" spans="1:2" ht="20.100000000000001" customHeight="1" thickBot="1" x14ac:dyDescent="0.35">
      <c r="A950" s="36" t="s">
        <v>116</v>
      </c>
      <c r="B950" s="18">
        <v>11.95</v>
      </c>
    </row>
    <row r="951" spans="1:2" ht="20.100000000000001" customHeight="1" thickBot="1" x14ac:dyDescent="0.35">
      <c r="A951" s="36" t="s">
        <v>116</v>
      </c>
      <c r="B951" s="18">
        <v>11.95</v>
      </c>
    </row>
    <row r="952" spans="1:2" ht="20.100000000000001" customHeight="1" thickBot="1" x14ac:dyDescent="0.35">
      <c r="A952" s="36" t="s">
        <v>121</v>
      </c>
      <c r="B952" s="18">
        <v>400</v>
      </c>
    </row>
    <row r="953" spans="1:2" ht="20.100000000000001" customHeight="1" thickBot="1" x14ac:dyDescent="0.35">
      <c r="A953" s="36" t="s">
        <v>118</v>
      </c>
      <c r="B953" s="18">
        <v>150</v>
      </c>
    </row>
    <row r="954" spans="1:2" ht="20.100000000000001" customHeight="1" thickBot="1" x14ac:dyDescent="0.35">
      <c r="A954" s="36" t="s">
        <v>116</v>
      </c>
      <c r="B954" s="18">
        <v>11.95</v>
      </c>
    </row>
    <row r="955" spans="1:2" ht="20.100000000000001" customHeight="1" thickBot="1" x14ac:dyDescent="0.35">
      <c r="A955" s="36" t="s">
        <v>114</v>
      </c>
      <c r="B955" s="18">
        <v>2.99</v>
      </c>
    </row>
    <row r="956" spans="1:2" ht="20.100000000000001" customHeight="1" thickBot="1" x14ac:dyDescent="0.35">
      <c r="A956" s="36" t="s">
        <v>115</v>
      </c>
      <c r="B956" s="18">
        <v>389.99</v>
      </c>
    </row>
    <row r="957" spans="1:2" ht="20.100000000000001" customHeight="1" thickBot="1" x14ac:dyDescent="0.35">
      <c r="A957" s="36" t="s">
        <v>125</v>
      </c>
      <c r="B957" s="18">
        <v>379.99</v>
      </c>
    </row>
    <row r="958" spans="1:2" ht="20.100000000000001" customHeight="1" thickBot="1" x14ac:dyDescent="0.35">
      <c r="A958" s="36" t="s">
        <v>122</v>
      </c>
      <c r="B958" s="18">
        <v>3.84</v>
      </c>
    </row>
    <row r="959" spans="1:2" ht="20.100000000000001" customHeight="1" thickBot="1" x14ac:dyDescent="0.35">
      <c r="A959" s="36" t="s">
        <v>122</v>
      </c>
      <c r="B959" s="18">
        <v>3.84</v>
      </c>
    </row>
    <row r="960" spans="1:2" ht="20.100000000000001" customHeight="1" thickBot="1" x14ac:dyDescent="0.35">
      <c r="A960" s="36" t="s">
        <v>122</v>
      </c>
      <c r="B960" s="18">
        <v>3.84</v>
      </c>
    </row>
    <row r="961" spans="1:2" ht="20.100000000000001" customHeight="1" thickBot="1" x14ac:dyDescent="0.35">
      <c r="A961" s="36" t="s">
        <v>119</v>
      </c>
      <c r="B961" s="18">
        <v>1700</v>
      </c>
    </row>
    <row r="962" spans="1:2" ht="20.100000000000001" customHeight="1" thickBot="1" x14ac:dyDescent="0.35">
      <c r="A962" s="36" t="s">
        <v>112</v>
      </c>
      <c r="B962" s="18">
        <v>11.99</v>
      </c>
    </row>
    <row r="963" spans="1:2" ht="20.100000000000001" customHeight="1" thickBot="1" x14ac:dyDescent="0.35">
      <c r="A963" s="36" t="s">
        <v>116</v>
      </c>
      <c r="B963" s="18">
        <v>11.95</v>
      </c>
    </row>
    <row r="964" spans="1:2" ht="20.100000000000001" customHeight="1" thickBot="1" x14ac:dyDescent="0.35">
      <c r="A964" s="36" t="s">
        <v>118</v>
      </c>
      <c r="B964" s="18">
        <v>150</v>
      </c>
    </row>
    <row r="965" spans="1:2" ht="20.100000000000001" customHeight="1" thickBot="1" x14ac:dyDescent="0.35">
      <c r="A965" s="36" t="s">
        <v>125</v>
      </c>
      <c r="B965" s="18">
        <v>379.99</v>
      </c>
    </row>
    <row r="966" spans="1:2" ht="20.100000000000001" customHeight="1" thickBot="1" x14ac:dyDescent="0.35">
      <c r="A966" s="36" t="s">
        <v>119</v>
      </c>
      <c r="B966" s="18">
        <v>1700</v>
      </c>
    </row>
    <row r="967" spans="1:2" ht="20.100000000000001" customHeight="1" thickBot="1" x14ac:dyDescent="0.35">
      <c r="A967" s="36" t="s">
        <v>112</v>
      </c>
      <c r="B967" s="18">
        <v>11.99</v>
      </c>
    </row>
    <row r="968" spans="1:2" ht="20.100000000000001" customHeight="1" thickBot="1" x14ac:dyDescent="0.35">
      <c r="A968" s="36" t="s">
        <v>112</v>
      </c>
      <c r="B968" s="18">
        <v>11.99</v>
      </c>
    </row>
    <row r="969" spans="1:2" ht="20.100000000000001" customHeight="1" thickBot="1" x14ac:dyDescent="0.35">
      <c r="A969" s="36" t="s">
        <v>112</v>
      </c>
      <c r="B969" s="18">
        <v>11.99</v>
      </c>
    </row>
    <row r="970" spans="1:2" ht="20.100000000000001" customHeight="1" thickBot="1" x14ac:dyDescent="0.35">
      <c r="A970" s="36" t="s">
        <v>117</v>
      </c>
      <c r="B970" s="18">
        <v>99.99</v>
      </c>
    </row>
    <row r="971" spans="1:2" ht="20.100000000000001" customHeight="1" thickBot="1" x14ac:dyDescent="0.35">
      <c r="A971" s="36" t="s">
        <v>113</v>
      </c>
      <c r="B971" s="18">
        <v>149.99</v>
      </c>
    </row>
    <row r="972" spans="1:2" ht="20.100000000000001" customHeight="1" thickBot="1" x14ac:dyDescent="0.35">
      <c r="A972" s="36" t="s">
        <v>118</v>
      </c>
      <c r="B972" s="18">
        <v>150</v>
      </c>
    </row>
    <row r="973" spans="1:2" ht="20.100000000000001" customHeight="1" thickBot="1" x14ac:dyDescent="0.35">
      <c r="A973" s="36" t="s">
        <v>116</v>
      </c>
      <c r="B973" s="18">
        <v>11.95</v>
      </c>
    </row>
    <row r="974" spans="1:2" ht="20.100000000000001" customHeight="1" thickBot="1" x14ac:dyDescent="0.35">
      <c r="A974" s="36" t="s">
        <v>122</v>
      </c>
      <c r="B974" s="18">
        <v>3.84</v>
      </c>
    </row>
    <row r="975" spans="1:2" ht="20.100000000000001" customHeight="1" thickBot="1" x14ac:dyDescent="0.35">
      <c r="A975" s="36" t="s">
        <v>116</v>
      </c>
      <c r="B975" s="18">
        <v>11.95</v>
      </c>
    </row>
    <row r="976" spans="1:2" ht="20.100000000000001" customHeight="1" thickBot="1" x14ac:dyDescent="0.35">
      <c r="A976" s="36" t="s">
        <v>116</v>
      </c>
      <c r="B976" s="18">
        <v>11.95</v>
      </c>
    </row>
    <row r="977" spans="1:2" ht="20.100000000000001" customHeight="1" thickBot="1" x14ac:dyDescent="0.35">
      <c r="A977" s="36" t="s">
        <v>111</v>
      </c>
      <c r="B977" s="18">
        <v>14.95</v>
      </c>
    </row>
    <row r="978" spans="1:2" ht="20.100000000000001" customHeight="1" thickBot="1" x14ac:dyDescent="0.35">
      <c r="A978" s="36" t="s">
        <v>114</v>
      </c>
      <c r="B978" s="18">
        <v>2.99</v>
      </c>
    </row>
    <row r="979" spans="1:2" ht="20.100000000000001" customHeight="1" thickBot="1" x14ac:dyDescent="0.35">
      <c r="A979" s="36" t="s">
        <v>112</v>
      </c>
      <c r="B979" s="18">
        <v>11.99</v>
      </c>
    </row>
    <row r="980" spans="1:2" ht="20.100000000000001" customHeight="1" thickBot="1" x14ac:dyDescent="0.35">
      <c r="A980" s="36" t="s">
        <v>112</v>
      </c>
      <c r="B980" s="18">
        <v>11.99</v>
      </c>
    </row>
    <row r="981" spans="1:2" ht="20.100000000000001" customHeight="1" thickBot="1" x14ac:dyDescent="0.35">
      <c r="A981" s="36" t="s">
        <v>118</v>
      </c>
      <c r="B981" s="18">
        <v>150</v>
      </c>
    </row>
    <row r="982" spans="1:2" ht="20.100000000000001" customHeight="1" thickBot="1" x14ac:dyDescent="0.35">
      <c r="A982" s="36" t="s">
        <v>110</v>
      </c>
      <c r="B982" s="18">
        <v>700</v>
      </c>
    </row>
    <row r="983" spans="1:2" ht="20.100000000000001" customHeight="1" thickBot="1" x14ac:dyDescent="0.35">
      <c r="A983" s="36" t="s">
        <v>111</v>
      </c>
      <c r="B983" s="18">
        <v>14.95</v>
      </c>
    </row>
    <row r="984" spans="1:2" ht="20.100000000000001" customHeight="1" thickBot="1" x14ac:dyDescent="0.35">
      <c r="A984" s="36" t="s">
        <v>114</v>
      </c>
      <c r="B984" s="18">
        <v>2.99</v>
      </c>
    </row>
    <row r="985" spans="1:2" ht="20.100000000000001" customHeight="1" thickBot="1" x14ac:dyDescent="0.35">
      <c r="A985" s="36" t="s">
        <v>118</v>
      </c>
      <c r="B985" s="18">
        <v>150</v>
      </c>
    </row>
    <row r="986" spans="1:2" ht="20.100000000000001" customHeight="1" thickBot="1" x14ac:dyDescent="0.35">
      <c r="A986" s="36" t="s">
        <v>119</v>
      </c>
      <c r="B986" s="18">
        <v>1700</v>
      </c>
    </row>
    <row r="987" spans="1:2" ht="20.100000000000001" customHeight="1" thickBot="1" x14ac:dyDescent="0.35">
      <c r="A987" s="36" t="s">
        <v>114</v>
      </c>
      <c r="B987" s="18">
        <v>2.99</v>
      </c>
    </row>
    <row r="988" spans="1:2" ht="20.100000000000001" customHeight="1" thickBot="1" x14ac:dyDescent="0.35">
      <c r="A988" s="36" t="s">
        <v>126</v>
      </c>
      <c r="B988" s="18">
        <v>999.99</v>
      </c>
    </row>
    <row r="989" spans="1:2" ht="20.100000000000001" customHeight="1" thickBot="1" x14ac:dyDescent="0.35">
      <c r="A989" s="36" t="s">
        <v>116</v>
      </c>
      <c r="B989" s="18">
        <v>11.95</v>
      </c>
    </row>
    <row r="990" spans="1:2" ht="20.100000000000001" customHeight="1" thickBot="1" x14ac:dyDescent="0.35">
      <c r="A990" s="36" t="s">
        <v>113</v>
      </c>
      <c r="B990" s="18">
        <v>149.99</v>
      </c>
    </row>
    <row r="991" spans="1:2" ht="20.100000000000001" customHeight="1" thickBot="1" x14ac:dyDescent="0.35">
      <c r="A991" s="36" t="s">
        <v>112</v>
      </c>
      <c r="B991" s="18">
        <v>11.99</v>
      </c>
    </row>
    <row r="992" spans="1:2" ht="20.100000000000001" customHeight="1" thickBot="1" x14ac:dyDescent="0.35">
      <c r="A992" s="36" t="s">
        <v>125</v>
      </c>
      <c r="B992" s="18">
        <v>379.99</v>
      </c>
    </row>
    <row r="993" spans="1:2" ht="20.100000000000001" customHeight="1" thickBot="1" x14ac:dyDescent="0.35">
      <c r="A993" s="36" t="s">
        <v>114</v>
      </c>
      <c r="B993" s="18">
        <v>2.99</v>
      </c>
    </row>
    <row r="994" spans="1:2" ht="20.100000000000001" customHeight="1" thickBot="1" x14ac:dyDescent="0.35">
      <c r="A994" s="36" t="s">
        <v>117</v>
      </c>
      <c r="B994" s="18">
        <v>99.99</v>
      </c>
    </row>
    <row r="995" spans="1:2" ht="20.100000000000001" customHeight="1" thickBot="1" x14ac:dyDescent="0.35">
      <c r="A995" s="36" t="s">
        <v>125</v>
      </c>
      <c r="B995" s="18">
        <v>379.99</v>
      </c>
    </row>
    <row r="996" spans="1:2" ht="20.100000000000001" customHeight="1" thickBot="1" x14ac:dyDescent="0.35">
      <c r="A996" s="36" t="s">
        <v>124</v>
      </c>
      <c r="B996" s="18">
        <v>109.99</v>
      </c>
    </row>
    <row r="997" spans="1:2" ht="20.100000000000001" customHeight="1" thickBot="1" x14ac:dyDescent="0.35">
      <c r="A997" s="36" t="s">
        <v>116</v>
      </c>
      <c r="B997" s="18">
        <v>11.95</v>
      </c>
    </row>
    <row r="998" spans="1:2" ht="20.100000000000001" customHeight="1" thickBot="1" x14ac:dyDescent="0.35">
      <c r="A998" s="36" t="s">
        <v>116</v>
      </c>
      <c r="B998" s="18">
        <v>11.95</v>
      </c>
    </row>
    <row r="999" spans="1:2" ht="20.100000000000001" customHeight="1" thickBot="1" x14ac:dyDescent="0.35">
      <c r="A999" s="36" t="s">
        <v>125</v>
      </c>
      <c r="B999" s="18">
        <v>379.99</v>
      </c>
    </row>
    <row r="1000" spans="1:2" ht="20.100000000000001" customHeight="1" thickBot="1" x14ac:dyDescent="0.35">
      <c r="A1000" s="36" t="s">
        <v>124</v>
      </c>
      <c r="B1000" s="18">
        <v>109.99</v>
      </c>
    </row>
    <row r="1001" spans="1:2" ht="20.100000000000001" customHeight="1" thickBot="1" x14ac:dyDescent="0.35">
      <c r="A1001" s="36" t="s">
        <v>123</v>
      </c>
      <c r="B1001" s="18">
        <v>600</v>
      </c>
    </row>
    <row r="1002" spans="1:2" ht="20.100000000000001" customHeight="1" thickBot="1" x14ac:dyDescent="0.35">
      <c r="A1002" s="36" t="s">
        <v>116</v>
      </c>
      <c r="B1002" s="18">
        <v>11.95</v>
      </c>
    </row>
    <row r="1003" spans="1:2" ht="20.100000000000001" customHeight="1" thickBot="1" x14ac:dyDescent="0.35">
      <c r="A1003" s="36" t="s">
        <v>113</v>
      </c>
      <c r="B1003" s="18">
        <v>149.99</v>
      </c>
    </row>
    <row r="1004" spans="1:2" ht="20.100000000000001" customHeight="1" thickBot="1" x14ac:dyDescent="0.35">
      <c r="A1004" s="36" t="s">
        <v>126</v>
      </c>
      <c r="B1004" s="18">
        <v>999.99</v>
      </c>
    </row>
    <row r="1005" spans="1:2" ht="20.100000000000001" customHeight="1" thickBot="1" x14ac:dyDescent="0.35">
      <c r="A1005" s="36" t="s">
        <v>118</v>
      </c>
      <c r="B1005" s="18">
        <v>150</v>
      </c>
    </row>
    <row r="1006" spans="1:2" ht="20.100000000000001" customHeight="1" thickBot="1" x14ac:dyDescent="0.35">
      <c r="A1006" s="36" t="s">
        <v>122</v>
      </c>
      <c r="B1006" s="18">
        <v>3.84</v>
      </c>
    </row>
    <row r="1007" spans="1:2" ht="20.100000000000001" customHeight="1" thickBot="1" x14ac:dyDescent="0.35">
      <c r="A1007" s="36" t="s">
        <v>122</v>
      </c>
      <c r="B1007" s="18">
        <v>3.84</v>
      </c>
    </row>
    <row r="1008" spans="1:2" ht="20.100000000000001" customHeight="1" thickBot="1" x14ac:dyDescent="0.35">
      <c r="A1008" s="36" t="s">
        <v>122</v>
      </c>
      <c r="B1008" s="18">
        <v>3.84</v>
      </c>
    </row>
    <row r="1009" spans="1:2" ht="20.100000000000001" customHeight="1" thickBot="1" x14ac:dyDescent="0.35">
      <c r="A1009" s="36" t="s">
        <v>124</v>
      </c>
      <c r="B1009" s="18">
        <v>109.99</v>
      </c>
    </row>
    <row r="1010" spans="1:2" ht="20.100000000000001" customHeight="1" thickBot="1" x14ac:dyDescent="0.35">
      <c r="A1010" s="36" t="s">
        <v>120</v>
      </c>
      <c r="B1010" s="18">
        <v>300</v>
      </c>
    </row>
    <row r="1011" spans="1:2" ht="20.100000000000001" customHeight="1" thickBot="1" x14ac:dyDescent="0.35">
      <c r="A1011" s="36" t="s">
        <v>114</v>
      </c>
      <c r="B1011" s="18">
        <v>2.99</v>
      </c>
    </row>
    <row r="1012" spans="1:2" ht="20.100000000000001" customHeight="1" thickBot="1" x14ac:dyDescent="0.35">
      <c r="A1012" s="36" t="s">
        <v>113</v>
      </c>
      <c r="B1012" s="18">
        <v>149.99</v>
      </c>
    </row>
    <row r="1013" spans="1:2" ht="20.100000000000001" customHeight="1" thickBot="1" x14ac:dyDescent="0.35">
      <c r="A1013" s="36" t="s">
        <v>117</v>
      </c>
      <c r="B1013" s="18">
        <v>99.99</v>
      </c>
    </row>
    <row r="1014" spans="1:2" ht="20.100000000000001" customHeight="1" thickBot="1" x14ac:dyDescent="0.35">
      <c r="A1014" s="36" t="s">
        <v>117</v>
      </c>
      <c r="B1014" s="18">
        <v>99.99</v>
      </c>
    </row>
    <row r="1015" spans="1:2" ht="20.100000000000001" customHeight="1" thickBot="1" x14ac:dyDescent="0.35">
      <c r="A1015" s="36" t="s">
        <v>117</v>
      </c>
      <c r="B1015" s="18">
        <v>99.99</v>
      </c>
    </row>
    <row r="1016" spans="1:2" ht="20.100000000000001" customHeight="1" thickBot="1" x14ac:dyDescent="0.35">
      <c r="A1016" s="36" t="s">
        <v>119</v>
      </c>
      <c r="B1016" s="18">
        <v>1700</v>
      </c>
    </row>
    <row r="1017" spans="1:2" ht="20.100000000000001" customHeight="1" thickBot="1" x14ac:dyDescent="0.35">
      <c r="A1017" s="36" t="s">
        <v>117</v>
      </c>
      <c r="B1017" s="18">
        <v>99.99</v>
      </c>
    </row>
    <row r="1018" spans="1:2" ht="20.100000000000001" customHeight="1" thickBot="1" x14ac:dyDescent="0.35">
      <c r="A1018" s="36" t="s">
        <v>117</v>
      </c>
      <c r="B1018" s="18">
        <v>99.99</v>
      </c>
    </row>
    <row r="1019" spans="1:2" ht="20.100000000000001" customHeight="1" thickBot="1" x14ac:dyDescent="0.35">
      <c r="A1019" s="36" t="s">
        <v>125</v>
      </c>
      <c r="B1019" s="18">
        <v>379.99</v>
      </c>
    </row>
    <row r="1020" spans="1:2" ht="20.100000000000001" customHeight="1" thickBot="1" x14ac:dyDescent="0.35">
      <c r="A1020" s="36" t="s">
        <v>122</v>
      </c>
      <c r="B1020" s="18">
        <v>3.84</v>
      </c>
    </row>
    <row r="1021" spans="1:2" ht="20.100000000000001" customHeight="1" thickBot="1" x14ac:dyDescent="0.35">
      <c r="A1021" s="36" t="s">
        <v>112</v>
      </c>
      <c r="B1021" s="18">
        <v>11.99</v>
      </c>
    </row>
    <row r="1022" spans="1:2" ht="20.100000000000001" customHeight="1" thickBot="1" x14ac:dyDescent="0.35">
      <c r="A1022" s="36" t="s">
        <v>122</v>
      </c>
      <c r="B1022" s="18">
        <v>3.84</v>
      </c>
    </row>
    <row r="1023" spans="1:2" ht="20.100000000000001" customHeight="1" thickBot="1" x14ac:dyDescent="0.35">
      <c r="A1023" s="36" t="s">
        <v>118</v>
      </c>
      <c r="B1023" s="18">
        <v>150</v>
      </c>
    </row>
    <row r="1024" spans="1:2" ht="20.100000000000001" customHeight="1" thickBot="1" x14ac:dyDescent="0.35">
      <c r="A1024" s="36" t="s">
        <v>114</v>
      </c>
      <c r="B1024" s="18">
        <v>2.99</v>
      </c>
    </row>
    <row r="1025" spans="1:2" ht="20.100000000000001" customHeight="1" thickBot="1" x14ac:dyDescent="0.35">
      <c r="A1025" s="36" t="s">
        <v>120</v>
      </c>
      <c r="B1025" s="18">
        <v>300</v>
      </c>
    </row>
    <row r="1026" spans="1:2" ht="20.100000000000001" customHeight="1" thickBot="1" x14ac:dyDescent="0.35">
      <c r="A1026" s="36" t="s">
        <v>114</v>
      </c>
      <c r="B1026" s="18">
        <v>2.99</v>
      </c>
    </row>
    <row r="1027" spans="1:2" ht="20.100000000000001" customHeight="1" thickBot="1" x14ac:dyDescent="0.35">
      <c r="A1027" s="36" t="s">
        <v>117</v>
      </c>
      <c r="B1027" s="18">
        <v>99.99</v>
      </c>
    </row>
    <row r="1028" spans="1:2" ht="20.100000000000001" customHeight="1" thickBot="1" x14ac:dyDescent="0.35">
      <c r="A1028" s="36" t="s">
        <v>112</v>
      </c>
      <c r="B1028" s="18">
        <v>11.99</v>
      </c>
    </row>
    <row r="1029" spans="1:2" ht="20.100000000000001" customHeight="1" thickBot="1" x14ac:dyDescent="0.35">
      <c r="A1029" s="36" t="s">
        <v>113</v>
      </c>
      <c r="B1029" s="18">
        <v>149.99</v>
      </c>
    </row>
    <row r="1030" spans="1:2" ht="20.100000000000001" customHeight="1" thickBot="1" x14ac:dyDescent="0.35">
      <c r="A1030" s="36" t="s">
        <v>120</v>
      </c>
      <c r="B1030" s="18">
        <v>300</v>
      </c>
    </row>
    <row r="1031" spans="1:2" ht="20.100000000000001" customHeight="1" thickBot="1" x14ac:dyDescent="0.35">
      <c r="A1031" s="36" t="s">
        <v>120</v>
      </c>
      <c r="B1031" s="18">
        <v>300</v>
      </c>
    </row>
    <row r="1032" spans="1:2" ht="20.100000000000001" customHeight="1" thickBot="1" x14ac:dyDescent="0.35">
      <c r="A1032" s="36" t="s">
        <v>122</v>
      </c>
      <c r="B1032" s="18">
        <v>3.84</v>
      </c>
    </row>
    <row r="1033" spans="1:2" ht="20.100000000000001" customHeight="1" thickBot="1" x14ac:dyDescent="0.35">
      <c r="A1033" s="36" t="s">
        <v>112</v>
      </c>
      <c r="B1033" s="18">
        <v>11.99</v>
      </c>
    </row>
    <row r="1034" spans="1:2" ht="20.100000000000001" customHeight="1" thickBot="1" x14ac:dyDescent="0.35">
      <c r="A1034" s="36" t="s">
        <v>116</v>
      </c>
      <c r="B1034" s="18">
        <v>11.95</v>
      </c>
    </row>
    <row r="1035" spans="1:2" ht="20.100000000000001" customHeight="1" thickBot="1" x14ac:dyDescent="0.35">
      <c r="A1035" s="36" t="s">
        <v>111</v>
      </c>
      <c r="B1035" s="18">
        <v>14.95</v>
      </c>
    </row>
    <row r="1036" spans="1:2" ht="20.100000000000001" customHeight="1" thickBot="1" x14ac:dyDescent="0.35">
      <c r="A1036" s="36" t="s">
        <v>114</v>
      </c>
      <c r="B1036" s="18">
        <v>2.99</v>
      </c>
    </row>
    <row r="1037" spans="1:2" ht="20.100000000000001" customHeight="1" thickBot="1" x14ac:dyDescent="0.35">
      <c r="A1037" s="36" t="s">
        <v>112</v>
      </c>
      <c r="B1037" s="18">
        <v>11.99</v>
      </c>
    </row>
    <row r="1038" spans="1:2" ht="20.100000000000001" customHeight="1" thickBot="1" x14ac:dyDescent="0.35">
      <c r="A1038" s="36" t="s">
        <v>119</v>
      </c>
      <c r="B1038" s="18">
        <v>1700</v>
      </c>
    </row>
    <row r="1039" spans="1:2" ht="20.100000000000001" customHeight="1" thickBot="1" x14ac:dyDescent="0.35">
      <c r="A1039" s="36" t="s">
        <v>113</v>
      </c>
      <c r="B1039" s="18">
        <v>149.99</v>
      </c>
    </row>
    <row r="1040" spans="1:2" ht="20.100000000000001" customHeight="1" thickBot="1" x14ac:dyDescent="0.35">
      <c r="A1040" s="36" t="s">
        <v>123</v>
      </c>
      <c r="B1040" s="18">
        <v>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353A-624F-4C47-BB27-4277E8F4C10C}">
  <dimension ref="A1:C21"/>
  <sheetViews>
    <sheetView workbookViewId="0">
      <selection activeCell="B18" sqref="B18"/>
    </sheetView>
  </sheetViews>
  <sheetFormatPr defaultColWidth="15.6640625" defaultRowHeight="15" customHeight="1" x14ac:dyDescent="0.3"/>
  <sheetData>
    <row r="1" spans="1:3" ht="15" customHeight="1" thickBot="1" x14ac:dyDescent="0.35">
      <c r="A1" s="62" t="s">
        <v>95</v>
      </c>
      <c r="B1" s="63" t="s">
        <v>109</v>
      </c>
      <c r="C1" s="62" t="s">
        <v>129</v>
      </c>
    </row>
    <row r="2" spans="1:3" ht="15" customHeight="1" thickBot="1" x14ac:dyDescent="0.35">
      <c r="A2" s="5" t="s">
        <v>130</v>
      </c>
      <c r="B2" s="6">
        <v>700</v>
      </c>
      <c r="C2" s="7">
        <v>231</v>
      </c>
    </row>
    <row r="3" spans="1:3" ht="15" customHeight="1" thickBot="1" x14ac:dyDescent="0.35">
      <c r="A3" s="5" t="s">
        <v>131</v>
      </c>
      <c r="B3" s="6">
        <v>14.95</v>
      </c>
      <c r="C3" s="7">
        <v>7.4749999999999996</v>
      </c>
    </row>
    <row r="4" spans="1:3" ht="15" customHeight="1" thickBot="1" x14ac:dyDescent="0.35">
      <c r="A4" s="5" t="s">
        <v>130</v>
      </c>
      <c r="B4" s="6">
        <v>11.99</v>
      </c>
      <c r="C4" s="7">
        <v>5.9950000000000001</v>
      </c>
    </row>
    <row r="5" spans="1:3" ht="15" customHeight="1" thickBot="1" x14ac:dyDescent="0.35">
      <c r="A5" s="5" t="s">
        <v>132</v>
      </c>
      <c r="B5" s="6">
        <v>149.99</v>
      </c>
      <c r="C5" s="7">
        <v>97.493499999999997</v>
      </c>
    </row>
    <row r="6" spans="1:3" ht="15" customHeight="1" thickBot="1" x14ac:dyDescent="0.35">
      <c r="A6" s="5" t="s">
        <v>132</v>
      </c>
      <c r="B6" s="6">
        <v>11.99</v>
      </c>
      <c r="C6" s="7">
        <v>5.9950000000000001</v>
      </c>
    </row>
    <row r="7" spans="1:3" ht="15" customHeight="1" thickBot="1" x14ac:dyDescent="0.35">
      <c r="A7" s="5" t="s">
        <v>130</v>
      </c>
      <c r="B7" s="6">
        <v>2.99</v>
      </c>
      <c r="C7" s="7">
        <v>1.4950000000000001</v>
      </c>
    </row>
    <row r="8" spans="1:3" ht="15" customHeight="1" thickBot="1" x14ac:dyDescent="0.35">
      <c r="A8" s="5" t="s">
        <v>131</v>
      </c>
      <c r="B8" s="6">
        <v>389.99</v>
      </c>
      <c r="C8" s="7">
        <v>128.69669999999999</v>
      </c>
    </row>
    <row r="9" spans="1:3" ht="15" customHeight="1" thickBot="1" x14ac:dyDescent="0.35">
      <c r="A9" s="5" t="s">
        <v>131</v>
      </c>
      <c r="B9" s="6">
        <v>11.95</v>
      </c>
      <c r="C9" s="7">
        <v>5.9749999999999996</v>
      </c>
    </row>
    <row r="10" spans="1:3" ht="15" customHeight="1" thickBot="1" x14ac:dyDescent="0.35">
      <c r="A10" s="5" t="s">
        <v>132</v>
      </c>
      <c r="B10" s="6">
        <v>99.99</v>
      </c>
      <c r="C10" s="7">
        <v>49.994999999999997</v>
      </c>
    </row>
    <row r="11" spans="1:3" ht="15" customHeight="1" thickBot="1" x14ac:dyDescent="0.35">
      <c r="A11" s="5" t="s">
        <v>132</v>
      </c>
      <c r="B11" s="6">
        <v>150</v>
      </c>
      <c r="C11" s="7">
        <v>97.5</v>
      </c>
    </row>
    <row r="12" spans="1:3" ht="15" customHeight="1" thickBot="1" x14ac:dyDescent="0.35">
      <c r="A12" s="5" t="s">
        <v>131</v>
      </c>
      <c r="B12" s="6">
        <v>150</v>
      </c>
      <c r="C12" s="7">
        <v>97.5</v>
      </c>
    </row>
    <row r="13" spans="1:3" ht="15" customHeight="1" thickBot="1" x14ac:dyDescent="0.35">
      <c r="A13" s="5" t="s">
        <v>130</v>
      </c>
      <c r="B13" s="6">
        <v>1700</v>
      </c>
      <c r="C13" s="7">
        <v>561</v>
      </c>
    </row>
    <row r="14" spans="1:3" ht="15" customHeight="1" thickBot="1" x14ac:dyDescent="0.35">
      <c r="A14" s="5" t="s">
        <v>132</v>
      </c>
      <c r="B14" s="6">
        <v>2.99</v>
      </c>
      <c r="C14" s="7">
        <v>1.4950000000000001</v>
      </c>
    </row>
    <row r="15" spans="1:3" ht="15" customHeight="1" thickBot="1" x14ac:dyDescent="0.35">
      <c r="A15" s="5" t="s">
        <v>131</v>
      </c>
      <c r="B15" s="6">
        <v>149.99</v>
      </c>
      <c r="C15" s="7">
        <v>97.493499999999997</v>
      </c>
    </row>
    <row r="16" spans="1:3" ht="15" customHeight="1" thickBot="1" x14ac:dyDescent="0.35">
      <c r="A16" s="5" t="s">
        <v>130</v>
      </c>
      <c r="B16" s="6">
        <v>300</v>
      </c>
      <c r="C16" s="7">
        <v>99</v>
      </c>
    </row>
    <row r="17" spans="1:3" ht="15" customHeight="1" thickBot="1" x14ac:dyDescent="0.35">
      <c r="A17" s="8" t="s">
        <v>133</v>
      </c>
      <c r="B17" s="9">
        <f>SUM(B2:B16)</f>
        <v>3846.8199999999997</v>
      </c>
      <c r="C17" s="9"/>
    </row>
    <row r="18" spans="1:3" ht="15" customHeight="1" thickBot="1" x14ac:dyDescent="0.35">
      <c r="A18" s="8" t="s">
        <v>134</v>
      </c>
      <c r="B18" s="9"/>
      <c r="C18" s="9"/>
    </row>
    <row r="19" spans="1:3" ht="15" customHeight="1" thickBot="1" x14ac:dyDescent="0.35">
      <c r="A19" s="8" t="s">
        <v>135</v>
      </c>
      <c r="B19" s="9"/>
      <c r="C19" s="9"/>
    </row>
    <row r="20" spans="1:3" ht="15" customHeight="1" x14ac:dyDescent="0.3">
      <c r="A20" s="10" t="s">
        <v>136</v>
      </c>
      <c r="B20" s="9"/>
      <c r="C20" s="9"/>
    </row>
    <row r="21" spans="1:3" ht="15" customHeight="1" x14ac:dyDescent="0.3">
      <c r="A21" s="10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5712-846B-4FC4-BCFE-038C2CABB939}">
  <dimension ref="A1:N44"/>
  <sheetViews>
    <sheetView zoomScale="117" zoomScaleNormal="145" workbookViewId="0">
      <selection activeCell="J28" sqref="J28"/>
    </sheetView>
  </sheetViews>
  <sheetFormatPr defaultRowHeight="15" customHeight="1" x14ac:dyDescent="0.3"/>
  <cols>
    <col min="1" max="1" width="13.33203125" customWidth="1"/>
    <col min="2" max="2" width="16.6640625" bestFit="1" customWidth="1"/>
    <col min="3" max="3" width="9.88671875" bestFit="1" customWidth="1"/>
    <col min="4" max="4" width="9.6640625" bestFit="1" customWidth="1"/>
    <col min="7" max="7" width="12" customWidth="1"/>
    <col min="9" max="9" width="16.44140625" customWidth="1"/>
    <col min="10" max="10" width="18.33203125" customWidth="1"/>
    <col min="11" max="11" width="11.5546875" customWidth="1"/>
    <col min="12" max="12" width="10.6640625" customWidth="1"/>
  </cols>
  <sheetData>
    <row r="1" spans="1:14" ht="15" customHeight="1" x14ac:dyDescent="0.3">
      <c r="A1" s="71" t="s">
        <v>95</v>
      </c>
      <c r="B1" s="71" t="s">
        <v>138</v>
      </c>
      <c r="C1" s="71" t="s">
        <v>109</v>
      </c>
      <c r="D1" s="71" t="s">
        <v>129</v>
      </c>
      <c r="E1" s="105"/>
      <c r="G1" s="106" t="s">
        <v>139</v>
      </c>
      <c r="H1" s="106"/>
      <c r="I1" s="30"/>
      <c r="J1" s="106" t="s">
        <v>140</v>
      </c>
      <c r="K1" s="106"/>
      <c r="L1" s="106"/>
      <c r="M1" s="106"/>
    </row>
    <row r="2" spans="1:14" ht="15" customHeight="1" x14ac:dyDescent="0.3">
      <c r="A2" s="19" t="s">
        <v>131</v>
      </c>
      <c r="B2" s="66">
        <v>1</v>
      </c>
      <c r="C2" s="48">
        <v>700</v>
      </c>
      <c r="D2" s="66">
        <v>231</v>
      </c>
      <c r="G2" s="112" t="s">
        <v>95</v>
      </c>
      <c r="H2" s="112" t="s">
        <v>133</v>
      </c>
      <c r="I2" s="26"/>
      <c r="J2" s="97" t="s">
        <v>95</v>
      </c>
      <c r="K2" s="21" t="s">
        <v>141</v>
      </c>
      <c r="L2" s="34"/>
      <c r="M2" s="35"/>
    </row>
    <row r="3" spans="1:14" ht="15" customHeight="1" x14ac:dyDescent="0.3">
      <c r="A3" s="19" t="s">
        <v>131</v>
      </c>
      <c r="B3" s="66">
        <v>1</v>
      </c>
      <c r="C3" s="48">
        <v>14.95</v>
      </c>
      <c r="D3" s="66">
        <v>7.4749999999999996</v>
      </c>
      <c r="G3" s="113"/>
      <c r="H3" s="113"/>
      <c r="I3" s="27"/>
      <c r="J3" s="98"/>
      <c r="K3" s="19">
        <v>1</v>
      </c>
      <c r="L3" s="19">
        <v>2</v>
      </c>
      <c r="M3" s="19">
        <v>3</v>
      </c>
      <c r="N3" s="64"/>
    </row>
    <row r="4" spans="1:14" ht="15" customHeight="1" x14ac:dyDescent="0.3">
      <c r="A4" s="19" t="s">
        <v>130</v>
      </c>
      <c r="B4" s="66">
        <v>2</v>
      </c>
      <c r="C4" s="48">
        <v>11.99</v>
      </c>
      <c r="D4" s="66">
        <v>5.9950000000000001</v>
      </c>
      <c r="G4" s="19" t="s">
        <v>130</v>
      </c>
      <c r="H4" s="20">
        <f>SUMIFS(B2:B18,A2:A18,G4)</f>
        <v>6</v>
      </c>
      <c r="I4" s="27"/>
      <c r="J4" s="19" t="s">
        <v>130</v>
      </c>
      <c r="K4" s="88">
        <f>SUMIFS($B$2:$B$18,$A$2:$A$18,$J4,$B$2:$B$18,B$2)</f>
        <v>4</v>
      </c>
      <c r="L4" s="88">
        <f>SUMIFS(B2:B18,A2:A18,J4,B2:B18,2)</f>
        <v>2</v>
      </c>
      <c r="M4" s="88"/>
      <c r="N4" s="65"/>
    </row>
    <row r="5" spans="1:14" ht="15" customHeight="1" x14ac:dyDescent="0.3">
      <c r="A5" s="19" t="s">
        <v>132</v>
      </c>
      <c r="B5" s="66">
        <v>1</v>
      </c>
      <c r="C5" s="48">
        <v>149.99</v>
      </c>
      <c r="D5" s="66">
        <v>97.493499999999997</v>
      </c>
      <c r="G5" s="19" t="s">
        <v>131</v>
      </c>
      <c r="H5" s="20">
        <f t="shared" ref="H5:H6" si="0">SUMIFS(B3:B19,A3:A19,G5)</f>
        <v>6</v>
      </c>
      <c r="I5" s="27"/>
      <c r="J5" s="19" t="s">
        <v>131</v>
      </c>
      <c r="K5" s="88">
        <f t="shared" ref="K5:K6" si="1">SUMIFS($B$2:$B$18,$A$2:$A$18,$J5,$B$2:$B$18,B$2)</f>
        <v>7</v>
      </c>
      <c r="L5" s="88">
        <f t="shared" ref="L5:L6" si="2">SUMIFS(B3:B19,A3:A19,J5,B3:B19,2)</f>
        <v>0</v>
      </c>
      <c r="M5" s="88">
        <f t="shared" ref="M5:M6" si="3">SUMIFS(C3:C19,B3:B19,K5,C3:C19,3)</f>
        <v>0</v>
      </c>
    </row>
    <row r="6" spans="1:14" ht="15" customHeight="1" x14ac:dyDescent="0.3">
      <c r="A6" s="19" t="s">
        <v>132</v>
      </c>
      <c r="B6" s="66">
        <v>1</v>
      </c>
      <c r="C6" s="48">
        <v>11.99</v>
      </c>
      <c r="D6" s="66">
        <v>5.9950000000000001</v>
      </c>
      <c r="G6" s="19" t="s">
        <v>132</v>
      </c>
      <c r="H6" s="20">
        <f t="shared" si="0"/>
        <v>7</v>
      </c>
      <c r="I6" s="28"/>
      <c r="J6" s="19" t="s">
        <v>132</v>
      </c>
      <c r="K6" s="88">
        <f t="shared" si="1"/>
        <v>4</v>
      </c>
      <c r="L6" s="88">
        <f t="shared" si="2"/>
        <v>0</v>
      </c>
      <c r="M6" s="88">
        <f t="shared" si="3"/>
        <v>0</v>
      </c>
    </row>
    <row r="7" spans="1:14" ht="15" customHeight="1" x14ac:dyDescent="0.3">
      <c r="A7" s="19" t="s">
        <v>130</v>
      </c>
      <c r="B7" s="66">
        <v>1</v>
      </c>
      <c r="C7" s="48">
        <v>2.99</v>
      </c>
      <c r="D7" s="66">
        <v>1.4950000000000001</v>
      </c>
      <c r="K7" s="88"/>
      <c r="L7" s="88"/>
      <c r="M7" s="88"/>
    </row>
    <row r="8" spans="1:14" ht="15" customHeight="1" x14ac:dyDescent="0.3">
      <c r="A8" s="19" t="s">
        <v>131</v>
      </c>
      <c r="B8" s="66">
        <v>1</v>
      </c>
      <c r="C8" s="48">
        <v>389.99</v>
      </c>
      <c r="D8" s="66">
        <v>128.69669999999999</v>
      </c>
      <c r="G8" s="106" t="s">
        <v>142</v>
      </c>
      <c r="H8" s="106"/>
      <c r="I8" s="29"/>
      <c r="J8" s="107" t="s">
        <v>143</v>
      </c>
      <c r="K8" s="108"/>
      <c r="L8" s="108"/>
      <c r="M8" s="109"/>
    </row>
    <row r="9" spans="1:14" ht="15" customHeight="1" x14ac:dyDescent="0.3">
      <c r="A9" s="19" t="s">
        <v>131</v>
      </c>
      <c r="B9" s="66">
        <v>1</v>
      </c>
      <c r="C9" s="48">
        <v>11.95</v>
      </c>
      <c r="D9" s="66">
        <v>5.9749999999999996</v>
      </c>
      <c r="G9" s="112" t="s">
        <v>95</v>
      </c>
      <c r="H9" s="112" t="s">
        <v>144</v>
      </c>
      <c r="I9" s="32"/>
      <c r="J9" s="97" t="s">
        <v>95</v>
      </c>
      <c r="K9" s="21" t="s">
        <v>141</v>
      </c>
      <c r="L9" s="34"/>
      <c r="M9" s="35"/>
    </row>
    <row r="10" spans="1:14" ht="15" customHeight="1" x14ac:dyDescent="0.3">
      <c r="A10" s="19" t="s">
        <v>132</v>
      </c>
      <c r="B10" s="66">
        <v>1</v>
      </c>
      <c r="C10" s="48">
        <v>99.99</v>
      </c>
      <c r="D10" s="66">
        <v>49.994999999999997</v>
      </c>
      <c r="G10" s="113"/>
      <c r="H10" s="113"/>
      <c r="I10" s="33"/>
      <c r="J10" s="98"/>
      <c r="K10" s="19">
        <v>1</v>
      </c>
      <c r="L10" s="19">
        <v>2</v>
      </c>
      <c r="M10" s="19">
        <v>3</v>
      </c>
    </row>
    <row r="11" spans="1:14" ht="15" customHeight="1" x14ac:dyDescent="0.3">
      <c r="A11" s="19" t="s">
        <v>132</v>
      </c>
      <c r="B11" s="66">
        <v>1</v>
      </c>
      <c r="C11" s="48">
        <v>150</v>
      </c>
      <c r="D11" s="66">
        <v>97.5</v>
      </c>
      <c r="G11" s="19" t="s">
        <v>130</v>
      </c>
      <c r="H11" s="20">
        <f>AVERAGEIFS(B2:B18,A2:A18,G11)</f>
        <v>1.2</v>
      </c>
      <c r="I11" s="24"/>
      <c r="J11" s="19" t="s">
        <v>130</v>
      </c>
      <c r="K11" s="20"/>
      <c r="L11" s="20"/>
      <c r="M11" s="20"/>
    </row>
    <row r="12" spans="1:14" ht="15" customHeight="1" x14ac:dyDescent="0.3">
      <c r="A12" s="19" t="s">
        <v>131</v>
      </c>
      <c r="B12" s="66">
        <v>1</v>
      </c>
      <c r="C12" s="48">
        <v>150</v>
      </c>
      <c r="D12" s="66">
        <v>97.5</v>
      </c>
      <c r="G12" s="19" t="s">
        <v>131</v>
      </c>
      <c r="H12" s="20">
        <f t="shared" ref="H12:H13" si="4">AVERAGEIFS(B3:B19,A3:A19,G12)</f>
        <v>1</v>
      </c>
      <c r="I12" s="24"/>
      <c r="J12" s="19" t="s">
        <v>131</v>
      </c>
      <c r="K12" s="20"/>
      <c r="L12" s="20"/>
      <c r="M12" s="20"/>
    </row>
    <row r="13" spans="1:14" ht="15" customHeight="1" x14ac:dyDescent="0.3">
      <c r="A13" s="19" t="s">
        <v>130</v>
      </c>
      <c r="B13" s="66">
        <v>1</v>
      </c>
      <c r="C13" s="48">
        <v>1700</v>
      </c>
      <c r="D13" s="66">
        <v>561</v>
      </c>
      <c r="G13" s="19" t="s">
        <v>132</v>
      </c>
      <c r="H13" s="20">
        <f t="shared" si="4"/>
        <v>1.4</v>
      </c>
      <c r="I13" s="24"/>
      <c r="J13" s="19" t="s">
        <v>132</v>
      </c>
      <c r="K13" s="20"/>
      <c r="L13" s="20"/>
      <c r="M13" s="20"/>
    </row>
    <row r="14" spans="1:14" ht="15" customHeight="1" x14ac:dyDescent="0.3">
      <c r="A14" s="19" t="s">
        <v>132</v>
      </c>
      <c r="B14" s="66">
        <v>3</v>
      </c>
      <c r="C14" s="48">
        <v>2.99</v>
      </c>
      <c r="D14" s="66">
        <v>1.4950000000000001</v>
      </c>
      <c r="I14" s="25"/>
    </row>
    <row r="15" spans="1:14" ht="15" customHeight="1" x14ac:dyDescent="0.3">
      <c r="A15" s="19" t="s">
        <v>131</v>
      </c>
      <c r="B15" s="66">
        <v>1</v>
      </c>
      <c r="C15" s="48">
        <v>149.99</v>
      </c>
      <c r="D15" s="66">
        <v>97.493499999999997</v>
      </c>
      <c r="G15" s="106" t="s">
        <v>145</v>
      </c>
      <c r="H15" s="106"/>
      <c r="I15" s="31"/>
      <c r="J15" s="107" t="s">
        <v>146</v>
      </c>
      <c r="K15" s="108"/>
      <c r="L15" s="108"/>
      <c r="M15" s="109"/>
    </row>
    <row r="16" spans="1:14" ht="15" customHeight="1" x14ac:dyDescent="0.3">
      <c r="A16" s="19" t="s">
        <v>130</v>
      </c>
      <c r="B16" s="66">
        <v>1</v>
      </c>
      <c r="C16" s="48">
        <v>300</v>
      </c>
      <c r="D16" s="66">
        <v>99</v>
      </c>
      <c r="G16" s="112" t="s">
        <v>95</v>
      </c>
      <c r="H16" s="112" t="s">
        <v>137</v>
      </c>
      <c r="I16" s="22"/>
      <c r="J16" s="97" t="s">
        <v>95</v>
      </c>
      <c r="K16" s="21" t="s">
        <v>141</v>
      </c>
      <c r="L16" s="34"/>
      <c r="M16" s="35"/>
    </row>
    <row r="17" spans="1:13" ht="15" customHeight="1" x14ac:dyDescent="0.3">
      <c r="A17" s="19" t="s">
        <v>130</v>
      </c>
      <c r="B17" s="66">
        <v>1</v>
      </c>
      <c r="C17" s="48">
        <v>149.99</v>
      </c>
      <c r="D17" s="66">
        <v>97.493499999999997</v>
      </c>
      <c r="G17" s="113"/>
      <c r="H17" s="113"/>
      <c r="I17" s="33"/>
      <c r="J17" s="98"/>
      <c r="K17" s="19">
        <v>1</v>
      </c>
      <c r="L17" s="19">
        <v>2</v>
      </c>
      <c r="M17" s="19">
        <v>3</v>
      </c>
    </row>
    <row r="18" spans="1:13" ht="15" customHeight="1" x14ac:dyDescent="0.3">
      <c r="A18" s="19" t="s">
        <v>131</v>
      </c>
      <c r="B18" s="66">
        <v>1</v>
      </c>
      <c r="C18" s="48">
        <v>400</v>
      </c>
      <c r="D18" s="66">
        <v>132</v>
      </c>
      <c r="G18" s="19" t="s">
        <v>130</v>
      </c>
      <c r="H18" s="20">
        <f>COUNTIFS(A2:A18,G18)</f>
        <v>5</v>
      </c>
      <c r="I18" s="24"/>
      <c r="J18" s="19" t="s">
        <v>130</v>
      </c>
      <c r="K18" s="20"/>
      <c r="L18" s="20"/>
      <c r="M18" s="20"/>
    </row>
    <row r="19" spans="1:13" ht="15" customHeight="1" x14ac:dyDescent="0.3">
      <c r="G19" s="19" t="s">
        <v>131</v>
      </c>
      <c r="H19" s="20">
        <f t="shared" ref="H19:H20" si="5">COUNTIFS(A3:A19,G19)</f>
        <v>6</v>
      </c>
      <c r="I19" s="24"/>
      <c r="J19" s="19" t="s">
        <v>131</v>
      </c>
      <c r="K19" s="20"/>
      <c r="L19" s="20"/>
      <c r="M19" s="20"/>
    </row>
    <row r="20" spans="1:13" ht="15" customHeight="1" x14ac:dyDescent="0.3">
      <c r="G20" s="19" t="s">
        <v>132</v>
      </c>
      <c r="H20" s="20">
        <f t="shared" si="5"/>
        <v>5</v>
      </c>
      <c r="I20" s="24"/>
      <c r="J20" s="19" t="s">
        <v>132</v>
      </c>
      <c r="K20" s="20"/>
      <c r="L20" s="20"/>
      <c r="M20" s="20"/>
    </row>
    <row r="21" spans="1:13" ht="15" customHeight="1" x14ac:dyDescent="0.3">
      <c r="I21" s="25"/>
      <c r="J21" s="25"/>
    </row>
    <row r="24" spans="1:13" ht="15" customHeight="1" x14ac:dyDescent="0.35">
      <c r="A24" s="110" t="s">
        <v>147</v>
      </c>
      <c r="B24" s="111"/>
    </row>
    <row r="26" spans="1:13" ht="13.5" customHeight="1" x14ac:dyDescent="0.3"/>
    <row r="27" spans="1:13" ht="15" customHeight="1" x14ac:dyDescent="0.3">
      <c r="A27" s="71" t="s">
        <v>95</v>
      </c>
      <c r="B27" s="71" t="s">
        <v>138</v>
      </c>
      <c r="C27" s="71" t="s">
        <v>109</v>
      </c>
      <c r="D27" s="71" t="s">
        <v>129</v>
      </c>
      <c r="I27" s="74" t="s">
        <v>95</v>
      </c>
      <c r="J27" s="71" t="s">
        <v>138</v>
      </c>
      <c r="K27" s="75" t="s">
        <v>109</v>
      </c>
    </row>
    <row r="28" spans="1:13" ht="15" customHeight="1" x14ac:dyDescent="0.3">
      <c r="A28" s="19" t="s">
        <v>131</v>
      </c>
      <c r="B28" s="66">
        <v>1</v>
      </c>
      <c r="C28" s="77">
        <v>700</v>
      </c>
      <c r="D28" s="66">
        <v>231</v>
      </c>
      <c r="I28" s="70" t="s">
        <v>130</v>
      </c>
      <c r="J28" s="79">
        <v>1</v>
      </c>
      <c r="K28" s="78" t="s">
        <v>148</v>
      </c>
    </row>
    <row r="29" spans="1:13" ht="15" customHeight="1" x14ac:dyDescent="0.3">
      <c r="A29" s="19" t="s">
        <v>131</v>
      </c>
      <c r="B29" s="66">
        <v>1</v>
      </c>
      <c r="C29" s="77">
        <v>14.95</v>
      </c>
      <c r="D29" s="66">
        <v>7.4749999999999996</v>
      </c>
      <c r="I29" s="23"/>
      <c r="J29" s="23"/>
      <c r="K29" s="23"/>
    </row>
    <row r="30" spans="1:13" ht="15" customHeight="1" x14ac:dyDescent="0.3">
      <c r="A30" s="19" t="s">
        <v>130</v>
      </c>
      <c r="B30" s="66">
        <v>2</v>
      </c>
      <c r="C30" s="77">
        <v>11.99</v>
      </c>
      <c r="D30" s="66">
        <v>5.9950000000000001</v>
      </c>
      <c r="I30" s="72"/>
      <c r="J30" s="76"/>
      <c r="K30" s="73"/>
    </row>
    <row r="31" spans="1:13" ht="15" customHeight="1" x14ac:dyDescent="0.3">
      <c r="A31" s="19" t="s">
        <v>132</v>
      </c>
      <c r="B31" s="66">
        <v>1</v>
      </c>
      <c r="C31" s="77">
        <v>149.99</v>
      </c>
      <c r="D31" s="66">
        <v>97.493499999999997</v>
      </c>
      <c r="I31" s="74" t="s">
        <v>95</v>
      </c>
      <c r="J31" s="71" t="s">
        <v>138</v>
      </c>
      <c r="K31" s="75" t="s">
        <v>109</v>
      </c>
    </row>
    <row r="32" spans="1:13" ht="15" customHeight="1" x14ac:dyDescent="0.3">
      <c r="A32" s="19" t="s">
        <v>132</v>
      </c>
      <c r="B32" s="66">
        <v>1</v>
      </c>
      <c r="C32" s="77">
        <v>11.99</v>
      </c>
      <c r="D32" s="66">
        <v>5.9950000000000001</v>
      </c>
      <c r="I32" s="70" t="s">
        <v>130</v>
      </c>
      <c r="J32" s="79">
        <v>1</v>
      </c>
      <c r="K32" s="78" t="s">
        <v>149</v>
      </c>
    </row>
    <row r="33" spans="1:11" ht="15" customHeight="1" x14ac:dyDescent="0.3">
      <c r="A33" s="19" t="s">
        <v>130</v>
      </c>
      <c r="B33" s="66">
        <v>1</v>
      </c>
      <c r="C33" s="77">
        <v>2.99</v>
      </c>
      <c r="D33" s="66">
        <v>1.4950000000000001</v>
      </c>
    </row>
    <row r="34" spans="1:11" ht="15" customHeight="1" x14ac:dyDescent="0.3">
      <c r="A34" s="19" t="s">
        <v>131</v>
      </c>
      <c r="B34" s="66">
        <v>1</v>
      </c>
      <c r="C34" s="77">
        <v>389.99</v>
      </c>
      <c r="D34" s="66">
        <v>128.69669999999999</v>
      </c>
      <c r="G34" t="s">
        <v>150</v>
      </c>
      <c r="H34" t="s">
        <v>151</v>
      </c>
    </row>
    <row r="35" spans="1:11" ht="15" customHeight="1" x14ac:dyDescent="0.3">
      <c r="A35" s="19" t="s">
        <v>131</v>
      </c>
      <c r="B35" s="66">
        <v>1</v>
      </c>
      <c r="C35" s="77">
        <v>11.95</v>
      </c>
      <c r="D35" s="66">
        <v>5.9749999999999996</v>
      </c>
      <c r="G35">
        <f>DSUM(A27:D44,C27,I31:K32)</f>
        <v>2700</v>
      </c>
      <c r="H35">
        <f>DAVERAGE(A27:D44,C27,I31:K32)</f>
        <v>1350</v>
      </c>
    </row>
    <row r="36" spans="1:11" ht="15" customHeight="1" x14ac:dyDescent="0.3">
      <c r="A36" s="19" t="s">
        <v>132</v>
      </c>
      <c r="B36" s="66">
        <v>1</v>
      </c>
      <c r="C36" s="77">
        <v>99.99</v>
      </c>
      <c r="D36" s="66">
        <v>49.994999999999997</v>
      </c>
    </row>
    <row r="37" spans="1:11" ht="15" customHeight="1" x14ac:dyDescent="0.3">
      <c r="A37" s="19" t="s">
        <v>132</v>
      </c>
      <c r="B37" s="66">
        <v>1</v>
      </c>
      <c r="C37" s="77">
        <v>150</v>
      </c>
      <c r="D37" s="66">
        <v>97.5</v>
      </c>
      <c r="I37" s="74" t="s">
        <v>95</v>
      </c>
      <c r="J37" s="71" t="s">
        <v>138</v>
      </c>
      <c r="K37" s="75"/>
    </row>
    <row r="38" spans="1:11" ht="15" customHeight="1" x14ac:dyDescent="0.3">
      <c r="A38" s="19" t="s">
        <v>131</v>
      </c>
      <c r="B38" s="66">
        <v>1</v>
      </c>
      <c r="C38" s="77">
        <v>150</v>
      </c>
      <c r="D38" s="66">
        <v>97.5</v>
      </c>
      <c r="I38" s="70" t="s">
        <v>132</v>
      </c>
      <c r="J38" s="79">
        <v>3</v>
      </c>
      <c r="K38" s="78"/>
    </row>
    <row r="39" spans="1:11" ht="15" customHeight="1" x14ac:dyDescent="0.3">
      <c r="A39" s="71" t="s">
        <v>130</v>
      </c>
      <c r="B39" s="94">
        <v>1</v>
      </c>
      <c r="C39" s="89">
        <v>1700</v>
      </c>
      <c r="D39" s="94">
        <v>561</v>
      </c>
    </row>
    <row r="40" spans="1:11" ht="15" customHeight="1" x14ac:dyDescent="0.3">
      <c r="A40" s="19" t="s">
        <v>132</v>
      </c>
      <c r="B40" s="66">
        <v>3</v>
      </c>
      <c r="C40" s="77">
        <v>2.99</v>
      </c>
      <c r="D40" s="66">
        <v>1.4950000000000001</v>
      </c>
    </row>
    <row r="41" spans="1:11" ht="15" customHeight="1" x14ac:dyDescent="0.3">
      <c r="A41" s="19" t="s">
        <v>131</v>
      </c>
      <c r="B41" s="66">
        <v>1</v>
      </c>
      <c r="C41" s="77">
        <v>149.99</v>
      </c>
      <c r="D41" s="66">
        <v>97.493499999999997</v>
      </c>
    </row>
    <row r="42" spans="1:11" ht="15" customHeight="1" x14ac:dyDescent="0.3">
      <c r="A42" s="19" t="s">
        <v>130</v>
      </c>
      <c r="B42" s="66">
        <v>1</v>
      </c>
      <c r="C42" s="77">
        <v>300</v>
      </c>
      <c r="D42" s="66">
        <v>99</v>
      </c>
    </row>
    <row r="43" spans="1:11" ht="15" customHeight="1" x14ac:dyDescent="0.3">
      <c r="A43" s="71" t="s">
        <v>130</v>
      </c>
      <c r="B43" s="94">
        <v>1</v>
      </c>
      <c r="C43" s="89">
        <v>1000</v>
      </c>
      <c r="D43" s="94">
        <v>97.493499999999997</v>
      </c>
    </row>
    <row r="44" spans="1:11" ht="15" customHeight="1" x14ac:dyDescent="0.3">
      <c r="A44" s="19" t="s">
        <v>131</v>
      </c>
      <c r="B44" s="66">
        <v>1</v>
      </c>
      <c r="C44" s="77">
        <v>400</v>
      </c>
      <c r="D44" s="66">
        <v>132</v>
      </c>
    </row>
  </sheetData>
  <mergeCells count="13">
    <mergeCell ref="J1:M1"/>
    <mergeCell ref="J8:M8"/>
    <mergeCell ref="J15:M15"/>
    <mergeCell ref="A24:B24"/>
    <mergeCell ref="G8:H8"/>
    <mergeCell ref="G1:H1"/>
    <mergeCell ref="G15:H15"/>
    <mergeCell ref="H9:H10"/>
    <mergeCell ref="H2:H3"/>
    <mergeCell ref="H16:H17"/>
    <mergeCell ref="G2:G3"/>
    <mergeCell ref="G9:G10"/>
    <mergeCell ref="G16:G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10C6-27CE-4665-8D76-D8D9C5765A35}">
  <dimension ref="A1:D23"/>
  <sheetViews>
    <sheetView zoomScale="116" workbookViewId="0">
      <selection activeCell="B2" sqref="B2"/>
    </sheetView>
  </sheetViews>
  <sheetFormatPr defaultRowHeight="14.4" x14ac:dyDescent="0.3"/>
  <cols>
    <col min="1" max="1" width="15.5546875" customWidth="1"/>
    <col min="2" max="2" width="11.88671875" customWidth="1"/>
    <col min="3" max="3" width="13.88671875" customWidth="1"/>
    <col min="4" max="4" width="13" customWidth="1"/>
  </cols>
  <sheetData>
    <row r="1" spans="1:4" x14ac:dyDescent="0.3">
      <c r="A1" s="53" t="s">
        <v>152</v>
      </c>
      <c r="B1" s="53" t="s">
        <v>0</v>
      </c>
      <c r="C1" s="54" t="s">
        <v>104</v>
      </c>
      <c r="D1" s="53" t="s">
        <v>101</v>
      </c>
    </row>
    <row r="2" spans="1:4" x14ac:dyDescent="0.3">
      <c r="A2" s="55">
        <v>1</v>
      </c>
      <c r="B2" s="55"/>
      <c r="C2" s="56"/>
      <c r="D2" s="55"/>
    </row>
    <row r="3" spans="1:4" x14ac:dyDescent="0.3">
      <c r="A3" s="55">
        <v>2</v>
      </c>
      <c r="B3" s="55"/>
      <c r="C3" s="56"/>
      <c r="D3" s="55"/>
    </row>
    <row r="4" spans="1:4" x14ac:dyDescent="0.3">
      <c r="A4" s="55">
        <v>3</v>
      </c>
      <c r="B4" s="55"/>
      <c r="C4" s="56"/>
      <c r="D4" s="55"/>
    </row>
    <row r="5" spans="1:4" x14ac:dyDescent="0.3">
      <c r="A5" s="55">
        <v>4</v>
      </c>
      <c r="B5" s="55"/>
      <c r="C5" s="56"/>
      <c r="D5" s="55"/>
    </row>
    <row r="6" spans="1:4" x14ac:dyDescent="0.3">
      <c r="A6" s="55">
        <v>5</v>
      </c>
      <c r="B6" s="55"/>
      <c r="C6" s="56"/>
      <c r="D6" s="55"/>
    </row>
    <row r="7" spans="1:4" x14ac:dyDescent="0.3">
      <c r="A7" s="55">
        <v>6</v>
      </c>
      <c r="B7" s="55"/>
      <c r="C7" s="56"/>
      <c r="D7" s="55"/>
    </row>
    <row r="8" spans="1:4" x14ac:dyDescent="0.3">
      <c r="A8" s="55">
        <v>7</v>
      </c>
      <c r="B8" s="55"/>
      <c r="C8" s="56"/>
      <c r="D8" s="55"/>
    </row>
    <row r="9" spans="1:4" x14ac:dyDescent="0.3">
      <c r="A9" s="55">
        <v>8</v>
      </c>
      <c r="B9" s="55"/>
      <c r="C9" s="56"/>
      <c r="D9" s="55"/>
    </row>
    <row r="10" spans="1:4" x14ac:dyDescent="0.3">
      <c r="A10" s="55">
        <v>9</v>
      </c>
      <c r="B10" s="55"/>
      <c r="C10" s="56"/>
      <c r="D10" s="55"/>
    </row>
    <row r="11" spans="1:4" x14ac:dyDescent="0.3">
      <c r="A11" s="55">
        <v>10</v>
      </c>
      <c r="B11" s="55"/>
      <c r="C11" s="56"/>
      <c r="D11" s="55"/>
    </row>
    <row r="12" spans="1:4" x14ac:dyDescent="0.3">
      <c r="A12" s="55">
        <v>11</v>
      </c>
      <c r="B12" s="55"/>
      <c r="C12" s="56"/>
      <c r="D12" s="55"/>
    </row>
    <row r="13" spans="1:4" x14ac:dyDescent="0.3">
      <c r="A13" s="55">
        <v>12</v>
      </c>
      <c r="B13" s="55"/>
      <c r="C13" s="56"/>
      <c r="D13" s="55"/>
    </row>
    <row r="14" spans="1:4" x14ac:dyDescent="0.3">
      <c r="A14" s="55">
        <v>13</v>
      </c>
      <c r="B14" s="55"/>
      <c r="C14" s="56"/>
      <c r="D14" s="55"/>
    </row>
    <row r="15" spans="1:4" x14ac:dyDescent="0.3">
      <c r="A15" s="55">
        <v>14</v>
      </c>
      <c r="B15" s="55"/>
      <c r="C15" s="56"/>
      <c r="D15" s="55"/>
    </row>
    <row r="16" spans="1:4" x14ac:dyDescent="0.3">
      <c r="A16" s="55">
        <v>15</v>
      </c>
      <c r="B16" s="55"/>
      <c r="C16" s="56"/>
      <c r="D16" s="55"/>
    </row>
    <row r="17" spans="1:4" x14ac:dyDescent="0.3">
      <c r="A17" s="55">
        <v>16</v>
      </c>
      <c r="B17" s="55"/>
      <c r="C17" s="56"/>
      <c r="D17" s="55"/>
    </row>
    <row r="18" spans="1:4" x14ac:dyDescent="0.3">
      <c r="A18" s="55">
        <v>17</v>
      </c>
      <c r="B18" s="55"/>
      <c r="C18" s="56"/>
      <c r="D18" s="55"/>
    </row>
    <row r="23" spans="1:4" x14ac:dyDescent="0.3">
      <c r="A23">
        <v>25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C886-7C39-41A8-BEF7-116077BA88CE}">
  <dimension ref="A1:G18"/>
  <sheetViews>
    <sheetView workbookViewId="0">
      <selection activeCell="G3" sqref="G3"/>
    </sheetView>
  </sheetViews>
  <sheetFormatPr defaultRowHeight="15" customHeight="1" x14ac:dyDescent="0.3"/>
  <cols>
    <col min="1" max="1" width="16.33203125" customWidth="1"/>
    <col min="2" max="2" width="12.33203125" customWidth="1"/>
    <col min="3" max="3" width="12" customWidth="1"/>
    <col min="4" max="4" width="14.33203125" customWidth="1"/>
    <col min="7" max="7" width="16.5546875" customWidth="1"/>
    <col min="9" max="9" width="10.88671875" customWidth="1"/>
    <col min="10" max="10" width="13.88671875" customWidth="1"/>
  </cols>
  <sheetData>
    <row r="1" spans="1:7" ht="15" customHeight="1" x14ac:dyDescent="0.3">
      <c r="A1" s="53" t="s">
        <v>95</v>
      </c>
      <c r="B1" s="53" t="s">
        <v>138</v>
      </c>
      <c r="C1" s="54" t="s">
        <v>109</v>
      </c>
      <c r="D1" s="53" t="s">
        <v>129</v>
      </c>
    </row>
    <row r="2" spans="1:7" ht="15" customHeight="1" x14ac:dyDescent="0.3">
      <c r="A2" s="55" t="s">
        <v>131</v>
      </c>
      <c r="B2" s="55">
        <v>1</v>
      </c>
      <c r="C2" s="56">
        <v>700</v>
      </c>
      <c r="D2" s="55">
        <v>231</v>
      </c>
    </row>
    <row r="3" spans="1:7" ht="18.75" customHeight="1" x14ac:dyDescent="0.3">
      <c r="A3" s="55" t="s">
        <v>131</v>
      </c>
      <c r="B3" s="55">
        <v>1</v>
      </c>
      <c r="C3" s="56">
        <v>14.95</v>
      </c>
      <c r="D3" s="55">
        <v>7.4749999999999996</v>
      </c>
      <c r="G3" s="80"/>
    </row>
    <row r="4" spans="1:7" ht="15" customHeight="1" x14ac:dyDescent="0.3">
      <c r="A4" s="55" t="s">
        <v>130</v>
      </c>
      <c r="B4" s="55">
        <v>2</v>
      </c>
      <c r="C4" s="56">
        <v>11.99</v>
      </c>
      <c r="D4" s="55">
        <v>5.9950000000000001</v>
      </c>
    </row>
    <row r="5" spans="1:7" ht="15" customHeight="1" x14ac:dyDescent="0.3">
      <c r="A5" s="55" t="s">
        <v>132</v>
      </c>
      <c r="B5" s="55">
        <v>1</v>
      </c>
      <c r="C5" s="56">
        <v>149.99</v>
      </c>
      <c r="D5" s="55">
        <v>97.493499999999997</v>
      </c>
    </row>
    <row r="6" spans="1:7" ht="15" customHeight="1" x14ac:dyDescent="0.3">
      <c r="A6" s="55" t="s">
        <v>132</v>
      </c>
      <c r="B6" s="55">
        <v>1</v>
      </c>
      <c r="C6" s="56">
        <v>11.99</v>
      </c>
      <c r="D6" s="55">
        <v>5.9950000000000001</v>
      </c>
    </row>
    <row r="7" spans="1:7" ht="15" customHeight="1" x14ac:dyDescent="0.3">
      <c r="A7" s="55" t="s">
        <v>130</v>
      </c>
      <c r="B7" s="55">
        <v>1</v>
      </c>
      <c r="C7" s="56">
        <v>2.99</v>
      </c>
      <c r="D7" s="55">
        <v>1.4950000000000001</v>
      </c>
    </row>
    <row r="8" spans="1:7" ht="15" customHeight="1" x14ac:dyDescent="0.3">
      <c r="A8" s="55" t="s">
        <v>131</v>
      </c>
      <c r="B8" s="55">
        <v>1</v>
      </c>
      <c r="C8" s="56">
        <v>389.99</v>
      </c>
      <c r="D8" s="55">
        <v>128.69669999999999</v>
      </c>
      <c r="G8" s="80"/>
    </row>
    <row r="9" spans="1:7" ht="15" customHeight="1" x14ac:dyDescent="0.3">
      <c r="A9" s="55" t="s">
        <v>131</v>
      </c>
      <c r="B9" s="55">
        <v>1</v>
      </c>
      <c r="C9" s="56">
        <v>11.95</v>
      </c>
      <c r="D9" s="55">
        <v>5.9749999999999996</v>
      </c>
    </row>
    <row r="10" spans="1:7" ht="15" customHeight="1" x14ac:dyDescent="0.3">
      <c r="A10" s="55" t="s">
        <v>132</v>
      </c>
      <c r="B10" s="55">
        <v>1</v>
      </c>
      <c r="C10" s="56">
        <v>99.99</v>
      </c>
      <c r="D10" s="55">
        <v>49.994999999999997</v>
      </c>
    </row>
    <row r="11" spans="1:7" ht="15" customHeight="1" x14ac:dyDescent="0.3">
      <c r="A11" s="55" t="s">
        <v>132</v>
      </c>
      <c r="B11" s="55">
        <v>1</v>
      </c>
      <c r="C11" s="56">
        <v>150</v>
      </c>
      <c r="D11" s="55">
        <v>97.5</v>
      </c>
    </row>
    <row r="12" spans="1:7" ht="15" customHeight="1" x14ac:dyDescent="0.3">
      <c r="A12" s="55" t="s">
        <v>131</v>
      </c>
      <c r="B12" s="55">
        <v>1</v>
      </c>
      <c r="C12" s="56">
        <v>150</v>
      </c>
      <c r="D12" s="55">
        <v>97.5</v>
      </c>
    </row>
    <row r="13" spans="1:7" ht="15" customHeight="1" x14ac:dyDescent="0.3">
      <c r="A13" s="55" t="s">
        <v>130</v>
      </c>
      <c r="B13" s="55">
        <v>1</v>
      </c>
      <c r="C13" s="56">
        <v>1700</v>
      </c>
      <c r="D13" s="55">
        <v>561</v>
      </c>
    </row>
    <row r="14" spans="1:7" ht="15" customHeight="1" x14ac:dyDescent="0.3">
      <c r="A14" s="55" t="s">
        <v>132</v>
      </c>
      <c r="B14" s="55">
        <v>3</v>
      </c>
      <c r="C14" s="56">
        <v>2.99</v>
      </c>
      <c r="D14" s="55">
        <v>1.4950000000000001</v>
      </c>
    </row>
    <row r="15" spans="1:7" ht="15" customHeight="1" x14ac:dyDescent="0.3">
      <c r="A15" s="55" t="s">
        <v>131</v>
      </c>
      <c r="B15" s="55">
        <v>1</v>
      </c>
      <c r="C15" s="56">
        <v>149.99</v>
      </c>
      <c r="D15" s="55">
        <v>97.493499999999997</v>
      </c>
    </row>
    <row r="16" spans="1:7" ht="15" customHeight="1" x14ac:dyDescent="0.3">
      <c r="A16" s="55" t="s">
        <v>130</v>
      </c>
      <c r="B16" s="55">
        <v>1</v>
      </c>
      <c r="C16" s="56">
        <v>300</v>
      </c>
      <c r="D16" s="55">
        <v>99</v>
      </c>
    </row>
    <row r="17" spans="1:4" ht="15" customHeight="1" x14ac:dyDescent="0.3">
      <c r="A17" s="55" t="s">
        <v>130</v>
      </c>
      <c r="B17" s="55">
        <v>1</v>
      </c>
      <c r="C17" s="56">
        <v>149.99</v>
      </c>
      <c r="D17" s="55">
        <v>97.493499999999997</v>
      </c>
    </row>
    <row r="18" spans="1:4" ht="15" customHeight="1" x14ac:dyDescent="0.3">
      <c r="A18" s="55" t="s">
        <v>131</v>
      </c>
      <c r="B18" s="55">
        <v>1</v>
      </c>
      <c r="C18" s="56">
        <v>400</v>
      </c>
      <c r="D18" s="55">
        <v>132</v>
      </c>
    </row>
  </sheetData>
  <dataValidations count="2">
    <dataValidation type="list" allowBlank="1" showInputMessage="1" showErrorMessage="1" sqref="L7" xr:uid="{15275C85-CE9C-4BAA-9940-F74355FF9DF8}">
      <formula1>$A$2:$A$18</formula1>
    </dataValidation>
    <dataValidation operator="equal" allowBlank="1" showInputMessage="1" showErrorMessage="1" sqref="I3:M3" xr:uid="{8AA0C95E-4F03-4CC1-9F6E-40BEF04D4F49}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7DB6-DD82-4440-B24A-243EDF5E35F5}">
  <dimension ref="A1:I16"/>
  <sheetViews>
    <sheetView workbookViewId="0">
      <selection activeCell="F12" sqref="F12:G16"/>
    </sheetView>
  </sheetViews>
  <sheetFormatPr defaultRowHeight="14.4" x14ac:dyDescent="0.3"/>
  <cols>
    <col min="1" max="1" width="12.6640625" customWidth="1"/>
    <col min="2" max="2" width="10.5546875" customWidth="1"/>
    <col min="3" max="3" width="11" customWidth="1"/>
    <col min="6" max="6" width="12.109375" customWidth="1"/>
    <col min="7" max="7" width="16.6640625" customWidth="1"/>
    <col min="8" max="8" width="15.44140625" customWidth="1"/>
    <col min="9" max="9" width="16.5546875" customWidth="1"/>
  </cols>
  <sheetData>
    <row r="1" spans="1:9" ht="24" customHeight="1" x14ac:dyDescent="0.3">
      <c r="A1" s="114" t="s">
        <v>153</v>
      </c>
      <c r="B1" s="114"/>
      <c r="C1" s="114"/>
      <c r="G1" s="114" t="s">
        <v>154</v>
      </c>
      <c r="H1" s="114"/>
      <c r="I1" s="114"/>
    </row>
    <row r="2" spans="1:9" ht="26.25" customHeight="1" x14ac:dyDescent="0.3">
      <c r="A2" s="90" t="s">
        <v>155</v>
      </c>
      <c r="B2" s="90" t="s">
        <v>0</v>
      </c>
      <c r="C2" s="90" t="s">
        <v>156</v>
      </c>
      <c r="D2" s="13"/>
      <c r="E2" s="13"/>
      <c r="F2" s="13"/>
      <c r="G2" s="90" t="s">
        <v>155</v>
      </c>
      <c r="H2" s="90" t="s">
        <v>157</v>
      </c>
      <c r="I2" s="90" t="s">
        <v>158</v>
      </c>
    </row>
    <row r="3" spans="1:9" x14ac:dyDescent="0.3">
      <c r="A3" s="90">
        <v>101</v>
      </c>
      <c r="B3" s="90" t="s">
        <v>159</v>
      </c>
      <c r="C3" s="90" t="s">
        <v>160</v>
      </c>
      <c r="D3" s="13"/>
      <c r="E3" s="13"/>
      <c r="F3" s="13"/>
      <c r="G3" s="90">
        <v>101</v>
      </c>
      <c r="H3" s="90">
        <v>85</v>
      </c>
      <c r="I3" s="90">
        <v>90</v>
      </c>
    </row>
    <row r="4" spans="1:9" x14ac:dyDescent="0.3">
      <c r="A4" s="90">
        <v>102</v>
      </c>
      <c r="B4" s="90" t="s">
        <v>161</v>
      </c>
      <c r="C4" s="90" t="s">
        <v>162</v>
      </c>
      <c r="D4" s="13"/>
      <c r="E4" s="13"/>
      <c r="F4" s="13"/>
      <c r="G4" s="90">
        <v>102</v>
      </c>
      <c r="H4" s="90">
        <v>75</v>
      </c>
      <c r="I4" s="90">
        <v>80</v>
      </c>
    </row>
    <row r="5" spans="1:9" x14ac:dyDescent="0.3">
      <c r="A5" s="90">
        <v>103</v>
      </c>
      <c r="B5" s="90" t="s">
        <v>163</v>
      </c>
      <c r="C5" s="90" t="s">
        <v>164</v>
      </c>
      <c r="D5" s="13"/>
      <c r="E5" s="13"/>
      <c r="F5" s="13"/>
      <c r="G5" s="90">
        <v>103</v>
      </c>
      <c r="H5" s="90">
        <v>65</v>
      </c>
      <c r="I5" s="90">
        <v>70</v>
      </c>
    </row>
    <row r="6" spans="1:9" x14ac:dyDescent="0.3">
      <c r="A6" s="90">
        <v>104</v>
      </c>
      <c r="B6" s="90" t="s">
        <v>13</v>
      </c>
      <c r="C6" s="90" t="s">
        <v>160</v>
      </c>
      <c r="D6" s="13"/>
      <c r="E6" s="13"/>
      <c r="F6" s="13"/>
      <c r="G6" s="90">
        <v>104</v>
      </c>
      <c r="H6" s="90">
        <v>95</v>
      </c>
      <c r="I6" s="90">
        <v>85</v>
      </c>
    </row>
    <row r="7" spans="1:9" x14ac:dyDescent="0.3">
      <c r="A7" s="90">
        <v>105</v>
      </c>
      <c r="B7" s="90" t="s">
        <v>18</v>
      </c>
      <c r="C7" s="90" t="s">
        <v>162</v>
      </c>
      <c r="D7" s="13"/>
      <c r="E7" s="13"/>
      <c r="F7" s="13"/>
      <c r="G7" s="90">
        <v>106</v>
      </c>
      <c r="H7" s="90">
        <v>80</v>
      </c>
      <c r="I7" s="90">
        <v>75</v>
      </c>
    </row>
    <row r="11" spans="1:9" x14ac:dyDescent="0.3">
      <c r="C11" s="91" t="s">
        <v>155</v>
      </c>
      <c r="D11" s="91" t="s">
        <v>0</v>
      </c>
      <c r="E11" s="91" t="s">
        <v>156</v>
      </c>
      <c r="F11" s="91" t="s">
        <v>157</v>
      </c>
      <c r="G11" s="91" t="s">
        <v>158</v>
      </c>
    </row>
    <row r="12" spans="1:9" x14ac:dyDescent="0.3">
      <c r="C12" s="91">
        <v>101</v>
      </c>
      <c r="D12" s="91" t="s">
        <v>159</v>
      </c>
      <c r="E12" s="91" t="s">
        <v>160</v>
      </c>
      <c r="F12" s="92">
        <f>VLOOKUP($C12,$G$2:$I$7,MATCH(F$11,$G$2:$I$2,0),FALSE)</f>
        <v>85</v>
      </c>
      <c r="G12" s="92">
        <f>VLOOKUP($C12,$G$2:$I$7,MATCH(G$11,$G$2:$I$2,0),FALSE)</f>
        <v>90</v>
      </c>
    </row>
    <row r="13" spans="1:9" x14ac:dyDescent="0.3">
      <c r="C13" s="91">
        <v>102</v>
      </c>
      <c r="D13" s="91" t="s">
        <v>161</v>
      </c>
      <c r="E13" s="91" t="s">
        <v>162</v>
      </c>
      <c r="F13" s="92">
        <f t="shared" ref="F13:G16" si="0">VLOOKUP($C13,$G$2:$I$7,MATCH(F$11,$G$2:$I$2,0),FALSE)</f>
        <v>75</v>
      </c>
      <c r="G13" s="92">
        <f t="shared" si="0"/>
        <v>80</v>
      </c>
    </row>
    <row r="14" spans="1:9" x14ac:dyDescent="0.3">
      <c r="C14" s="91">
        <v>103</v>
      </c>
      <c r="D14" s="91" t="s">
        <v>163</v>
      </c>
      <c r="E14" s="91" t="s">
        <v>164</v>
      </c>
      <c r="F14" s="92">
        <f t="shared" si="0"/>
        <v>65</v>
      </c>
      <c r="G14" s="92">
        <f t="shared" si="0"/>
        <v>70</v>
      </c>
    </row>
    <row r="15" spans="1:9" x14ac:dyDescent="0.3">
      <c r="C15" s="91">
        <v>104</v>
      </c>
      <c r="D15" s="91" t="s">
        <v>13</v>
      </c>
      <c r="E15" s="91" t="s">
        <v>160</v>
      </c>
      <c r="F15" s="92">
        <f t="shared" si="0"/>
        <v>95</v>
      </c>
      <c r="G15" s="92">
        <f t="shared" si="0"/>
        <v>85</v>
      </c>
    </row>
    <row r="16" spans="1:9" x14ac:dyDescent="0.3">
      <c r="C16" s="91">
        <v>105</v>
      </c>
      <c r="D16" s="91" t="s">
        <v>18</v>
      </c>
      <c r="E16" s="91" t="s">
        <v>162</v>
      </c>
      <c r="F16" s="92" t="e">
        <f t="shared" si="0"/>
        <v>#N/A</v>
      </c>
      <c r="G16" s="92" t="e">
        <f t="shared" si="0"/>
        <v>#N/A</v>
      </c>
    </row>
  </sheetData>
  <mergeCells count="2">
    <mergeCell ref="A1:C1"/>
    <mergeCell ref="G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8690-C79C-4B17-A0A7-33E766C5ACE7}">
  <dimension ref="A1:J27"/>
  <sheetViews>
    <sheetView topLeftCell="D1" zoomScale="92" workbookViewId="0">
      <selection activeCell="J23" sqref="J23"/>
    </sheetView>
  </sheetViews>
  <sheetFormatPr defaultRowHeight="14.4" x14ac:dyDescent="0.3"/>
  <cols>
    <col min="8" max="8" width="16.109375" customWidth="1"/>
    <col min="9" max="9" width="21.109375" customWidth="1"/>
    <col min="10" max="10" width="11.109375" customWidth="1"/>
  </cols>
  <sheetData>
    <row r="1" spans="1:10" x14ac:dyDescent="0.3">
      <c r="A1" s="93" t="s">
        <v>165</v>
      </c>
      <c r="B1" s="93" t="s">
        <v>0</v>
      </c>
      <c r="C1" s="93" t="s">
        <v>1</v>
      </c>
      <c r="D1" s="93" t="s">
        <v>2</v>
      </c>
      <c r="H1" s="93" t="s">
        <v>165</v>
      </c>
      <c r="I1" s="93" t="s">
        <v>166</v>
      </c>
      <c r="J1" s="93" t="s">
        <v>167</v>
      </c>
    </row>
    <row r="2" spans="1:10" x14ac:dyDescent="0.3">
      <c r="A2" s="99">
        <v>1</v>
      </c>
      <c r="B2" s="99" t="s">
        <v>9</v>
      </c>
      <c r="C2" s="99">
        <v>25</v>
      </c>
      <c r="D2" s="99" t="s">
        <v>10</v>
      </c>
      <c r="H2" s="99">
        <v>1</v>
      </c>
      <c r="I2" s="99" t="s">
        <v>168</v>
      </c>
      <c r="J2" s="99">
        <v>50000</v>
      </c>
    </row>
    <row r="3" spans="1:10" x14ac:dyDescent="0.3">
      <c r="A3" s="99">
        <v>2</v>
      </c>
      <c r="B3" s="99" t="s">
        <v>11</v>
      </c>
      <c r="C3" s="99">
        <v>30</v>
      </c>
      <c r="D3" s="99" t="s">
        <v>12</v>
      </c>
      <c r="H3" s="99">
        <v>2</v>
      </c>
      <c r="I3" s="99" t="s">
        <v>169</v>
      </c>
      <c r="J3" s="99">
        <v>90000</v>
      </c>
    </row>
    <row r="4" spans="1:10" ht="17.25" customHeight="1" x14ac:dyDescent="0.3">
      <c r="A4" s="99">
        <v>3</v>
      </c>
      <c r="B4" s="99" t="s">
        <v>13</v>
      </c>
      <c r="C4" s="99">
        <v>40</v>
      </c>
      <c r="D4" s="99" t="s">
        <v>10</v>
      </c>
      <c r="H4" s="99">
        <v>3</v>
      </c>
      <c r="I4" s="99" t="s">
        <v>170</v>
      </c>
      <c r="J4" s="99">
        <v>60000</v>
      </c>
    </row>
    <row r="5" spans="1:10" x14ac:dyDescent="0.3">
      <c r="A5" s="99">
        <v>4</v>
      </c>
      <c r="B5" s="99" t="s">
        <v>16</v>
      </c>
      <c r="C5" s="99">
        <v>35</v>
      </c>
      <c r="D5" s="99" t="s">
        <v>12</v>
      </c>
      <c r="H5" s="99">
        <v>4</v>
      </c>
      <c r="I5" s="99" t="s">
        <v>171</v>
      </c>
      <c r="J5" s="99">
        <v>65000</v>
      </c>
    </row>
    <row r="6" spans="1:10" x14ac:dyDescent="0.3">
      <c r="A6" s="99">
        <v>5</v>
      </c>
      <c r="B6" s="99" t="s">
        <v>17</v>
      </c>
      <c r="C6" s="99">
        <v>28</v>
      </c>
      <c r="D6" s="99" t="s">
        <v>10</v>
      </c>
      <c r="H6" s="99">
        <v>5</v>
      </c>
      <c r="I6" s="99" t="s">
        <v>172</v>
      </c>
      <c r="J6" s="99">
        <v>70000</v>
      </c>
    </row>
    <row r="7" spans="1:10" ht="16.5" customHeight="1" x14ac:dyDescent="0.3">
      <c r="A7" s="99">
        <v>6</v>
      </c>
      <c r="B7" s="99" t="s">
        <v>18</v>
      </c>
      <c r="C7" s="99">
        <v>32</v>
      </c>
      <c r="D7" s="99" t="s">
        <v>12</v>
      </c>
      <c r="H7" s="99">
        <v>6</v>
      </c>
      <c r="I7" s="99" t="s">
        <v>173</v>
      </c>
      <c r="J7" s="99">
        <v>75000</v>
      </c>
    </row>
    <row r="8" spans="1:10" x14ac:dyDescent="0.3">
      <c r="A8" s="99">
        <v>7</v>
      </c>
      <c r="B8" s="99" t="s">
        <v>15</v>
      </c>
      <c r="C8" s="99">
        <v>45</v>
      </c>
      <c r="D8" s="99" t="s">
        <v>10</v>
      </c>
      <c r="H8" s="99">
        <v>7</v>
      </c>
      <c r="I8" s="99" t="s">
        <v>168</v>
      </c>
      <c r="J8" s="99">
        <v>80000</v>
      </c>
    </row>
    <row r="9" spans="1:10" x14ac:dyDescent="0.3">
      <c r="A9" s="99">
        <v>1</v>
      </c>
      <c r="B9" s="99" t="s">
        <v>174</v>
      </c>
      <c r="C9" s="99">
        <v>38</v>
      </c>
      <c r="D9" s="99" t="s">
        <v>12</v>
      </c>
      <c r="H9" s="99">
        <v>8</v>
      </c>
      <c r="I9" s="99" t="s">
        <v>169</v>
      </c>
      <c r="J9" s="99">
        <v>85000</v>
      </c>
    </row>
    <row r="10" spans="1:10" ht="15" customHeight="1" x14ac:dyDescent="0.3">
      <c r="A10" s="99">
        <v>9</v>
      </c>
      <c r="B10" s="99" t="s">
        <v>21</v>
      </c>
      <c r="C10" s="99">
        <v>29</v>
      </c>
      <c r="D10" s="99" t="s">
        <v>10</v>
      </c>
      <c r="H10" s="99">
        <v>9</v>
      </c>
      <c r="I10" s="99" t="s">
        <v>170</v>
      </c>
      <c r="J10" s="99">
        <v>50000</v>
      </c>
    </row>
    <row r="11" spans="1:10" x14ac:dyDescent="0.3">
      <c r="A11" s="99">
        <v>10</v>
      </c>
      <c r="B11" s="99" t="s">
        <v>22</v>
      </c>
      <c r="C11" s="99">
        <v>33</v>
      </c>
      <c r="D11" s="99" t="s">
        <v>12</v>
      </c>
      <c r="H11" s="99">
        <v>10</v>
      </c>
      <c r="I11" s="99" t="s">
        <v>171</v>
      </c>
      <c r="J11" s="99">
        <v>95000</v>
      </c>
    </row>
    <row r="16" spans="1:10" x14ac:dyDescent="0.3">
      <c r="H16">
        <f>MATCH(H17,H1:J1,0)</f>
        <v>2</v>
      </c>
    </row>
    <row r="17" spans="4:9" x14ac:dyDescent="0.3">
      <c r="D17" s="93" t="s">
        <v>165</v>
      </c>
      <c r="E17" s="93" t="s">
        <v>0</v>
      </c>
      <c r="F17" s="93" t="s">
        <v>1</v>
      </c>
      <c r="G17" s="93" t="s">
        <v>2</v>
      </c>
      <c r="H17" s="93" t="s">
        <v>166</v>
      </c>
      <c r="I17" s="93" t="s">
        <v>167</v>
      </c>
    </row>
    <row r="18" spans="4:9" x14ac:dyDescent="0.3">
      <c r="D18" s="99">
        <v>1</v>
      </c>
      <c r="E18" s="99" t="s">
        <v>9</v>
      </c>
      <c r="F18" s="99">
        <v>25</v>
      </c>
      <c r="G18" s="99" t="s">
        <v>10</v>
      </c>
      <c r="H18" s="3" t="str">
        <f>VLOOKUP($D18,$H$1:$J$11,MATCH(H$17,$H$1:$J$1,0),FALSE)</f>
        <v>Sales</v>
      </c>
      <c r="I18" s="3">
        <f>VLOOKUP($D18,$H$1:$J$11,MATCH(I$17,$H$1:$J$1,0),FALSE)</f>
        <v>50000</v>
      </c>
    </row>
    <row r="19" spans="4:9" x14ac:dyDescent="0.3">
      <c r="D19" s="99">
        <v>2</v>
      </c>
      <c r="E19" s="99" t="s">
        <v>11</v>
      </c>
      <c r="F19" s="99">
        <v>30</v>
      </c>
      <c r="G19" s="99" t="s">
        <v>12</v>
      </c>
      <c r="H19" s="3" t="str">
        <f t="shared" ref="H19:I27" si="0">VLOOKUP($D19,$H$1:$J$11,MATCH(H$17,$H$1:$J$1,0),FALSE)</f>
        <v>HR</v>
      </c>
      <c r="I19" s="3">
        <f t="shared" si="0"/>
        <v>90000</v>
      </c>
    </row>
    <row r="20" spans="4:9" x14ac:dyDescent="0.3">
      <c r="D20" s="99">
        <v>3</v>
      </c>
      <c r="E20" s="99" t="s">
        <v>13</v>
      </c>
      <c r="F20" s="99">
        <v>40</v>
      </c>
      <c r="G20" s="99" t="s">
        <v>10</v>
      </c>
      <c r="H20" s="3" t="str">
        <f t="shared" si="0"/>
        <v>Marketing</v>
      </c>
      <c r="I20" s="3">
        <f t="shared" si="0"/>
        <v>60000</v>
      </c>
    </row>
    <row r="21" spans="4:9" x14ac:dyDescent="0.3">
      <c r="D21" s="99">
        <v>4</v>
      </c>
      <c r="E21" s="99" t="s">
        <v>16</v>
      </c>
      <c r="F21" s="99">
        <v>35</v>
      </c>
      <c r="G21" s="99" t="s">
        <v>12</v>
      </c>
      <c r="H21" s="3" t="str">
        <f t="shared" si="0"/>
        <v>Finance</v>
      </c>
      <c r="I21" s="3">
        <f t="shared" si="0"/>
        <v>65000</v>
      </c>
    </row>
    <row r="22" spans="4:9" x14ac:dyDescent="0.3">
      <c r="D22" s="99">
        <v>5</v>
      </c>
      <c r="E22" s="99" t="s">
        <v>17</v>
      </c>
      <c r="F22" s="99">
        <v>28</v>
      </c>
      <c r="G22" s="99" t="s">
        <v>10</v>
      </c>
      <c r="H22" s="3" t="str">
        <f t="shared" si="0"/>
        <v>IT</v>
      </c>
      <c r="I22" s="3">
        <f t="shared" si="0"/>
        <v>70000</v>
      </c>
    </row>
    <row r="23" spans="4:9" x14ac:dyDescent="0.3">
      <c r="D23" s="99">
        <v>6</v>
      </c>
      <c r="E23" s="99" t="s">
        <v>18</v>
      </c>
      <c r="F23" s="99">
        <v>32</v>
      </c>
      <c r="G23" s="99" t="s">
        <v>12</v>
      </c>
      <c r="H23" s="3" t="str">
        <f t="shared" si="0"/>
        <v>Operations</v>
      </c>
      <c r="I23" s="3">
        <f t="shared" si="0"/>
        <v>75000</v>
      </c>
    </row>
    <row r="24" spans="4:9" x14ac:dyDescent="0.3">
      <c r="D24" s="99">
        <v>7</v>
      </c>
      <c r="E24" s="99" t="s">
        <v>15</v>
      </c>
      <c r="F24" s="99">
        <v>45</v>
      </c>
      <c r="G24" s="99" t="s">
        <v>10</v>
      </c>
      <c r="H24" s="3" t="str">
        <f t="shared" si="0"/>
        <v>Sales</v>
      </c>
      <c r="I24" s="3">
        <f t="shared" si="0"/>
        <v>80000</v>
      </c>
    </row>
    <row r="25" spans="4:9" x14ac:dyDescent="0.3">
      <c r="D25" s="99">
        <v>8</v>
      </c>
      <c r="E25" s="99" t="s">
        <v>174</v>
      </c>
      <c r="F25" s="99">
        <v>38</v>
      </c>
      <c r="G25" s="99" t="s">
        <v>12</v>
      </c>
      <c r="H25" s="3" t="str">
        <f t="shared" si="0"/>
        <v>HR</v>
      </c>
      <c r="I25" s="3">
        <f t="shared" si="0"/>
        <v>85000</v>
      </c>
    </row>
    <row r="26" spans="4:9" x14ac:dyDescent="0.3">
      <c r="D26" s="99">
        <v>9</v>
      </c>
      <c r="E26" s="99" t="s">
        <v>21</v>
      </c>
      <c r="F26" s="99">
        <v>29</v>
      </c>
      <c r="G26" s="99" t="s">
        <v>10</v>
      </c>
      <c r="H26" s="3" t="str">
        <f t="shared" si="0"/>
        <v>Marketing</v>
      </c>
      <c r="I26" s="3">
        <f t="shared" si="0"/>
        <v>50000</v>
      </c>
    </row>
    <row r="27" spans="4:9" x14ac:dyDescent="0.3">
      <c r="D27" s="99">
        <v>10</v>
      </c>
      <c r="E27" s="99" t="s">
        <v>22</v>
      </c>
      <c r="F27" s="99">
        <v>33</v>
      </c>
      <c r="G27" s="99" t="s">
        <v>12</v>
      </c>
      <c r="H27" s="3" t="str">
        <f t="shared" si="0"/>
        <v>Finance</v>
      </c>
      <c r="I27" s="3">
        <f t="shared" si="0"/>
        <v>95000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5540-7313-437C-8846-3EDD4D77E287}">
  <dimension ref="A1:C7"/>
  <sheetViews>
    <sheetView workbookViewId="0">
      <selection activeCell="E7" sqref="E7"/>
    </sheetView>
  </sheetViews>
  <sheetFormatPr defaultRowHeight="14.4" x14ac:dyDescent="0.3"/>
  <cols>
    <col min="1" max="1" width="13.33203125" customWidth="1"/>
    <col min="4" max="4" width="13.5546875" customWidth="1"/>
  </cols>
  <sheetData>
    <row r="1" spans="1:3" ht="15" thickBot="1" x14ac:dyDescent="0.35"/>
    <row r="2" spans="1:3" ht="15" thickBot="1" x14ac:dyDescent="0.35">
      <c r="A2" s="11" t="s">
        <v>155</v>
      </c>
      <c r="B2" s="11" t="s">
        <v>0</v>
      </c>
      <c r="C2" s="12" t="s">
        <v>156</v>
      </c>
    </row>
    <row r="3" spans="1:3" ht="15" thickBot="1" x14ac:dyDescent="0.35">
      <c r="A3" s="100">
        <v>101</v>
      </c>
      <c r="B3" s="100" t="s">
        <v>159</v>
      </c>
      <c r="C3" s="101" t="s">
        <v>160</v>
      </c>
    </row>
    <row r="4" spans="1:3" ht="15" thickBot="1" x14ac:dyDescent="0.35">
      <c r="A4" s="100">
        <v>102</v>
      </c>
      <c r="B4" s="100" t="s">
        <v>161</v>
      </c>
      <c r="C4" s="101" t="s">
        <v>162</v>
      </c>
    </row>
    <row r="5" spans="1:3" ht="15" thickBot="1" x14ac:dyDescent="0.35">
      <c r="A5" s="100">
        <v>103</v>
      </c>
      <c r="B5" s="100" t="s">
        <v>163</v>
      </c>
      <c r="C5" s="101" t="s">
        <v>164</v>
      </c>
    </row>
    <row r="6" spans="1:3" ht="15" thickBot="1" x14ac:dyDescent="0.35">
      <c r="A6" s="100">
        <v>104</v>
      </c>
      <c r="B6" s="100" t="s">
        <v>13</v>
      </c>
      <c r="C6" s="101" t="s">
        <v>160</v>
      </c>
    </row>
    <row r="7" spans="1:3" ht="15" thickBot="1" x14ac:dyDescent="0.35">
      <c r="A7" s="100">
        <v>105</v>
      </c>
      <c r="B7" s="100" t="s">
        <v>18</v>
      </c>
      <c r="C7" s="101" t="s">
        <v>162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7D7D-201C-451D-A0BC-70E0E715FFCA}">
  <dimension ref="A1:C6"/>
  <sheetViews>
    <sheetView workbookViewId="0">
      <selection activeCell="F2" sqref="F2:F6"/>
    </sheetView>
  </sheetViews>
  <sheetFormatPr defaultRowHeight="14.4" x14ac:dyDescent="0.3"/>
  <cols>
    <col min="1" max="1" width="15" customWidth="1"/>
    <col min="2" max="2" width="11.109375" customWidth="1"/>
    <col min="3" max="3" width="12.44140625" customWidth="1"/>
  </cols>
  <sheetData>
    <row r="1" spans="1:3" ht="15" thickBot="1" x14ac:dyDescent="0.35">
      <c r="A1" s="11" t="s">
        <v>155</v>
      </c>
      <c r="B1" s="11" t="s">
        <v>0</v>
      </c>
      <c r="C1" s="12" t="s">
        <v>156</v>
      </c>
    </row>
    <row r="2" spans="1:3" ht="15" thickBot="1" x14ac:dyDescent="0.35">
      <c r="A2" s="100">
        <v>101</v>
      </c>
      <c r="B2" s="100" t="s">
        <v>159</v>
      </c>
      <c r="C2" s="101" t="s">
        <v>160</v>
      </c>
    </row>
    <row r="3" spans="1:3" ht="15" thickBot="1" x14ac:dyDescent="0.35">
      <c r="A3" s="100">
        <v>102</v>
      </c>
      <c r="B3" s="100" t="s">
        <v>161</v>
      </c>
      <c r="C3" s="101" t="s">
        <v>162</v>
      </c>
    </row>
    <row r="4" spans="1:3" ht="15" thickBot="1" x14ac:dyDescent="0.35">
      <c r="A4" s="100">
        <v>103</v>
      </c>
      <c r="B4" s="100" t="s">
        <v>163</v>
      </c>
      <c r="C4" s="101" t="s">
        <v>164</v>
      </c>
    </row>
    <row r="5" spans="1:3" ht="15" thickBot="1" x14ac:dyDescent="0.35">
      <c r="A5" s="100">
        <v>104</v>
      </c>
      <c r="B5" s="100" t="s">
        <v>13</v>
      </c>
      <c r="C5" s="101" t="s">
        <v>160</v>
      </c>
    </row>
    <row r="6" spans="1:3" ht="15" thickBot="1" x14ac:dyDescent="0.35">
      <c r="A6" s="100">
        <v>105</v>
      </c>
      <c r="B6" s="100" t="s">
        <v>18</v>
      </c>
      <c r="C6" s="101" t="s">
        <v>162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854A-050A-4A48-85C2-3622B71C9C6D}">
  <dimension ref="A1"/>
  <sheetViews>
    <sheetView workbookViewId="0">
      <selection activeCell="K15" sqref="K15"/>
    </sheetView>
  </sheetViews>
  <sheetFormatPr defaultColWidth="9.109375" defaultRowHeight="14.4" x14ac:dyDescent="0.3"/>
  <cols>
    <col min="1" max="16384" width="9.109375" style="51"/>
  </cols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E046-A1F7-4C63-B586-2FAD5A8C32D0}">
  <dimension ref="A1:B23"/>
  <sheetViews>
    <sheetView workbookViewId="0">
      <selection activeCell="A3" sqref="A3"/>
    </sheetView>
  </sheetViews>
  <sheetFormatPr defaultRowHeight="14.4" x14ac:dyDescent="0.3"/>
  <cols>
    <col min="1" max="1" width="25.77734375" bestFit="1" customWidth="1"/>
    <col min="2" max="2" width="16.109375" bestFit="1" customWidth="1"/>
    <col min="3" max="4" width="11" bestFit="1" customWidth="1"/>
    <col min="5" max="5" width="7" bestFit="1" customWidth="1"/>
    <col min="6" max="6" width="12" bestFit="1" customWidth="1"/>
    <col min="7" max="7" width="20.109375" bestFit="1" customWidth="1"/>
    <col min="8" max="8" width="24.109375" bestFit="1" customWidth="1"/>
    <col min="9" max="9" width="26.88671875" bestFit="1" customWidth="1"/>
    <col min="10" max="10" width="12.109375" bestFit="1" customWidth="1"/>
    <col min="11" max="11" width="12.77734375" bestFit="1" customWidth="1"/>
    <col min="12" max="12" width="6.88671875" bestFit="1" customWidth="1"/>
    <col min="13" max="13" width="8.109375" bestFit="1" customWidth="1"/>
    <col min="14" max="14" width="18.77734375" bestFit="1" customWidth="1"/>
    <col min="15" max="15" width="22.109375" bestFit="1" customWidth="1"/>
    <col min="16" max="16" width="18.88671875" bestFit="1" customWidth="1"/>
    <col min="17" max="17" width="15.33203125" bestFit="1" customWidth="1"/>
    <col min="18" max="18" width="19.44140625" bestFit="1" customWidth="1"/>
    <col min="19" max="19" width="16.21875" bestFit="1" customWidth="1"/>
    <col min="20" max="20" width="17.21875" bestFit="1" customWidth="1"/>
    <col min="21" max="21" width="7" bestFit="1" customWidth="1"/>
    <col min="22" max="22" width="10.77734375" bestFit="1" customWidth="1"/>
  </cols>
  <sheetData>
    <row r="1" spans="1:2" x14ac:dyDescent="0.3">
      <c r="A1" s="103" t="s">
        <v>95</v>
      </c>
      <c r="B1" t="s">
        <v>190</v>
      </c>
    </row>
    <row r="3" spans="1:2" x14ac:dyDescent="0.3">
      <c r="A3" s="103" t="s">
        <v>187</v>
      </c>
      <c r="B3" t="s">
        <v>189</v>
      </c>
    </row>
    <row r="4" spans="1:2" x14ac:dyDescent="0.3">
      <c r="A4" s="104" t="s">
        <v>124</v>
      </c>
      <c r="B4">
        <v>654.4404999999997</v>
      </c>
    </row>
    <row r="5" spans="1:2" x14ac:dyDescent="0.3">
      <c r="A5" s="104" t="s">
        <v>115</v>
      </c>
      <c r="B5">
        <v>6009.7459000000008</v>
      </c>
    </row>
    <row r="6" spans="1:2" x14ac:dyDescent="0.3">
      <c r="A6" s="104" t="s">
        <v>113</v>
      </c>
      <c r="B6">
        <v>1627.3914999999993</v>
      </c>
    </row>
    <row r="7" spans="1:2" x14ac:dyDescent="0.3">
      <c r="A7" s="104" t="s">
        <v>125</v>
      </c>
      <c r="B7">
        <v>4582.6794000000009</v>
      </c>
    </row>
    <row r="8" spans="1:2" x14ac:dyDescent="0.3">
      <c r="A8" s="104" t="s">
        <v>122</v>
      </c>
      <c r="B8">
        <v>195.83999999999983</v>
      </c>
    </row>
    <row r="9" spans="1:2" x14ac:dyDescent="0.3">
      <c r="A9" s="104" t="s">
        <v>114</v>
      </c>
      <c r="B9">
        <v>182.39000000000021</v>
      </c>
    </row>
    <row r="10" spans="1:2" x14ac:dyDescent="0.3">
      <c r="A10" s="104" t="s">
        <v>118</v>
      </c>
      <c r="B10">
        <v>3097.5</v>
      </c>
    </row>
    <row r="11" spans="1:2" x14ac:dyDescent="0.3">
      <c r="A11" s="104" t="s">
        <v>117</v>
      </c>
      <c r="B11">
        <v>2899.7099999999959</v>
      </c>
    </row>
    <row r="12" spans="1:2" x14ac:dyDescent="0.3">
      <c r="A12" s="104" t="s">
        <v>120</v>
      </c>
      <c r="B12">
        <v>3819</v>
      </c>
    </row>
    <row r="13" spans="1:2" x14ac:dyDescent="0.3">
      <c r="A13" s="104" t="s">
        <v>123</v>
      </c>
      <c r="B13">
        <v>10854</v>
      </c>
    </row>
    <row r="14" spans="1:2" x14ac:dyDescent="0.3">
      <c r="A14" s="104" t="s">
        <v>110</v>
      </c>
      <c r="B14">
        <v>12194</v>
      </c>
    </row>
    <row r="15" spans="1:2" x14ac:dyDescent="0.3">
      <c r="A15" s="104" t="s">
        <v>127</v>
      </c>
      <c r="B15">
        <v>804</v>
      </c>
    </row>
    <row r="16" spans="1:2" x14ac:dyDescent="0.3">
      <c r="A16" s="104" t="s">
        <v>128</v>
      </c>
      <c r="B16">
        <v>804</v>
      </c>
    </row>
    <row r="17" spans="1:2" x14ac:dyDescent="0.3">
      <c r="A17" s="104" t="s">
        <v>111</v>
      </c>
      <c r="B17">
        <v>627.90000000000077</v>
      </c>
    </row>
    <row r="18" spans="1:2" x14ac:dyDescent="0.3">
      <c r="A18" s="104" t="s">
        <v>119</v>
      </c>
      <c r="B18">
        <v>21641</v>
      </c>
    </row>
    <row r="19" spans="1:2" x14ac:dyDescent="0.3">
      <c r="A19" s="104" t="s">
        <v>126</v>
      </c>
      <c r="B19">
        <v>8039.9196000000002</v>
      </c>
    </row>
    <row r="20" spans="1:2" x14ac:dyDescent="0.3">
      <c r="A20" s="104" t="s">
        <v>116</v>
      </c>
      <c r="B20">
        <v>561.65000000000077</v>
      </c>
    </row>
    <row r="21" spans="1:2" x14ac:dyDescent="0.3">
      <c r="A21" s="104" t="s">
        <v>121</v>
      </c>
      <c r="B21">
        <v>2144</v>
      </c>
    </row>
    <row r="22" spans="1:2" x14ac:dyDescent="0.3">
      <c r="A22" s="104" t="s">
        <v>112</v>
      </c>
      <c r="B22">
        <v>425.64500000000027</v>
      </c>
    </row>
    <row r="23" spans="1:2" x14ac:dyDescent="0.3">
      <c r="A23" s="104" t="s">
        <v>188</v>
      </c>
      <c r="B23">
        <v>81164.811899999986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C3C0-857D-474A-B3B2-10560EDDA584}">
  <dimension ref="A1:Z1041"/>
  <sheetViews>
    <sheetView tabSelected="1" topLeftCell="E1" zoomScale="70" zoomScaleNormal="70" workbookViewId="0">
      <selection activeCell="V1" sqref="V1:W20"/>
    </sheetView>
  </sheetViews>
  <sheetFormatPr defaultColWidth="15.6640625" defaultRowHeight="14.4" x14ac:dyDescent="0.3"/>
  <cols>
    <col min="1" max="1" width="17" style="41" bestFit="1" customWidth="1"/>
    <col min="2" max="2" width="12.109375" style="42" bestFit="1" customWidth="1"/>
    <col min="3" max="3" width="28.109375" style="43" bestFit="1" customWidth="1"/>
    <col min="4" max="4" width="21.109375" customWidth="1"/>
    <col min="5" max="5" width="10" bestFit="1" customWidth="1"/>
    <col min="6" max="6" width="16.6640625" bestFit="1" customWidth="1"/>
    <col min="7" max="7" width="11.44140625" style="9" customWidth="1"/>
    <col min="8" max="8" width="10" bestFit="1" customWidth="1"/>
    <col min="9" max="9" width="8.6640625" style="9" bestFit="1" customWidth="1"/>
    <col min="10" max="10" width="9.44140625" style="9" bestFit="1" customWidth="1"/>
    <col min="13" max="13" width="10" bestFit="1" customWidth="1"/>
    <col min="14" max="14" width="24.5546875" customWidth="1"/>
    <col min="22" max="22" width="28.109375" style="43" bestFit="1" customWidth="1"/>
    <col min="24" max="24" width="28.109375" style="43" bestFit="1" customWidth="1"/>
  </cols>
  <sheetData>
    <row r="1" spans="1:26" s="80" customFormat="1" ht="15" customHeight="1" thickBot="1" x14ac:dyDescent="0.35">
      <c r="A1" s="81" t="s">
        <v>175</v>
      </c>
      <c r="B1" s="82" t="s">
        <v>176</v>
      </c>
      <c r="C1" s="83" t="s">
        <v>108</v>
      </c>
      <c r="D1" s="84" t="s">
        <v>177</v>
      </c>
      <c r="E1" s="84" t="s">
        <v>95</v>
      </c>
      <c r="F1" s="84" t="s">
        <v>138</v>
      </c>
      <c r="G1" s="85" t="s">
        <v>109</v>
      </c>
      <c r="H1" s="84" t="s">
        <v>129</v>
      </c>
      <c r="I1" s="85" t="s">
        <v>178</v>
      </c>
      <c r="J1" s="85" t="s">
        <v>179</v>
      </c>
      <c r="K1" s="86" t="s">
        <v>95</v>
      </c>
      <c r="L1" s="86"/>
      <c r="M1" s="84" t="s">
        <v>95</v>
      </c>
      <c r="N1" s="86" t="s">
        <v>144</v>
      </c>
      <c r="O1" s="86" t="s">
        <v>185</v>
      </c>
      <c r="P1" s="86"/>
      <c r="Q1" s="86"/>
      <c r="R1" s="86"/>
      <c r="S1" s="86"/>
      <c r="T1" s="86"/>
      <c r="V1" s="83" t="s">
        <v>108</v>
      </c>
      <c r="X1" s="83" t="s">
        <v>108</v>
      </c>
    </row>
    <row r="2" spans="1:26" ht="15" customHeight="1" thickBot="1" x14ac:dyDescent="0.35">
      <c r="A2" s="38">
        <v>43487.892361111109</v>
      </c>
      <c r="B2" s="39">
        <v>141234</v>
      </c>
      <c r="C2" s="36" t="s">
        <v>110</v>
      </c>
      <c r="D2" s="17">
        <v>5640000000000</v>
      </c>
      <c r="E2" s="16" t="s">
        <v>131</v>
      </c>
      <c r="F2" s="17">
        <v>1</v>
      </c>
      <c r="G2" s="18">
        <v>700</v>
      </c>
      <c r="H2" s="17">
        <v>231</v>
      </c>
      <c r="I2" s="18">
        <v>700</v>
      </c>
      <c r="J2" s="18">
        <v>469</v>
      </c>
      <c r="K2" s="37" t="str">
        <f>IF(G2&gt;=700,"Expensive","Inexpensive")</f>
        <v>Expensive</v>
      </c>
      <c r="L2" s="37"/>
      <c r="M2" s="16" t="s">
        <v>131</v>
      </c>
      <c r="N2" s="37">
        <f>AVERAGEIFS(F:F,E:E,M2)</f>
        <v>1.1445086705202312</v>
      </c>
      <c r="O2" s="37">
        <f>SUMIFS(F:F,E:E,M2)</f>
        <v>396</v>
      </c>
      <c r="P2" s="37"/>
      <c r="Q2" s="37"/>
      <c r="R2" s="37"/>
      <c r="S2" s="37"/>
      <c r="T2" s="37"/>
      <c r="V2" s="36" t="s">
        <v>110</v>
      </c>
      <c r="W2">
        <f>SUMIFS(F:F,C:C,V2)</f>
        <v>38</v>
      </c>
      <c r="X2" s="36" t="s">
        <v>110</v>
      </c>
    </row>
    <row r="3" spans="1:26" ht="15" customHeight="1" thickBot="1" x14ac:dyDescent="0.35">
      <c r="A3" s="38">
        <v>43493.59375</v>
      </c>
      <c r="B3" s="39">
        <v>141235</v>
      </c>
      <c r="C3" s="36" t="s">
        <v>111</v>
      </c>
      <c r="D3" s="17">
        <v>5560000000000</v>
      </c>
      <c r="E3" s="16" t="s">
        <v>131</v>
      </c>
      <c r="F3" s="17">
        <v>1</v>
      </c>
      <c r="G3" s="18">
        <v>14.95</v>
      </c>
      <c r="H3" s="17">
        <v>7.4749999999999996</v>
      </c>
      <c r="I3" s="18">
        <v>14.95</v>
      </c>
      <c r="J3" s="18">
        <v>7.4749999999999996</v>
      </c>
      <c r="K3" s="37" t="str">
        <f t="shared" ref="K3:K66" si="0">IF(G3&gt;=700,"Expensive","Inexpensive")</f>
        <v>Inexpensive</v>
      </c>
      <c r="L3" s="37"/>
      <c r="M3" s="16" t="s">
        <v>130</v>
      </c>
      <c r="N3" s="37">
        <f>AVERAGEIFS(F:F,E:E,M3)</f>
        <v>1.1306818181818181</v>
      </c>
      <c r="O3" s="37">
        <f>SUMIFS(F:F,E:E,M3)</f>
        <v>398</v>
      </c>
      <c r="P3" s="37"/>
      <c r="Q3" s="37"/>
      <c r="R3" s="37"/>
      <c r="S3" s="37"/>
      <c r="T3" s="37"/>
      <c r="V3" s="36" t="s">
        <v>111</v>
      </c>
      <c r="W3">
        <f t="shared" ref="W3:W20" si="1">SUMIFS(F:F,C:C,V3)</f>
        <v>127</v>
      </c>
      <c r="X3" s="36" t="s">
        <v>111</v>
      </c>
      <c r="Z3">
        <f ca="1">SUMIF(F:F,C:C,X3)</f>
        <v>0</v>
      </c>
    </row>
    <row r="4" spans="1:26" ht="15" customHeight="1" thickBot="1" x14ac:dyDescent="0.35">
      <c r="A4" s="38">
        <v>43482.564583333333</v>
      </c>
      <c r="B4" s="39">
        <v>141236</v>
      </c>
      <c r="C4" s="36" t="s">
        <v>112</v>
      </c>
      <c r="D4" s="17">
        <v>2110000000000</v>
      </c>
      <c r="E4" s="16" t="s">
        <v>130</v>
      </c>
      <c r="F4" s="17">
        <v>2</v>
      </c>
      <c r="G4" s="18">
        <v>11.99</v>
      </c>
      <c r="H4" s="17">
        <v>5.9950000000000001</v>
      </c>
      <c r="I4" s="18">
        <v>23.98</v>
      </c>
      <c r="J4" s="18">
        <v>11.99</v>
      </c>
      <c r="K4" s="37" t="str">
        <f t="shared" si="0"/>
        <v>Inexpensive</v>
      </c>
      <c r="L4" s="37"/>
      <c r="M4" s="16" t="s">
        <v>132</v>
      </c>
      <c r="N4" s="37">
        <f>AVERAGEIFS(F:F,E:E,M4)</f>
        <v>1.1495601173020529</v>
      </c>
      <c r="O4" s="37">
        <f>SUMIFS(F:F,E:E,M4)</f>
        <v>392</v>
      </c>
      <c r="P4" s="37"/>
      <c r="Q4" s="37"/>
      <c r="R4" s="37"/>
      <c r="S4" s="37"/>
      <c r="T4" s="37"/>
      <c r="V4" s="36" t="s">
        <v>112</v>
      </c>
      <c r="W4">
        <f t="shared" si="1"/>
        <v>104</v>
      </c>
      <c r="X4" s="36" t="s">
        <v>112</v>
      </c>
      <c r="Z4">
        <f t="shared" ref="Z3:Z20" ca="1" si="2">SUMIF(F:F,C:C,X4)</f>
        <v>0</v>
      </c>
    </row>
    <row r="5" spans="1:26" ht="15" customHeight="1" thickBot="1" x14ac:dyDescent="0.35">
      <c r="A5" s="38">
        <v>43470.856249999997</v>
      </c>
      <c r="B5" s="39">
        <v>141237</v>
      </c>
      <c r="C5" s="36" t="s">
        <v>113</v>
      </c>
      <c r="D5" s="17">
        <v>3070000000000</v>
      </c>
      <c r="E5" s="16" t="s">
        <v>132</v>
      </c>
      <c r="F5" s="17">
        <v>1</v>
      </c>
      <c r="G5" s="18">
        <v>149.99</v>
      </c>
      <c r="H5" s="17">
        <v>97.493499999999997</v>
      </c>
      <c r="I5" s="18">
        <v>149.99</v>
      </c>
      <c r="J5" s="18">
        <v>52.496499999999997</v>
      </c>
      <c r="K5" s="37" t="str">
        <f t="shared" si="0"/>
        <v>Inexpensive</v>
      </c>
      <c r="L5" s="37"/>
      <c r="M5" s="102"/>
      <c r="N5" s="37"/>
      <c r="O5" s="37"/>
      <c r="P5" s="37"/>
      <c r="Q5" s="37"/>
      <c r="R5" s="37"/>
      <c r="S5" s="37"/>
      <c r="T5" s="37"/>
      <c r="V5" s="36" t="s">
        <v>113</v>
      </c>
      <c r="W5">
        <f t="shared" si="1"/>
        <v>47</v>
      </c>
      <c r="X5" s="36" t="s">
        <v>113</v>
      </c>
      <c r="Z5">
        <f t="shared" ca="1" si="2"/>
        <v>0</v>
      </c>
    </row>
    <row r="6" spans="1:26" ht="15" customHeight="1" thickBot="1" x14ac:dyDescent="0.35">
      <c r="A6" s="38">
        <v>43490.499305555553</v>
      </c>
      <c r="B6" s="39">
        <v>141238</v>
      </c>
      <c r="C6" s="59" t="s">
        <v>112</v>
      </c>
      <c r="D6" s="17">
        <v>9690000000000</v>
      </c>
      <c r="E6" s="16" t="s">
        <v>132</v>
      </c>
      <c r="F6" s="17">
        <v>1</v>
      </c>
      <c r="G6" s="18">
        <v>11.99</v>
      </c>
      <c r="H6" s="17">
        <v>5.9950000000000001</v>
      </c>
      <c r="I6" s="18">
        <v>11.99</v>
      </c>
      <c r="J6" s="18">
        <v>5.9950000000000001</v>
      </c>
      <c r="K6" s="37" t="str">
        <f t="shared" si="0"/>
        <v>Inexpensive</v>
      </c>
      <c r="L6" s="37"/>
      <c r="N6" s="37"/>
      <c r="O6" s="37"/>
      <c r="P6" s="37"/>
      <c r="Q6" s="37"/>
      <c r="R6" s="37"/>
      <c r="S6" s="37"/>
      <c r="T6" s="37"/>
      <c r="V6" s="36" t="s">
        <v>114</v>
      </c>
      <c r="W6">
        <f t="shared" si="1"/>
        <v>192</v>
      </c>
      <c r="X6" s="36" t="s">
        <v>114</v>
      </c>
      <c r="Z6">
        <f t="shared" ca="1" si="2"/>
        <v>0</v>
      </c>
    </row>
    <row r="7" spans="1:26" ht="15" customHeight="1" thickBot="1" x14ac:dyDescent="0.35">
      <c r="A7" s="38">
        <v>43494.848611111112</v>
      </c>
      <c r="B7" s="39">
        <v>141239</v>
      </c>
      <c r="C7" s="36" t="s">
        <v>114</v>
      </c>
      <c r="D7" s="17">
        <v>2950000000000</v>
      </c>
      <c r="E7" s="16" t="s">
        <v>130</v>
      </c>
      <c r="F7" s="17">
        <v>1</v>
      </c>
      <c r="G7" s="18">
        <v>2.99</v>
      </c>
      <c r="H7" s="17">
        <v>1.4950000000000001</v>
      </c>
      <c r="I7" s="18">
        <v>2.99</v>
      </c>
      <c r="J7" s="18">
        <v>1.4950000000000001</v>
      </c>
      <c r="K7" s="37" t="str">
        <f t="shared" si="0"/>
        <v>Inexpensive</v>
      </c>
      <c r="L7" s="37"/>
      <c r="N7" s="37"/>
      <c r="O7" s="37"/>
      <c r="P7" s="37"/>
      <c r="Q7" s="37"/>
      <c r="R7" s="37"/>
      <c r="S7" s="37"/>
      <c r="T7" s="37"/>
      <c r="V7" s="36" t="s">
        <v>115</v>
      </c>
      <c r="W7">
        <f t="shared" si="1"/>
        <v>34</v>
      </c>
      <c r="X7" s="36" t="s">
        <v>115</v>
      </c>
      <c r="Z7">
        <f t="shared" ca="1" si="2"/>
        <v>0</v>
      </c>
    </row>
    <row r="8" spans="1:26" ht="15" customHeight="1" thickBot="1" x14ac:dyDescent="0.35">
      <c r="A8" s="38">
        <v>43491.511111111111</v>
      </c>
      <c r="B8" s="39">
        <v>141240</v>
      </c>
      <c r="C8" s="36" t="s">
        <v>115</v>
      </c>
      <c r="D8" s="17">
        <v>5170000000000</v>
      </c>
      <c r="E8" s="16" t="s">
        <v>131</v>
      </c>
      <c r="F8" s="17">
        <v>1</v>
      </c>
      <c r="G8" s="18">
        <v>389.99</v>
      </c>
      <c r="H8" s="17">
        <v>128.69669999999999</v>
      </c>
      <c r="I8" s="18">
        <v>389.99</v>
      </c>
      <c r="J8" s="18">
        <v>261.29329999999999</v>
      </c>
      <c r="K8" s="37" t="str">
        <f t="shared" si="0"/>
        <v>Inexpensive</v>
      </c>
      <c r="L8" s="37"/>
      <c r="N8" s="37"/>
      <c r="O8" s="37"/>
      <c r="P8" s="37"/>
      <c r="Q8" s="37"/>
      <c r="R8" s="37"/>
      <c r="S8" s="37"/>
      <c r="T8" s="37"/>
      <c r="V8" s="36" t="s">
        <v>116</v>
      </c>
      <c r="W8">
        <f t="shared" si="1"/>
        <v>144</v>
      </c>
      <c r="X8" s="36" t="s">
        <v>116</v>
      </c>
      <c r="Z8">
        <f t="shared" ca="1" si="2"/>
        <v>0</v>
      </c>
    </row>
    <row r="9" spans="1:26" ht="15" customHeight="1" thickBot="1" x14ac:dyDescent="0.35">
      <c r="A9" s="38">
        <v>43470.50277777778</v>
      </c>
      <c r="B9" s="39">
        <v>141241</v>
      </c>
      <c r="C9" s="36" t="s">
        <v>116</v>
      </c>
      <c r="D9" s="17">
        <v>8050000000000</v>
      </c>
      <c r="E9" s="16" t="s">
        <v>131</v>
      </c>
      <c r="F9" s="17">
        <v>1</v>
      </c>
      <c r="G9" s="18">
        <v>11.95</v>
      </c>
      <c r="H9" s="17">
        <v>5.9749999999999996</v>
      </c>
      <c r="I9" s="18">
        <v>11.95</v>
      </c>
      <c r="J9" s="18">
        <v>5.9749999999999996</v>
      </c>
      <c r="K9" s="37" t="str">
        <f t="shared" si="0"/>
        <v>Inexpensive</v>
      </c>
      <c r="L9" s="37"/>
      <c r="N9" s="37"/>
      <c r="O9" s="37"/>
      <c r="P9" s="37"/>
      <c r="Q9" s="37"/>
      <c r="R9" s="37"/>
      <c r="S9" s="37"/>
      <c r="T9" s="37"/>
      <c r="V9" s="36" t="s">
        <v>117</v>
      </c>
      <c r="W9">
        <f t="shared" si="1"/>
        <v>87</v>
      </c>
      <c r="X9" s="36" t="s">
        <v>117</v>
      </c>
      <c r="Z9">
        <f t="shared" ca="1" si="2"/>
        <v>0</v>
      </c>
    </row>
    <row r="10" spans="1:26" ht="15" customHeight="1" thickBot="1" x14ac:dyDescent="0.35">
      <c r="A10" s="38">
        <v>43466.4375</v>
      </c>
      <c r="B10" s="39">
        <v>141242</v>
      </c>
      <c r="C10" s="36" t="s">
        <v>117</v>
      </c>
      <c r="D10" s="17">
        <v>1510000000000</v>
      </c>
      <c r="E10" s="16" t="s">
        <v>132</v>
      </c>
      <c r="F10" s="17">
        <v>1</v>
      </c>
      <c r="G10" s="18">
        <v>99.99</v>
      </c>
      <c r="H10" s="17">
        <v>49.994999999999997</v>
      </c>
      <c r="I10" s="18">
        <v>99.99</v>
      </c>
      <c r="J10" s="18">
        <v>49.994999999999997</v>
      </c>
      <c r="K10" s="37" t="str">
        <f t="shared" si="0"/>
        <v>Inexpensive</v>
      </c>
      <c r="L10" s="37"/>
      <c r="N10" s="37"/>
      <c r="O10" s="37"/>
      <c r="P10" s="37"/>
      <c r="Q10" s="37"/>
      <c r="R10" s="37"/>
      <c r="S10" s="37"/>
      <c r="T10" s="37"/>
      <c r="V10" s="36" t="s">
        <v>118</v>
      </c>
      <c r="W10">
        <f t="shared" si="1"/>
        <v>87</v>
      </c>
      <c r="X10" s="36" t="s">
        <v>118</v>
      </c>
      <c r="Z10">
        <f t="shared" ca="1" si="2"/>
        <v>0</v>
      </c>
    </row>
    <row r="11" spans="1:26" ht="15" customHeight="1" thickBot="1" x14ac:dyDescent="0.35">
      <c r="A11" s="38">
        <v>43487.888888888891</v>
      </c>
      <c r="B11" s="39">
        <v>141243</v>
      </c>
      <c r="C11" s="36" t="s">
        <v>118</v>
      </c>
      <c r="D11" s="17">
        <v>1390000000000</v>
      </c>
      <c r="E11" s="16" t="s">
        <v>132</v>
      </c>
      <c r="F11" s="17">
        <v>1</v>
      </c>
      <c r="G11" s="18">
        <v>150</v>
      </c>
      <c r="H11" s="17">
        <v>97.5</v>
      </c>
      <c r="I11" s="18">
        <v>150</v>
      </c>
      <c r="J11" s="18">
        <v>52.5</v>
      </c>
      <c r="K11" s="37" t="str">
        <f t="shared" si="0"/>
        <v>Inexpensive</v>
      </c>
      <c r="L11" s="37"/>
      <c r="N11" s="37"/>
      <c r="O11" s="37"/>
      <c r="P11" s="37"/>
      <c r="Q11" s="37"/>
      <c r="R11" s="37"/>
      <c r="S11" s="37"/>
      <c r="T11" s="37"/>
      <c r="V11" s="36" t="s">
        <v>119</v>
      </c>
      <c r="W11">
        <f t="shared" si="1"/>
        <v>29</v>
      </c>
      <c r="X11" s="36" t="s">
        <v>119</v>
      </c>
      <c r="Z11">
        <f t="shared" ca="1" si="2"/>
        <v>0</v>
      </c>
    </row>
    <row r="12" spans="1:26" ht="15" customHeight="1" thickBot="1" x14ac:dyDescent="0.35">
      <c r="A12" s="38">
        <v>43472.478472222225</v>
      </c>
      <c r="B12" s="39">
        <v>141244</v>
      </c>
      <c r="C12" s="36" t="s">
        <v>118</v>
      </c>
      <c r="D12" s="17">
        <v>4330000000000</v>
      </c>
      <c r="E12" s="16" t="s">
        <v>131</v>
      </c>
      <c r="F12" s="17">
        <v>1</v>
      </c>
      <c r="G12" s="18">
        <v>150</v>
      </c>
      <c r="H12" s="17">
        <v>97.5</v>
      </c>
      <c r="I12" s="18">
        <v>150</v>
      </c>
      <c r="J12" s="18">
        <v>52.5</v>
      </c>
      <c r="K12" s="37" t="str">
        <f t="shared" si="0"/>
        <v>Inexpensive</v>
      </c>
      <c r="L12" s="37"/>
      <c r="N12" s="37"/>
      <c r="O12" s="37"/>
      <c r="P12" s="37"/>
      <c r="Q12" s="37"/>
      <c r="R12" s="37"/>
      <c r="S12" s="37"/>
      <c r="T12" s="37"/>
      <c r="V12" s="36" t="s">
        <v>120</v>
      </c>
      <c r="W12">
        <f t="shared" si="1"/>
        <v>28</v>
      </c>
      <c r="X12" s="36" t="s">
        <v>120</v>
      </c>
      <c r="Z12">
        <f t="shared" ca="1" si="2"/>
        <v>0</v>
      </c>
    </row>
    <row r="13" spans="1:26" ht="15" customHeight="1" thickBot="1" x14ac:dyDescent="0.35">
      <c r="A13" s="38">
        <v>43496.425000000003</v>
      </c>
      <c r="B13" s="39">
        <v>141245</v>
      </c>
      <c r="C13" s="36" t="s">
        <v>119</v>
      </c>
      <c r="D13" s="17">
        <v>1170000000000</v>
      </c>
      <c r="E13" s="16" t="s">
        <v>130</v>
      </c>
      <c r="F13" s="17">
        <v>1</v>
      </c>
      <c r="G13" s="18">
        <v>1700</v>
      </c>
      <c r="H13" s="17">
        <v>561</v>
      </c>
      <c r="I13" s="18">
        <v>1700</v>
      </c>
      <c r="J13" s="18">
        <v>1139</v>
      </c>
      <c r="K13" s="37" t="str">
        <f t="shared" si="0"/>
        <v>Expensive</v>
      </c>
      <c r="L13" s="37"/>
      <c r="N13" s="37"/>
      <c r="O13" s="37"/>
      <c r="P13" s="37"/>
      <c r="Q13" s="37"/>
      <c r="R13" s="37"/>
      <c r="S13" s="37"/>
      <c r="T13" s="37"/>
      <c r="V13" s="36" t="s">
        <v>121</v>
      </c>
      <c r="W13">
        <f t="shared" si="1"/>
        <v>11</v>
      </c>
      <c r="X13" s="36" t="s">
        <v>121</v>
      </c>
      <c r="Z13">
        <f t="shared" ca="1" si="2"/>
        <v>0</v>
      </c>
    </row>
    <row r="14" spans="1:26" ht="15" customHeight="1" thickBot="1" x14ac:dyDescent="0.35">
      <c r="A14" s="38">
        <v>43474.789583333331</v>
      </c>
      <c r="B14" s="39">
        <v>141246</v>
      </c>
      <c r="C14" s="36" t="s">
        <v>114</v>
      </c>
      <c r="D14" s="17">
        <v>4440000000000</v>
      </c>
      <c r="E14" s="16" t="s">
        <v>132</v>
      </c>
      <c r="F14" s="17">
        <v>3</v>
      </c>
      <c r="G14" s="18">
        <v>2.99</v>
      </c>
      <c r="H14" s="17">
        <v>1.4950000000000001</v>
      </c>
      <c r="I14" s="18">
        <v>8.9700000000000006</v>
      </c>
      <c r="J14" s="18">
        <v>4.4850000000000003</v>
      </c>
      <c r="K14" s="37" t="str">
        <f t="shared" si="0"/>
        <v>Inexpensive</v>
      </c>
      <c r="L14" s="37"/>
      <c r="N14" s="115" t="s">
        <v>186</v>
      </c>
      <c r="O14" s="37"/>
      <c r="P14" s="37"/>
      <c r="Q14" s="37"/>
      <c r="R14" s="37"/>
      <c r="S14" s="37"/>
      <c r="T14" s="37"/>
      <c r="V14" s="36" t="s">
        <v>122</v>
      </c>
      <c r="W14">
        <f t="shared" si="1"/>
        <v>146</v>
      </c>
      <c r="X14" s="36" t="s">
        <v>122</v>
      </c>
      <c r="Z14">
        <f t="shared" ca="1" si="2"/>
        <v>0</v>
      </c>
    </row>
    <row r="15" spans="1:26" ht="15" customHeight="1" thickBot="1" x14ac:dyDescent="0.35">
      <c r="A15" s="38">
        <v>43490.804861111108</v>
      </c>
      <c r="B15" s="39">
        <v>141247</v>
      </c>
      <c r="C15" s="36" t="s">
        <v>113</v>
      </c>
      <c r="D15" s="17">
        <v>7310000000000</v>
      </c>
      <c r="E15" s="16" t="s">
        <v>131</v>
      </c>
      <c r="F15" s="17">
        <v>1</v>
      </c>
      <c r="G15" s="18">
        <v>149.99</v>
      </c>
      <c r="H15" s="17">
        <v>97.493499999999997</v>
      </c>
      <c r="I15" s="18">
        <v>149.99</v>
      </c>
      <c r="J15" s="18">
        <v>52.496499999999997</v>
      </c>
      <c r="K15" s="37" t="str">
        <f t="shared" si="0"/>
        <v>Inexpensive</v>
      </c>
      <c r="L15" s="37"/>
      <c r="N15" s="116"/>
      <c r="O15" s="37"/>
      <c r="P15" s="37"/>
      <c r="Q15" s="37"/>
      <c r="R15" s="37"/>
      <c r="S15" s="37"/>
      <c r="T15" s="37"/>
      <c r="V15" s="36" t="s">
        <v>123</v>
      </c>
      <c r="W15">
        <f t="shared" si="1"/>
        <v>40</v>
      </c>
      <c r="X15" s="36" t="s">
        <v>123</v>
      </c>
      <c r="Z15">
        <f t="shared" ca="1" si="2"/>
        <v>0</v>
      </c>
    </row>
    <row r="16" spans="1:26" ht="15" customHeight="1" thickBot="1" x14ac:dyDescent="0.35">
      <c r="A16" s="38">
        <v>43468.912499999999</v>
      </c>
      <c r="B16" s="39">
        <v>141248</v>
      </c>
      <c r="C16" s="36" t="s">
        <v>120</v>
      </c>
      <c r="D16" s="17">
        <v>4060000000000</v>
      </c>
      <c r="E16" s="16" t="s">
        <v>130</v>
      </c>
      <c r="F16" s="17">
        <v>1</v>
      </c>
      <c r="G16" s="18">
        <v>300</v>
      </c>
      <c r="H16" s="17">
        <v>99</v>
      </c>
      <c r="I16" s="18">
        <v>300</v>
      </c>
      <c r="J16" s="18">
        <v>201</v>
      </c>
      <c r="K16" s="37" t="str">
        <f t="shared" si="0"/>
        <v>Inexpensive</v>
      </c>
      <c r="L16" s="37"/>
      <c r="N16" s="37"/>
      <c r="O16" s="37"/>
      <c r="P16" s="37"/>
      <c r="Q16" s="37"/>
      <c r="R16" s="37"/>
      <c r="S16" s="37"/>
      <c r="T16" s="37"/>
      <c r="V16" s="36" t="s">
        <v>124</v>
      </c>
      <c r="W16">
        <f t="shared" si="1"/>
        <v>24</v>
      </c>
      <c r="X16" s="36" t="s">
        <v>124</v>
      </c>
      <c r="Z16">
        <f t="shared" ca="1" si="2"/>
        <v>0</v>
      </c>
    </row>
    <row r="17" spans="1:26" ht="15" customHeight="1" thickBot="1" x14ac:dyDescent="0.35">
      <c r="A17" s="38">
        <v>43470.722222222219</v>
      </c>
      <c r="B17" s="39">
        <v>141249</v>
      </c>
      <c r="C17" s="36" t="s">
        <v>113</v>
      </c>
      <c r="D17" s="17">
        <v>9640000000000</v>
      </c>
      <c r="E17" s="16" t="s">
        <v>130</v>
      </c>
      <c r="F17" s="17">
        <v>1</v>
      </c>
      <c r="G17" s="18">
        <v>149.99</v>
      </c>
      <c r="H17" s="17">
        <v>97.493499999999997</v>
      </c>
      <c r="I17" s="18">
        <v>149.99</v>
      </c>
      <c r="J17" s="18">
        <v>52.496499999999997</v>
      </c>
      <c r="K17" s="37" t="str">
        <f t="shared" si="0"/>
        <v>Inexpensive</v>
      </c>
      <c r="L17" s="37"/>
      <c r="N17" s="37"/>
      <c r="O17" s="37"/>
      <c r="P17" s="37"/>
      <c r="Q17" s="37"/>
      <c r="R17" s="37"/>
      <c r="S17" s="37"/>
      <c r="T17" s="37"/>
      <c r="V17" s="36" t="s">
        <v>125</v>
      </c>
      <c r="W17">
        <f t="shared" si="1"/>
        <v>26</v>
      </c>
      <c r="X17" s="36" t="s">
        <v>125</v>
      </c>
      <c r="Z17">
        <f t="shared" ca="1" si="2"/>
        <v>0</v>
      </c>
    </row>
    <row r="18" spans="1:26" ht="15" customHeight="1" thickBot="1" x14ac:dyDescent="0.35">
      <c r="A18" s="38">
        <v>43475.472222222219</v>
      </c>
      <c r="B18" s="39">
        <v>141250</v>
      </c>
      <c r="C18" s="36" t="s">
        <v>121</v>
      </c>
      <c r="D18" s="17">
        <v>6720000000000</v>
      </c>
      <c r="E18" s="16" t="s">
        <v>131</v>
      </c>
      <c r="F18" s="17">
        <v>1</v>
      </c>
      <c r="G18" s="18">
        <v>400</v>
      </c>
      <c r="H18" s="17">
        <v>132</v>
      </c>
      <c r="I18" s="18">
        <v>400</v>
      </c>
      <c r="J18" s="18">
        <v>268</v>
      </c>
      <c r="K18" s="37" t="str">
        <f t="shared" si="0"/>
        <v>Inexpensive</v>
      </c>
      <c r="L18" s="37"/>
      <c r="N18" s="37"/>
      <c r="O18" s="37"/>
      <c r="P18" s="37"/>
      <c r="Q18" s="37"/>
      <c r="R18" s="37"/>
      <c r="S18" s="37"/>
      <c r="T18" s="37"/>
      <c r="V18" s="36" t="s">
        <v>126</v>
      </c>
      <c r="W18">
        <f t="shared" si="1"/>
        <v>17</v>
      </c>
      <c r="X18" s="36" t="s">
        <v>126</v>
      </c>
      <c r="Z18">
        <f t="shared" ca="1" si="2"/>
        <v>0</v>
      </c>
    </row>
    <row r="19" spans="1:26" ht="15" customHeight="1" thickBot="1" x14ac:dyDescent="0.35">
      <c r="A19" s="38">
        <v>43489.342361111114</v>
      </c>
      <c r="B19" s="39">
        <v>141251</v>
      </c>
      <c r="C19" s="36" t="s">
        <v>118</v>
      </c>
      <c r="D19" s="17">
        <v>2700000000000</v>
      </c>
      <c r="E19" s="16" t="s">
        <v>130</v>
      </c>
      <c r="F19" s="17">
        <v>1</v>
      </c>
      <c r="G19" s="18">
        <v>150</v>
      </c>
      <c r="H19" s="17">
        <v>97.5</v>
      </c>
      <c r="I19" s="18">
        <v>150</v>
      </c>
      <c r="J19" s="18">
        <v>52.5</v>
      </c>
      <c r="K19" s="37" t="str">
        <f t="shared" si="0"/>
        <v>Inexpensive</v>
      </c>
      <c r="L19" s="37"/>
      <c r="N19" s="37"/>
      <c r="O19" s="37"/>
      <c r="P19" s="37"/>
      <c r="Q19" s="37"/>
      <c r="R19" s="37"/>
      <c r="S19" s="37"/>
      <c r="T19" s="37"/>
      <c r="V19" s="36" t="s">
        <v>127</v>
      </c>
      <c r="W19">
        <f t="shared" si="1"/>
        <v>3</v>
      </c>
      <c r="X19" s="36" t="s">
        <v>127</v>
      </c>
      <c r="Z19">
        <f t="shared" ca="1" si="2"/>
        <v>0</v>
      </c>
    </row>
    <row r="20" spans="1:26" ht="15" customHeight="1" thickBot="1" x14ac:dyDescent="0.35">
      <c r="A20" s="38">
        <v>43495.394444444442</v>
      </c>
      <c r="B20" s="39">
        <v>141252</v>
      </c>
      <c r="C20" s="36" t="s">
        <v>116</v>
      </c>
      <c r="D20" s="17">
        <v>3690000000000</v>
      </c>
      <c r="E20" s="16" t="s">
        <v>130</v>
      </c>
      <c r="F20" s="17">
        <v>1</v>
      </c>
      <c r="G20" s="18">
        <v>11.95</v>
      </c>
      <c r="H20" s="17">
        <v>5.9749999999999996</v>
      </c>
      <c r="I20" s="18">
        <v>11.95</v>
      </c>
      <c r="J20" s="18">
        <v>5.9749999999999996</v>
      </c>
      <c r="K20" s="37" t="str">
        <f t="shared" si="0"/>
        <v>Inexpensive</v>
      </c>
      <c r="L20" s="37"/>
      <c r="N20" s="37"/>
      <c r="O20" s="37"/>
      <c r="P20" s="37"/>
      <c r="Q20" s="37"/>
      <c r="R20" s="37"/>
      <c r="S20" s="37"/>
      <c r="T20" s="37"/>
      <c r="V20" s="36" t="s">
        <v>128</v>
      </c>
      <c r="W20">
        <f t="shared" si="1"/>
        <v>2</v>
      </c>
      <c r="X20" s="36" t="s">
        <v>128</v>
      </c>
      <c r="Z20">
        <f t="shared" ca="1" si="2"/>
        <v>0</v>
      </c>
    </row>
    <row r="21" spans="1:26" ht="15" customHeight="1" thickBot="1" x14ac:dyDescent="0.35">
      <c r="A21" s="38">
        <v>43482.006249999999</v>
      </c>
      <c r="B21" s="39">
        <v>141253</v>
      </c>
      <c r="C21" s="36" t="s">
        <v>122</v>
      </c>
      <c r="D21" s="17">
        <v>6740000000000</v>
      </c>
      <c r="E21" s="16" t="s">
        <v>130</v>
      </c>
      <c r="F21" s="17">
        <v>1</v>
      </c>
      <c r="G21" s="18">
        <v>3.84</v>
      </c>
      <c r="H21" s="17">
        <v>1.92</v>
      </c>
      <c r="I21" s="18">
        <v>3.84</v>
      </c>
      <c r="J21" s="18">
        <v>1.92</v>
      </c>
      <c r="K21" s="37" t="str">
        <f t="shared" si="0"/>
        <v>Inexpensive</v>
      </c>
      <c r="L21" s="37"/>
      <c r="N21" s="37"/>
      <c r="O21" s="37"/>
      <c r="P21" s="37"/>
      <c r="Q21" s="37"/>
      <c r="R21" s="37"/>
      <c r="S21" s="37"/>
      <c r="T21" s="37"/>
      <c r="V21" s="117"/>
      <c r="X21" s="117"/>
    </row>
    <row r="22" spans="1:26" ht="15" customHeight="1" thickBot="1" x14ac:dyDescent="0.35">
      <c r="A22" s="38">
        <v>43473.493750000001</v>
      </c>
      <c r="B22" s="39">
        <v>141254</v>
      </c>
      <c r="C22" s="36" t="s">
        <v>114</v>
      </c>
      <c r="D22" s="17">
        <v>8220000000000</v>
      </c>
      <c r="E22" s="16" t="s">
        <v>131</v>
      </c>
      <c r="F22" s="17">
        <v>1</v>
      </c>
      <c r="G22" s="18">
        <v>2.99</v>
      </c>
      <c r="H22" s="17">
        <v>1.4950000000000001</v>
      </c>
      <c r="I22" s="18">
        <v>2.99</v>
      </c>
      <c r="J22" s="18">
        <v>1.4950000000000001</v>
      </c>
      <c r="K22" s="37" t="str">
        <f t="shared" si="0"/>
        <v>Inexpensive</v>
      </c>
      <c r="L22" s="37"/>
      <c r="N22" s="37"/>
      <c r="O22" s="37"/>
      <c r="P22" s="37"/>
      <c r="Q22" s="37"/>
      <c r="R22" s="37"/>
      <c r="S22" s="37"/>
      <c r="T22" s="37"/>
      <c r="V22"/>
      <c r="X22"/>
    </row>
    <row r="23" spans="1:26" ht="15" customHeight="1" thickBot="1" x14ac:dyDescent="0.35">
      <c r="A23" s="38">
        <v>43474.871527777781</v>
      </c>
      <c r="B23" s="39">
        <v>141255</v>
      </c>
      <c r="C23" s="36" t="s">
        <v>116</v>
      </c>
      <c r="D23" s="17">
        <v>7740000000000</v>
      </c>
      <c r="E23" s="16" t="s">
        <v>132</v>
      </c>
      <c r="F23" s="17">
        <v>1</v>
      </c>
      <c r="G23" s="18">
        <v>11.95</v>
      </c>
      <c r="H23" s="17">
        <v>5.9749999999999996</v>
      </c>
      <c r="I23" s="18">
        <v>11.95</v>
      </c>
      <c r="J23" s="18">
        <v>5.9749999999999996</v>
      </c>
      <c r="K23" s="37" t="str">
        <f t="shared" si="0"/>
        <v>Inexpensive</v>
      </c>
      <c r="L23" s="37"/>
      <c r="N23" s="37"/>
      <c r="O23" s="37"/>
      <c r="P23" s="37"/>
      <c r="Q23" s="37"/>
      <c r="R23" s="37"/>
      <c r="S23" s="37"/>
      <c r="T23" s="37"/>
      <c r="V23"/>
      <c r="X23"/>
    </row>
    <row r="24" spans="1:26" ht="15" customHeight="1" thickBot="1" x14ac:dyDescent="0.35">
      <c r="A24" s="38">
        <v>43494.444444444445</v>
      </c>
      <c r="B24" s="39">
        <v>141256</v>
      </c>
      <c r="C24" s="36" t="s">
        <v>123</v>
      </c>
      <c r="D24" s="17">
        <v>3690000000000</v>
      </c>
      <c r="E24" s="16" t="s">
        <v>130</v>
      </c>
      <c r="F24" s="17">
        <v>1</v>
      </c>
      <c r="G24" s="18">
        <v>600</v>
      </c>
      <c r="H24" s="17">
        <v>198</v>
      </c>
      <c r="I24" s="18">
        <v>600</v>
      </c>
      <c r="J24" s="18">
        <v>402</v>
      </c>
      <c r="K24" s="37" t="str">
        <f t="shared" si="0"/>
        <v>Inexpensive</v>
      </c>
      <c r="L24" s="37"/>
      <c r="N24" s="37"/>
      <c r="O24" s="37"/>
      <c r="P24" s="37"/>
      <c r="Q24" s="37"/>
      <c r="R24" s="37"/>
      <c r="S24" s="37"/>
      <c r="T24" s="37"/>
      <c r="V24"/>
      <c r="X24"/>
    </row>
    <row r="25" spans="1:26" ht="15" customHeight="1" thickBot="1" x14ac:dyDescent="0.35">
      <c r="A25" s="38">
        <v>43477.785416666666</v>
      </c>
      <c r="B25" s="39">
        <v>141257</v>
      </c>
      <c r="C25" s="36" t="s">
        <v>118</v>
      </c>
      <c r="D25" s="17">
        <v>8590000000000</v>
      </c>
      <c r="E25" s="16" t="s">
        <v>132</v>
      </c>
      <c r="F25" s="17">
        <v>1</v>
      </c>
      <c r="G25" s="18">
        <v>150</v>
      </c>
      <c r="H25" s="17">
        <v>97.5</v>
      </c>
      <c r="I25" s="18">
        <v>150</v>
      </c>
      <c r="J25" s="18">
        <v>52.5</v>
      </c>
      <c r="K25" s="37" t="str">
        <f t="shared" si="0"/>
        <v>Inexpensive</v>
      </c>
      <c r="L25" s="37"/>
      <c r="N25" s="37"/>
      <c r="O25" s="37"/>
      <c r="P25" s="37"/>
      <c r="Q25" s="37"/>
      <c r="R25" s="37"/>
      <c r="S25" s="37"/>
      <c r="T25" s="37"/>
      <c r="V25"/>
      <c r="X25"/>
    </row>
    <row r="26" spans="1:26" ht="15" customHeight="1" thickBot="1" x14ac:dyDescent="0.35">
      <c r="A26" s="38">
        <v>43484.907638888886</v>
      </c>
      <c r="B26" s="39">
        <v>141258</v>
      </c>
      <c r="C26" s="36" t="s">
        <v>122</v>
      </c>
      <c r="D26" s="17">
        <v>5050000000000</v>
      </c>
      <c r="E26" s="16" t="s">
        <v>132</v>
      </c>
      <c r="F26" s="17">
        <v>1</v>
      </c>
      <c r="G26" s="18">
        <v>3.84</v>
      </c>
      <c r="H26" s="17">
        <v>1.92</v>
      </c>
      <c r="I26" s="18">
        <v>3.84</v>
      </c>
      <c r="J26" s="18">
        <v>1.92</v>
      </c>
      <c r="K26" s="37" t="str">
        <f t="shared" si="0"/>
        <v>Inexpensive</v>
      </c>
      <c r="L26" s="37"/>
      <c r="N26" s="37"/>
      <c r="O26" s="37"/>
      <c r="P26" s="37"/>
      <c r="Q26" s="37"/>
      <c r="R26" s="37"/>
      <c r="S26" s="37"/>
      <c r="T26" s="37"/>
      <c r="V26"/>
      <c r="X26"/>
    </row>
    <row r="27" spans="1:26" ht="15" customHeight="1" thickBot="1" x14ac:dyDescent="0.35">
      <c r="A27" s="38">
        <v>43485.726388888892</v>
      </c>
      <c r="B27" s="39">
        <v>141259</v>
      </c>
      <c r="C27" s="36" t="s">
        <v>114</v>
      </c>
      <c r="D27" s="17">
        <v>8110000000000</v>
      </c>
      <c r="E27" s="16" t="s">
        <v>130</v>
      </c>
      <c r="F27" s="17">
        <v>2</v>
      </c>
      <c r="G27" s="18">
        <v>2.99</v>
      </c>
      <c r="H27" s="17">
        <v>1.4950000000000001</v>
      </c>
      <c r="I27" s="18">
        <v>5.98</v>
      </c>
      <c r="J27" s="18">
        <v>2.99</v>
      </c>
      <c r="K27" s="37" t="str">
        <f t="shared" si="0"/>
        <v>Inexpensive</v>
      </c>
      <c r="L27" s="37"/>
      <c r="N27" s="37"/>
      <c r="O27" s="37"/>
      <c r="P27" s="37"/>
      <c r="Q27" s="37"/>
      <c r="R27" s="37"/>
      <c r="S27" s="37"/>
      <c r="T27" s="37"/>
      <c r="V27"/>
      <c r="X27"/>
    </row>
    <row r="28" spans="1:26" ht="15" customHeight="1" thickBot="1" x14ac:dyDescent="0.35">
      <c r="A28" s="38">
        <v>43466.916666666664</v>
      </c>
      <c r="B28" s="39">
        <v>141260</v>
      </c>
      <c r="C28" s="36" t="s">
        <v>114</v>
      </c>
      <c r="D28" s="17">
        <v>9690000000000</v>
      </c>
      <c r="E28" s="16" t="s">
        <v>132</v>
      </c>
      <c r="F28" s="17">
        <v>1</v>
      </c>
      <c r="G28" s="18">
        <v>2.99</v>
      </c>
      <c r="H28" s="17">
        <v>1.4950000000000001</v>
      </c>
      <c r="I28" s="18">
        <v>2.99</v>
      </c>
      <c r="J28" s="18">
        <v>1.4950000000000001</v>
      </c>
      <c r="K28" s="37" t="str">
        <f t="shared" si="0"/>
        <v>Inexpensive</v>
      </c>
      <c r="L28" s="37"/>
      <c r="N28" s="37"/>
      <c r="O28" s="37"/>
      <c r="P28" s="37"/>
      <c r="Q28" s="37"/>
      <c r="R28" s="37"/>
      <c r="S28" s="37"/>
      <c r="T28" s="37"/>
      <c r="V28"/>
      <c r="X28"/>
    </row>
    <row r="29" spans="1:26" ht="15" customHeight="1" thickBot="1" x14ac:dyDescent="0.35">
      <c r="A29" s="38">
        <v>43474.759722222225</v>
      </c>
      <c r="B29" s="39">
        <v>141261</v>
      </c>
      <c r="C29" s="36" t="s">
        <v>116</v>
      </c>
      <c r="D29" s="17">
        <v>3830000000000</v>
      </c>
      <c r="E29" s="16" t="s">
        <v>131</v>
      </c>
      <c r="F29" s="17">
        <v>1</v>
      </c>
      <c r="G29" s="18">
        <v>11.95</v>
      </c>
      <c r="H29" s="17">
        <v>5.9749999999999996</v>
      </c>
      <c r="I29" s="18">
        <v>11.95</v>
      </c>
      <c r="J29" s="18">
        <v>5.9749999999999996</v>
      </c>
      <c r="K29" s="37" t="str">
        <f t="shared" si="0"/>
        <v>Inexpensive</v>
      </c>
      <c r="L29" s="37"/>
      <c r="N29" s="37"/>
      <c r="O29" s="37"/>
      <c r="P29" s="37"/>
      <c r="Q29" s="37"/>
      <c r="R29" s="37"/>
      <c r="S29" s="37"/>
      <c r="T29" s="37"/>
      <c r="V29"/>
      <c r="X29"/>
    </row>
    <row r="30" spans="1:26" ht="15" customHeight="1" thickBot="1" x14ac:dyDescent="0.35">
      <c r="A30" s="38">
        <v>43481.524305555555</v>
      </c>
      <c r="B30" s="39">
        <v>141262</v>
      </c>
      <c r="C30" s="36" t="s">
        <v>114</v>
      </c>
      <c r="D30" s="17">
        <v>2890000000000</v>
      </c>
      <c r="E30" s="16" t="s">
        <v>131</v>
      </c>
      <c r="F30" s="17">
        <v>1</v>
      </c>
      <c r="G30" s="18">
        <v>2.99</v>
      </c>
      <c r="H30" s="17">
        <v>1.4950000000000001</v>
      </c>
      <c r="I30" s="18">
        <v>2.99</v>
      </c>
      <c r="J30" s="18">
        <v>1.4950000000000001</v>
      </c>
      <c r="K30" s="37" t="str">
        <f t="shared" si="0"/>
        <v>Inexpensive</v>
      </c>
      <c r="L30" s="37"/>
      <c r="N30" s="37"/>
      <c r="O30" s="37"/>
      <c r="P30" s="37"/>
      <c r="Q30" s="37"/>
      <c r="R30" s="37"/>
      <c r="S30" s="37"/>
      <c r="T30" s="37"/>
      <c r="V30"/>
      <c r="X30"/>
    </row>
    <row r="31" spans="1:26" ht="15" customHeight="1" thickBot="1" x14ac:dyDescent="0.35">
      <c r="A31" s="38">
        <v>43476.981249999997</v>
      </c>
      <c r="B31" s="39">
        <v>141263</v>
      </c>
      <c r="C31" s="36" t="s">
        <v>117</v>
      </c>
      <c r="D31" s="17">
        <v>3420000000000</v>
      </c>
      <c r="E31" s="16" t="s">
        <v>131</v>
      </c>
      <c r="F31" s="17">
        <v>1</v>
      </c>
      <c r="G31" s="18">
        <v>99.99</v>
      </c>
      <c r="H31" s="17">
        <v>49.994999999999997</v>
      </c>
      <c r="I31" s="18">
        <v>99.99</v>
      </c>
      <c r="J31" s="18">
        <v>49.994999999999997</v>
      </c>
      <c r="K31" s="37" t="str">
        <f t="shared" si="0"/>
        <v>Inexpensive</v>
      </c>
      <c r="L31" s="37"/>
      <c r="N31" s="37"/>
      <c r="O31" s="37"/>
      <c r="P31" s="37"/>
      <c r="Q31" s="37"/>
      <c r="R31" s="37"/>
      <c r="S31" s="37"/>
      <c r="T31" s="37"/>
      <c r="V31"/>
      <c r="X31"/>
    </row>
    <row r="32" spans="1:26" ht="15" customHeight="1" thickBot="1" x14ac:dyDescent="0.35">
      <c r="A32" s="38">
        <v>43468.406944444447</v>
      </c>
      <c r="B32" s="39">
        <v>141264</v>
      </c>
      <c r="C32" s="36" t="s">
        <v>118</v>
      </c>
      <c r="D32" s="17">
        <v>8600000000000</v>
      </c>
      <c r="E32" s="16" t="s">
        <v>131</v>
      </c>
      <c r="F32" s="17">
        <v>1</v>
      </c>
      <c r="G32" s="18">
        <v>150</v>
      </c>
      <c r="H32" s="17">
        <v>97.5</v>
      </c>
      <c r="I32" s="18">
        <v>150</v>
      </c>
      <c r="J32" s="18">
        <v>52.5</v>
      </c>
      <c r="K32" s="37" t="str">
        <f t="shared" si="0"/>
        <v>Inexpensive</v>
      </c>
      <c r="L32" s="37"/>
      <c r="N32" s="37"/>
      <c r="O32" s="37"/>
      <c r="P32" s="37"/>
      <c r="Q32" s="37"/>
      <c r="R32" s="37"/>
      <c r="S32" s="37"/>
      <c r="T32" s="37"/>
      <c r="V32"/>
      <c r="X32"/>
    </row>
    <row r="33" spans="1:24" ht="15" customHeight="1" thickBot="1" x14ac:dyDescent="0.35">
      <c r="A33" s="38">
        <v>43466.702777777777</v>
      </c>
      <c r="B33" s="39">
        <v>141265</v>
      </c>
      <c r="C33" s="36" t="s">
        <v>118</v>
      </c>
      <c r="D33" s="17">
        <v>8200000000000</v>
      </c>
      <c r="E33" s="16" t="s">
        <v>130</v>
      </c>
      <c r="F33" s="17">
        <v>1</v>
      </c>
      <c r="G33" s="18">
        <v>150</v>
      </c>
      <c r="H33" s="17">
        <v>97.5</v>
      </c>
      <c r="I33" s="18">
        <v>150</v>
      </c>
      <c r="J33" s="18">
        <v>52.5</v>
      </c>
      <c r="K33" s="37" t="str">
        <f t="shared" si="0"/>
        <v>Inexpensive</v>
      </c>
      <c r="L33" s="37"/>
      <c r="N33" s="37"/>
      <c r="O33" s="37"/>
      <c r="P33" s="37"/>
      <c r="Q33" s="37"/>
      <c r="R33" s="37"/>
      <c r="S33" s="37"/>
      <c r="T33" s="37"/>
      <c r="V33"/>
      <c r="X33"/>
    </row>
    <row r="34" spans="1:24" ht="15" customHeight="1" thickBot="1" x14ac:dyDescent="0.35">
      <c r="A34" s="38">
        <v>43467.931250000001</v>
      </c>
      <c r="B34" s="39">
        <v>141266</v>
      </c>
      <c r="C34" s="36" t="s">
        <v>115</v>
      </c>
      <c r="D34" s="17">
        <v>5420000000000</v>
      </c>
      <c r="E34" s="16" t="s">
        <v>130</v>
      </c>
      <c r="F34" s="17">
        <v>1</v>
      </c>
      <c r="G34" s="18">
        <v>389.99</v>
      </c>
      <c r="H34" s="17">
        <v>128.69669999999999</v>
      </c>
      <c r="I34" s="18">
        <v>389.99</v>
      </c>
      <c r="J34" s="18">
        <v>261.29329999999999</v>
      </c>
      <c r="K34" s="37" t="str">
        <f t="shared" si="0"/>
        <v>Inexpensive</v>
      </c>
      <c r="L34" s="37"/>
      <c r="N34" s="37"/>
      <c r="O34" s="37"/>
      <c r="P34" s="37"/>
      <c r="Q34" s="37"/>
      <c r="R34" s="37"/>
      <c r="S34" s="37"/>
      <c r="T34" s="37"/>
      <c r="V34"/>
      <c r="X34"/>
    </row>
    <row r="35" spans="1:24" ht="15" customHeight="1" thickBot="1" x14ac:dyDescent="0.35">
      <c r="A35" s="38">
        <v>43474.352777777778</v>
      </c>
      <c r="B35" s="39">
        <v>141267</v>
      </c>
      <c r="C35" s="36" t="s">
        <v>118</v>
      </c>
      <c r="D35" s="17">
        <v>4260000000000</v>
      </c>
      <c r="E35" s="16" t="s">
        <v>132</v>
      </c>
      <c r="F35" s="17">
        <v>1</v>
      </c>
      <c r="G35" s="18">
        <v>150</v>
      </c>
      <c r="H35" s="17">
        <v>97.5</v>
      </c>
      <c r="I35" s="18">
        <v>150</v>
      </c>
      <c r="J35" s="18">
        <v>52.5</v>
      </c>
      <c r="K35" s="37" t="str">
        <f t="shared" si="0"/>
        <v>Inexpensive</v>
      </c>
      <c r="L35" s="37"/>
      <c r="N35" s="37"/>
      <c r="O35" s="37"/>
      <c r="P35" s="37"/>
      <c r="Q35" s="37"/>
      <c r="R35" s="37"/>
      <c r="S35" s="37"/>
      <c r="T35" s="37"/>
      <c r="V35"/>
      <c r="X35"/>
    </row>
    <row r="36" spans="1:24" ht="15" customHeight="1" thickBot="1" x14ac:dyDescent="0.35">
      <c r="A36" s="38">
        <v>43479.425694444442</v>
      </c>
      <c r="B36" s="39">
        <v>141268</v>
      </c>
      <c r="C36" s="36" t="s">
        <v>122</v>
      </c>
      <c r="D36" s="17">
        <v>7300000000000</v>
      </c>
      <c r="E36" s="16" t="s">
        <v>131</v>
      </c>
      <c r="F36" s="17">
        <v>1</v>
      </c>
      <c r="G36" s="18">
        <v>3.84</v>
      </c>
      <c r="H36" s="17">
        <v>1.92</v>
      </c>
      <c r="I36" s="18">
        <v>3.84</v>
      </c>
      <c r="J36" s="18">
        <v>1.92</v>
      </c>
      <c r="K36" s="37" t="str">
        <f t="shared" si="0"/>
        <v>Inexpensive</v>
      </c>
      <c r="L36" s="37"/>
      <c r="N36" s="37"/>
      <c r="O36" s="37"/>
      <c r="P36" s="37"/>
      <c r="Q36" s="37"/>
      <c r="R36" s="37"/>
      <c r="S36" s="37"/>
      <c r="T36" s="37"/>
      <c r="V36"/>
      <c r="X36"/>
    </row>
    <row r="37" spans="1:24" ht="15" customHeight="1" thickBot="1" x14ac:dyDescent="0.35">
      <c r="A37" s="38">
        <v>43468.836805555555</v>
      </c>
      <c r="B37" s="39">
        <v>141269</v>
      </c>
      <c r="C37" s="36" t="s">
        <v>115</v>
      </c>
      <c r="D37" s="17">
        <v>9310000000000</v>
      </c>
      <c r="E37" s="16" t="s">
        <v>132</v>
      </c>
      <c r="F37" s="17">
        <v>1</v>
      </c>
      <c r="G37" s="18">
        <v>389.99</v>
      </c>
      <c r="H37" s="17">
        <v>128.69669999999999</v>
      </c>
      <c r="I37" s="18">
        <v>389.99</v>
      </c>
      <c r="J37" s="18">
        <v>261.29329999999999</v>
      </c>
      <c r="K37" s="37" t="str">
        <f t="shared" si="0"/>
        <v>Inexpensive</v>
      </c>
      <c r="L37" s="37"/>
      <c r="N37" s="37"/>
      <c r="O37" s="37"/>
      <c r="P37" s="37"/>
      <c r="Q37" s="37"/>
      <c r="R37" s="37"/>
      <c r="S37" s="37"/>
      <c r="T37" s="37"/>
      <c r="V37"/>
      <c r="X37"/>
    </row>
    <row r="38" spans="1:24" ht="15" customHeight="1" thickBot="1" x14ac:dyDescent="0.35">
      <c r="A38" s="38">
        <v>43492.965277777781</v>
      </c>
      <c r="B38" s="39">
        <v>141270</v>
      </c>
      <c r="C38" s="36" t="s">
        <v>112</v>
      </c>
      <c r="D38" s="17">
        <v>2490000000000</v>
      </c>
      <c r="E38" s="16" t="s">
        <v>131</v>
      </c>
      <c r="F38" s="17">
        <v>1</v>
      </c>
      <c r="G38" s="18">
        <v>11.99</v>
      </c>
      <c r="H38" s="17">
        <v>5.9950000000000001</v>
      </c>
      <c r="I38" s="18">
        <v>11.99</v>
      </c>
      <c r="J38" s="18">
        <v>5.9950000000000001</v>
      </c>
      <c r="K38" s="37" t="str">
        <f t="shared" si="0"/>
        <v>Inexpensive</v>
      </c>
      <c r="L38" s="37"/>
      <c r="N38" s="37"/>
      <c r="O38" s="37"/>
      <c r="P38" s="37"/>
      <c r="Q38" s="37"/>
      <c r="R38" s="37"/>
      <c r="S38" s="37"/>
      <c r="T38" s="37"/>
      <c r="V38"/>
      <c r="X38"/>
    </row>
    <row r="39" spans="1:24" ht="15" customHeight="1" thickBot="1" x14ac:dyDescent="0.35">
      <c r="A39" s="38">
        <v>43495.45208333333</v>
      </c>
      <c r="B39" s="39">
        <v>141271</v>
      </c>
      <c r="C39" s="36" t="s">
        <v>116</v>
      </c>
      <c r="D39" s="17">
        <v>9010000000000</v>
      </c>
      <c r="E39" s="16" t="s">
        <v>130</v>
      </c>
      <c r="F39" s="17">
        <v>1</v>
      </c>
      <c r="G39" s="18">
        <v>11.95</v>
      </c>
      <c r="H39" s="17">
        <v>5.9749999999999996</v>
      </c>
      <c r="I39" s="18">
        <v>11.95</v>
      </c>
      <c r="J39" s="18">
        <v>5.9749999999999996</v>
      </c>
      <c r="K39" s="37" t="str">
        <f t="shared" si="0"/>
        <v>Inexpensive</v>
      </c>
      <c r="L39" s="37"/>
      <c r="N39" s="37"/>
      <c r="O39" s="37"/>
      <c r="P39" s="37"/>
      <c r="Q39" s="37"/>
      <c r="R39" s="37"/>
      <c r="S39" s="37"/>
      <c r="T39" s="37"/>
      <c r="V39"/>
      <c r="X39"/>
    </row>
    <row r="40" spans="1:24" ht="15" customHeight="1" thickBot="1" x14ac:dyDescent="0.35">
      <c r="A40" s="38">
        <v>43477.54791666667</v>
      </c>
      <c r="B40" s="39">
        <v>141272</v>
      </c>
      <c r="C40" s="36" t="s">
        <v>114</v>
      </c>
      <c r="D40" s="17">
        <v>6610000000000</v>
      </c>
      <c r="E40" s="16" t="s">
        <v>130</v>
      </c>
      <c r="F40" s="17">
        <v>1</v>
      </c>
      <c r="G40" s="18">
        <v>2.99</v>
      </c>
      <c r="H40" s="17">
        <v>1.4950000000000001</v>
      </c>
      <c r="I40" s="18">
        <v>2.99</v>
      </c>
      <c r="J40" s="18">
        <v>1.4950000000000001</v>
      </c>
      <c r="K40" s="37" t="str">
        <f t="shared" si="0"/>
        <v>Inexpensive</v>
      </c>
      <c r="L40" s="37"/>
      <c r="N40" s="37"/>
      <c r="O40" s="37"/>
      <c r="P40" s="37"/>
      <c r="Q40" s="37"/>
      <c r="R40" s="37"/>
      <c r="S40" s="37"/>
      <c r="T40" s="37"/>
      <c r="V40"/>
      <c r="X40"/>
    </row>
    <row r="41" spans="1:24" ht="15" customHeight="1" thickBot="1" x14ac:dyDescent="0.35">
      <c r="A41" s="38">
        <v>43494.50277777778</v>
      </c>
      <c r="B41" s="39">
        <v>141273</v>
      </c>
      <c r="C41" s="36" t="s">
        <v>112</v>
      </c>
      <c r="D41" s="17">
        <v>2010000000000</v>
      </c>
      <c r="E41" s="16" t="s">
        <v>130</v>
      </c>
      <c r="F41" s="17">
        <v>2</v>
      </c>
      <c r="G41" s="18">
        <v>11.99</v>
      </c>
      <c r="H41" s="17">
        <v>5.9950000000000001</v>
      </c>
      <c r="I41" s="18">
        <v>23.98</v>
      </c>
      <c r="J41" s="18">
        <v>11.99</v>
      </c>
      <c r="K41" s="37" t="str">
        <f t="shared" si="0"/>
        <v>Inexpensive</v>
      </c>
      <c r="L41" s="37"/>
      <c r="N41" s="37"/>
      <c r="O41" s="37"/>
      <c r="P41" s="37"/>
      <c r="Q41" s="37"/>
      <c r="R41" s="37"/>
      <c r="S41" s="37"/>
      <c r="T41" s="37"/>
      <c r="V41"/>
      <c r="X41"/>
    </row>
    <row r="42" spans="1:24" ht="15" customHeight="1" thickBot="1" x14ac:dyDescent="0.35">
      <c r="A42" s="38">
        <v>43482.479166666664</v>
      </c>
      <c r="B42" s="39">
        <v>141274</v>
      </c>
      <c r="C42" s="36" t="s">
        <v>116</v>
      </c>
      <c r="D42" s="17">
        <v>2460000000000</v>
      </c>
      <c r="E42" s="16" t="s">
        <v>132</v>
      </c>
      <c r="F42" s="17">
        <v>1</v>
      </c>
      <c r="G42" s="18">
        <v>11.95</v>
      </c>
      <c r="H42" s="17">
        <v>5.9749999999999996</v>
      </c>
      <c r="I42" s="18">
        <v>11.95</v>
      </c>
      <c r="J42" s="18">
        <v>5.9749999999999996</v>
      </c>
      <c r="K42" s="37" t="str">
        <f t="shared" si="0"/>
        <v>Inexpensive</v>
      </c>
      <c r="L42" s="37"/>
      <c r="N42" s="37"/>
      <c r="O42" s="37"/>
      <c r="P42" s="37"/>
      <c r="Q42" s="37"/>
      <c r="R42" s="37"/>
      <c r="S42" s="37"/>
      <c r="T42" s="37"/>
      <c r="V42"/>
      <c r="X42"/>
    </row>
    <row r="43" spans="1:24" ht="15" customHeight="1" thickBot="1" x14ac:dyDescent="0.35">
      <c r="A43" s="38">
        <v>43472.67083333333</v>
      </c>
      <c r="B43" s="40">
        <v>141275</v>
      </c>
      <c r="C43" s="36" t="s">
        <v>116</v>
      </c>
      <c r="D43" s="17">
        <v>6810000000000</v>
      </c>
      <c r="E43" s="16" t="s">
        <v>131</v>
      </c>
      <c r="F43" s="17">
        <v>1</v>
      </c>
      <c r="G43" s="18">
        <v>11.95</v>
      </c>
      <c r="H43" s="17">
        <v>5.9749999999999996</v>
      </c>
      <c r="I43" s="18">
        <v>11.95</v>
      </c>
      <c r="J43" s="18">
        <v>5.9749999999999996</v>
      </c>
      <c r="K43" s="37" t="str">
        <f t="shared" si="0"/>
        <v>Inexpensive</v>
      </c>
      <c r="L43" s="37"/>
      <c r="N43" s="37"/>
      <c r="O43" s="37"/>
      <c r="P43" s="37"/>
      <c r="Q43" s="37"/>
      <c r="R43" s="37"/>
      <c r="S43" s="37"/>
      <c r="T43" s="37"/>
      <c r="V43"/>
      <c r="X43"/>
    </row>
    <row r="44" spans="1:24" ht="15" customHeight="1" thickBot="1" x14ac:dyDescent="0.35">
      <c r="A44" s="38">
        <v>43472.67083333333</v>
      </c>
      <c r="B44" s="40">
        <v>141275</v>
      </c>
      <c r="C44" s="36" t="s">
        <v>112</v>
      </c>
      <c r="D44" s="17">
        <v>5760000000000</v>
      </c>
      <c r="E44" s="16" t="s">
        <v>132</v>
      </c>
      <c r="F44" s="17">
        <v>1</v>
      </c>
      <c r="G44" s="18">
        <v>11.99</v>
      </c>
      <c r="H44" s="17">
        <v>5.9950000000000001</v>
      </c>
      <c r="I44" s="18">
        <v>11.99</v>
      </c>
      <c r="J44" s="18">
        <v>5.9950000000000001</v>
      </c>
      <c r="K44" s="37" t="str">
        <f t="shared" si="0"/>
        <v>Inexpensive</v>
      </c>
      <c r="L44" s="37"/>
      <c r="N44" s="37"/>
      <c r="O44" s="37"/>
      <c r="P44" s="37"/>
      <c r="Q44" s="37"/>
      <c r="R44" s="37"/>
      <c r="S44" s="37"/>
      <c r="T44" s="37"/>
      <c r="V44"/>
      <c r="X44"/>
    </row>
    <row r="45" spans="1:24" ht="15" customHeight="1" thickBot="1" x14ac:dyDescent="0.35">
      <c r="A45" s="38">
        <v>43486.932638888888</v>
      </c>
      <c r="B45" s="39">
        <v>141276</v>
      </c>
      <c r="C45" s="36" t="s">
        <v>111</v>
      </c>
      <c r="D45" s="17">
        <v>4440000000000</v>
      </c>
      <c r="E45" s="16" t="s">
        <v>130</v>
      </c>
      <c r="F45" s="17">
        <v>1</v>
      </c>
      <c r="G45" s="18">
        <v>14.95</v>
      </c>
      <c r="H45" s="17">
        <v>7.4749999999999996</v>
      </c>
      <c r="I45" s="18">
        <v>14.95</v>
      </c>
      <c r="J45" s="18">
        <v>7.4749999999999996</v>
      </c>
      <c r="K45" s="37" t="str">
        <f t="shared" si="0"/>
        <v>Inexpensive</v>
      </c>
      <c r="L45" s="37"/>
      <c r="N45" s="37"/>
      <c r="O45" s="37"/>
      <c r="P45" s="37"/>
      <c r="Q45" s="37"/>
      <c r="R45" s="37"/>
      <c r="S45" s="37"/>
      <c r="T45" s="37"/>
      <c r="V45"/>
      <c r="X45"/>
    </row>
    <row r="46" spans="1:24" ht="15" customHeight="1" thickBot="1" x14ac:dyDescent="0.35">
      <c r="A46" s="38">
        <v>43478.796527777777</v>
      </c>
      <c r="B46" s="39">
        <v>141277</v>
      </c>
      <c r="C46" s="36" t="s">
        <v>117</v>
      </c>
      <c r="D46" s="17">
        <v>7020000000000</v>
      </c>
      <c r="E46" s="16" t="s">
        <v>130</v>
      </c>
      <c r="F46" s="17">
        <v>1</v>
      </c>
      <c r="G46" s="18">
        <v>99.99</v>
      </c>
      <c r="H46" s="17">
        <v>49.994999999999997</v>
      </c>
      <c r="I46" s="18">
        <v>99.99</v>
      </c>
      <c r="J46" s="18">
        <v>49.994999999999997</v>
      </c>
      <c r="K46" s="37" t="str">
        <f t="shared" si="0"/>
        <v>Inexpensive</v>
      </c>
      <c r="L46" s="37"/>
      <c r="N46" s="37"/>
      <c r="O46" s="37"/>
      <c r="P46" s="37"/>
      <c r="Q46" s="37"/>
      <c r="R46" s="37"/>
      <c r="S46" s="37"/>
      <c r="T46" s="37"/>
      <c r="V46"/>
      <c r="X46"/>
    </row>
    <row r="47" spans="1:24" ht="15" customHeight="1" thickBot="1" x14ac:dyDescent="0.35">
      <c r="A47" s="38">
        <v>43491.509722222225</v>
      </c>
      <c r="B47" s="39">
        <v>141278</v>
      </c>
      <c r="C47" s="36" t="s">
        <v>111</v>
      </c>
      <c r="D47" s="17">
        <v>3950000000000</v>
      </c>
      <c r="E47" s="16" t="s">
        <v>132</v>
      </c>
      <c r="F47" s="17">
        <v>1</v>
      </c>
      <c r="G47" s="18">
        <v>14.95</v>
      </c>
      <c r="H47" s="17">
        <v>7.4749999999999996</v>
      </c>
      <c r="I47" s="18">
        <v>14.95</v>
      </c>
      <c r="J47" s="18">
        <v>7.4749999999999996</v>
      </c>
      <c r="K47" s="37" t="str">
        <f t="shared" si="0"/>
        <v>Inexpensive</v>
      </c>
      <c r="L47" s="37"/>
      <c r="N47" s="37"/>
      <c r="O47" s="37"/>
      <c r="P47" s="37"/>
      <c r="Q47" s="37"/>
      <c r="R47" s="37"/>
      <c r="S47" s="37"/>
      <c r="T47" s="37"/>
      <c r="V47"/>
      <c r="X47"/>
    </row>
    <row r="48" spans="1:24" ht="15" customHeight="1" thickBot="1" x14ac:dyDescent="0.35">
      <c r="A48" s="38">
        <v>43468.798611111109</v>
      </c>
      <c r="B48" s="39">
        <v>141279</v>
      </c>
      <c r="C48" s="36" t="s">
        <v>111</v>
      </c>
      <c r="D48" s="17">
        <v>2250000000000</v>
      </c>
      <c r="E48" s="16" t="s">
        <v>131</v>
      </c>
      <c r="F48" s="17">
        <v>1</v>
      </c>
      <c r="G48" s="18">
        <v>14.95</v>
      </c>
      <c r="H48" s="17">
        <v>7.4749999999999996</v>
      </c>
      <c r="I48" s="18">
        <v>14.95</v>
      </c>
      <c r="J48" s="18">
        <v>7.4749999999999996</v>
      </c>
      <c r="K48" s="37" t="str">
        <f t="shared" si="0"/>
        <v>Inexpensive</v>
      </c>
      <c r="L48" s="37"/>
      <c r="N48" s="37"/>
      <c r="O48" s="37"/>
      <c r="P48" s="37"/>
      <c r="Q48" s="37"/>
      <c r="R48" s="37"/>
      <c r="S48" s="37"/>
      <c r="T48" s="37"/>
      <c r="V48"/>
      <c r="X48"/>
    </row>
    <row r="49" spans="1:24" ht="15" customHeight="1" thickBot="1" x14ac:dyDescent="0.35">
      <c r="A49" s="38">
        <v>43485.673611111109</v>
      </c>
      <c r="B49" s="39">
        <v>141280</v>
      </c>
      <c r="C49" s="36" t="s">
        <v>114</v>
      </c>
      <c r="D49" s="17">
        <v>6970000000000</v>
      </c>
      <c r="E49" s="16" t="s">
        <v>132</v>
      </c>
      <c r="F49" s="17">
        <v>1</v>
      </c>
      <c r="G49" s="18">
        <v>2.99</v>
      </c>
      <c r="H49" s="17">
        <v>1.4950000000000001</v>
      </c>
      <c r="I49" s="18">
        <v>2.99</v>
      </c>
      <c r="J49" s="18">
        <v>1.4950000000000001</v>
      </c>
      <c r="K49" s="37" t="str">
        <f t="shared" si="0"/>
        <v>Inexpensive</v>
      </c>
      <c r="L49" s="37"/>
      <c r="N49" s="37"/>
      <c r="O49" s="37"/>
      <c r="P49" s="37"/>
      <c r="Q49" s="37"/>
      <c r="R49" s="37"/>
      <c r="S49" s="37"/>
      <c r="T49" s="37"/>
      <c r="V49"/>
      <c r="X49"/>
    </row>
    <row r="50" spans="1:24" ht="15" customHeight="1" thickBot="1" x14ac:dyDescent="0.35">
      <c r="A50" s="38">
        <v>43470.70208333333</v>
      </c>
      <c r="B50" s="39">
        <v>141281</v>
      </c>
      <c r="C50" s="36" t="s">
        <v>111</v>
      </c>
      <c r="D50" s="17">
        <v>8250000000000</v>
      </c>
      <c r="E50" s="16" t="s">
        <v>130</v>
      </c>
      <c r="F50" s="17">
        <v>1</v>
      </c>
      <c r="G50" s="18">
        <v>14.95</v>
      </c>
      <c r="H50" s="17">
        <v>7.4749999999999996</v>
      </c>
      <c r="I50" s="18">
        <v>14.95</v>
      </c>
      <c r="J50" s="18">
        <v>7.4749999999999996</v>
      </c>
      <c r="K50" s="37" t="str">
        <f t="shared" si="0"/>
        <v>Inexpensive</v>
      </c>
      <c r="L50" s="37"/>
      <c r="N50" s="37"/>
      <c r="O50" s="37"/>
      <c r="P50" s="37"/>
      <c r="Q50" s="37"/>
      <c r="R50" s="37"/>
      <c r="S50" s="37"/>
      <c r="T50" s="37"/>
      <c r="V50"/>
      <c r="X50"/>
    </row>
    <row r="51" spans="1:24" ht="15" customHeight="1" thickBot="1" x14ac:dyDescent="0.35">
      <c r="A51" s="38">
        <v>43476.756944444445</v>
      </c>
      <c r="B51" s="39">
        <v>141282</v>
      </c>
      <c r="C51" s="36" t="s">
        <v>121</v>
      </c>
      <c r="D51" s="17">
        <v>7520000000000</v>
      </c>
      <c r="E51" s="16" t="s">
        <v>130</v>
      </c>
      <c r="F51" s="17">
        <v>1</v>
      </c>
      <c r="G51" s="18">
        <v>400</v>
      </c>
      <c r="H51" s="17">
        <v>132</v>
      </c>
      <c r="I51" s="18">
        <v>400</v>
      </c>
      <c r="J51" s="18">
        <v>268</v>
      </c>
      <c r="K51" s="37" t="str">
        <f t="shared" si="0"/>
        <v>Inexpensive</v>
      </c>
      <c r="L51" s="37"/>
      <c r="N51" s="37"/>
      <c r="O51" s="37"/>
      <c r="P51" s="37"/>
      <c r="Q51" s="37"/>
      <c r="R51" s="37"/>
      <c r="S51" s="37"/>
      <c r="T51" s="37"/>
      <c r="V51"/>
      <c r="X51"/>
    </row>
    <row r="52" spans="1:24" ht="15" customHeight="1" thickBot="1" x14ac:dyDescent="0.35">
      <c r="A52" s="38">
        <v>43467.677777777775</v>
      </c>
      <c r="B52" s="39">
        <v>141283</v>
      </c>
      <c r="C52" s="36" t="s">
        <v>120</v>
      </c>
      <c r="D52" s="17">
        <v>8630000000000</v>
      </c>
      <c r="E52" s="16" t="s">
        <v>132</v>
      </c>
      <c r="F52" s="17">
        <v>1</v>
      </c>
      <c r="G52" s="18">
        <v>300</v>
      </c>
      <c r="H52" s="17">
        <v>99</v>
      </c>
      <c r="I52" s="18">
        <v>300</v>
      </c>
      <c r="J52" s="18">
        <v>201</v>
      </c>
      <c r="K52" s="37" t="str">
        <f t="shared" si="0"/>
        <v>Inexpensive</v>
      </c>
      <c r="L52" s="37"/>
      <c r="N52" s="37"/>
      <c r="O52" s="37"/>
      <c r="P52" s="37"/>
      <c r="Q52" s="37"/>
      <c r="R52" s="37"/>
      <c r="S52" s="37"/>
      <c r="T52" s="37"/>
      <c r="V52"/>
      <c r="X52"/>
    </row>
    <row r="53" spans="1:24" ht="15" customHeight="1" thickBot="1" x14ac:dyDescent="0.35">
      <c r="A53" s="38">
        <v>43494.770833333336</v>
      </c>
      <c r="B53" s="39">
        <v>141284</v>
      </c>
      <c r="C53" s="36" t="s">
        <v>112</v>
      </c>
      <c r="D53" s="17">
        <v>8510000000000</v>
      </c>
      <c r="E53" s="16" t="s">
        <v>131</v>
      </c>
      <c r="F53" s="17">
        <v>1</v>
      </c>
      <c r="G53" s="18">
        <v>11.99</v>
      </c>
      <c r="H53" s="17">
        <v>5.9950000000000001</v>
      </c>
      <c r="I53" s="18">
        <v>11.99</v>
      </c>
      <c r="J53" s="18">
        <v>5.9950000000000001</v>
      </c>
      <c r="K53" s="37" t="str">
        <f t="shared" si="0"/>
        <v>Inexpensive</v>
      </c>
      <c r="L53" s="37"/>
      <c r="N53" s="37"/>
      <c r="O53" s="37"/>
      <c r="P53" s="37"/>
      <c r="Q53" s="37"/>
      <c r="R53" s="37"/>
      <c r="S53" s="37"/>
      <c r="T53" s="37"/>
      <c r="V53"/>
      <c r="X53"/>
    </row>
    <row r="54" spans="1:24" ht="15" customHeight="1" thickBot="1" x14ac:dyDescent="0.35">
      <c r="A54" s="38">
        <v>43479.592361111114</v>
      </c>
      <c r="B54" s="39">
        <v>141285</v>
      </c>
      <c r="C54" s="36" t="s">
        <v>114</v>
      </c>
      <c r="D54" s="17">
        <v>2480000000000</v>
      </c>
      <c r="E54" s="16" t="s">
        <v>131</v>
      </c>
      <c r="F54" s="17">
        <v>3</v>
      </c>
      <c r="G54" s="18">
        <v>2.99</v>
      </c>
      <c r="H54" s="17">
        <v>1.4950000000000001</v>
      </c>
      <c r="I54" s="18">
        <v>8.9700000000000006</v>
      </c>
      <c r="J54" s="18">
        <v>4.4850000000000003</v>
      </c>
      <c r="K54" s="37" t="str">
        <f t="shared" si="0"/>
        <v>Inexpensive</v>
      </c>
      <c r="L54" s="37"/>
      <c r="N54" s="37"/>
      <c r="O54" s="37"/>
      <c r="P54" s="37"/>
      <c r="Q54" s="37"/>
      <c r="R54" s="37"/>
      <c r="S54" s="37"/>
      <c r="T54" s="37"/>
      <c r="V54"/>
      <c r="X54"/>
    </row>
    <row r="55" spans="1:24" ht="15" customHeight="1" thickBot="1" x14ac:dyDescent="0.35">
      <c r="A55" s="38">
        <v>43467.856249999997</v>
      </c>
      <c r="B55" s="39">
        <v>141286</v>
      </c>
      <c r="C55" s="36" t="s">
        <v>115</v>
      </c>
      <c r="D55" s="17">
        <v>3430000000000</v>
      </c>
      <c r="E55" s="16" t="s">
        <v>131</v>
      </c>
      <c r="F55" s="17">
        <v>1</v>
      </c>
      <c r="G55" s="18">
        <v>389.99</v>
      </c>
      <c r="H55" s="17">
        <v>128.69669999999999</v>
      </c>
      <c r="I55" s="18">
        <v>389.99</v>
      </c>
      <c r="J55" s="18">
        <v>261.29329999999999</v>
      </c>
      <c r="K55" s="37" t="str">
        <f t="shared" si="0"/>
        <v>Inexpensive</v>
      </c>
      <c r="L55" s="37"/>
      <c r="N55" s="37"/>
      <c r="O55" s="37"/>
      <c r="P55" s="37"/>
      <c r="Q55" s="37"/>
      <c r="R55" s="37"/>
      <c r="S55" s="37"/>
      <c r="T55" s="37"/>
      <c r="V55"/>
      <c r="X55"/>
    </row>
    <row r="56" spans="1:24" ht="15" customHeight="1" thickBot="1" x14ac:dyDescent="0.35">
      <c r="A56" s="38">
        <v>43496.359722222223</v>
      </c>
      <c r="B56" s="39">
        <v>141287</v>
      </c>
      <c r="C56" s="36" t="s">
        <v>117</v>
      </c>
      <c r="D56" s="17">
        <v>8930000000000</v>
      </c>
      <c r="E56" s="16" t="s">
        <v>132</v>
      </c>
      <c r="F56" s="17">
        <v>1</v>
      </c>
      <c r="G56" s="18">
        <v>99.99</v>
      </c>
      <c r="H56" s="17">
        <v>49.994999999999997</v>
      </c>
      <c r="I56" s="18">
        <v>99.99</v>
      </c>
      <c r="J56" s="18">
        <v>49.994999999999997</v>
      </c>
      <c r="K56" s="37" t="str">
        <f t="shared" si="0"/>
        <v>Inexpensive</v>
      </c>
      <c r="L56" s="37"/>
      <c r="N56" s="37"/>
      <c r="O56" s="37"/>
      <c r="P56" s="37"/>
      <c r="Q56" s="37"/>
      <c r="R56" s="37"/>
      <c r="S56" s="37"/>
      <c r="T56" s="37"/>
      <c r="V56"/>
      <c r="X56"/>
    </row>
    <row r="57" spans="1:24" ht="15" customHeight="1" thickBot="1" x14ac:dyDescent="0.35">
      <c r="A57" s="38">
        <v>43484.345138888886</v>
      </c>
      <c r="B57" s="39">
        <v>141288</v>
      </c>
      <c r="C57" s="36" t="s">
        <v>119</v>
      </c>
      <c r="D57" s="17">
        <v>3960000000000</v>
      </c>
      <c r="E57" s="16" t="s">
        <v>132</v>
      </c>
      <c r="F57" s="17">
        <v>1</v>
      </c>
      <c r="G57" s="18">
        <v>1700</v>
      </c>
      <c r="H57" s="17">
        <v>561</v>
      </c>
      <c r="I57" s="18">
        <v>1700</v>
      </c>
      <c r="J57" s="18">
        <v>1139</v>
      </c>
      <c r="K57" s="37" t="str">
        <f t="shared" si="0"/>
        <v>Expensive</v>
      </c>
      <c r="L57" s="37"/>
      <c r="N57" s="37"/>
      <c r="O57" s="37"/>
      <c r="P57" s="37"/>
      <c r="Q57" s="37"/>
      <c r="R57" s="37"/>
      <c r="S57" s="37"/>
      <c r="T57" s="37"/>
      <c r="V57"/>
      <c r="X57"/>
    </row>
    <row r="58" spans="1:24" ht="15" customHeight="1" thickBot="1" x14ac:dyDescent="0.35">
      <c r="A58" s="38">
        <v>43493.470138888886</v>
      </c>
      <c r="B58" s="39">
        <v>141289</v>
      </c>
      <c r="C58" s="36" t="s">
        <v>124</v>
      </c>
      <c r="D58" s="17">
        <v>1330000000000</v>
      </c>
      <c r="E58" s="16" t="s">
        <v>130</v>
      </c>
      <c r="F58" s="17">
        <v>1</v>
      </c>
      <c r="G58" s="18">
        <v>109.99</v>
      </c>
      <c r="H58" s="17">
        <v>71.493499999999997</v>
      </c>
      <c r="I58" s="18">
        <v>109.99</v>
      </c>
      <c r="J58" s="18">
        <v>38.496499999999997</v>
      </c>
      <c r="K58" s="37" t="str">
        <f t="shared" si="0"/>
        <v>Inexpensive</v>
      </c>
      <c r="L58" s="37"/>
      <c r="N58" s="37"/>
      <c r="O58" s="37"/>
      <c r="P58" s="37"/>
      <c r="Q58" s="37"/>
      <c r="R58" s="37"/>
      <c r="S58" s="37"/>
      <c r="T58" s="37"/>
      <c r="V58"/>
      <c r="X58"/>
    </row>
    <row r="59" spans="1:24" ht="15" customHeight="1" thickBot="1" x14ac:dyDescent="0.35">
      <c r="A59" s="38">
        <v>43467.350694444445</v>
      </c>
      <c r="B59" s="40">
        <v>141290</v>
      </c>
      <c r="C59" s="36" t="s">
        <v>122</v>
      </c>
      <c r="D59" s="17">
        <v>5540000000000</v>
      </c>
      <c r="E59" s="16" t="s">
        <v>130</v>
      </c>
      <c r="F59" s="17">
        <v>3</v>
      </c>
      <c r="G59" s="18">
        <v>3.84</v>
      </c>
      <c r="H59" s="17">
        <v>1.92</v>
      </c>
      <c r="I59" s="18">
        <v>11.52</v>
      </c>
      <c r="J59" s="18">
        <v>5.76</v>
      </c>
      <c r="K59" s="37" t="str">
        <f t="shared" si="0"/>
        <v>Inexpensive</v>
      </c>
      <c r="L59" s="37"/>
      <c r="N59" s="37"/>
      <c r="O59" s="37"/>
      <c r="P59" s="37"/>
      <c r="Q59" s="37"/>
      <c r="R59" s="37"/>
      <c r="S59" s="37"/>
      <c r="T59" s="37"/>
      <c r="V59"/>
      <c r="X59"/>
    </row>
    <row r="60" spans="1:24" ht="15" customHeight="1" thickBot="1" x14ac:dyDescent="0.35">
      <c r="A60" s="38">
        <v>43467.350694444445</v>
      </c>
      <c r="B60" s="40">
        <v>141290</v>
      </c>
      <c r="C60" s="36" t="s">
        <v>118</v>
      </c>
      <c r="D60" s="17">
        <v>9390000000000</v>
      </c>
      <c r="E60" s="16" t="s">
        <v>131</v>
      </c>
      <c r="F60" s="17">
        <v>1</v>
      </c>
      <c r="G60" s="18">
        <v>150</v>
      </c>
      <c r="H60" s="17">
        <v>97.5</v>
      </c>
      <c r="I60" s="18">
        <v>150</v>
      </c>
      <c r="J60" s="18">
        <v>52.5</v>
      </c>
      <c r="K60" s="37" t="str">
        <f t="shared" si="0"/>
        <v>Inexpensive</v>
      </c>
      <c r="L60" s="37"/>
      <c r="N60" s="37"/>
      <c r="O60" s="37"/>
      <c r="P60" s="37"/>
      <c r="Q60" s="37"/>
      <c r="R60" s="37"/>
      <c r="S60" s="37"/>
      <c r="T60" s="37"/>
      <c r="V60"/>
      <c r="X60"/>
    </row>
    <row r="61" spans="1:24" ht="15" customHeight="1" thickBot="1" x14ac:dyDescent="0.35">
      <c r="A61" s="38">
        <v>43491.757638888892</v>
      </c>
      <c r="B61" s="39">
        <v>141291</v>
      </c>
      <c r="C61" s="36" t="s">
        <v>122</v>
      </c>
      <c r="D61" s="17">
        <v>9990000000000</v>
      </c>
      <c r="E61" s="16" t="s">
        <v>132</v>
      </c>
      <c r="F61" s="17">
        <v>1</v>
      </c>
      <c r="G61" s="18">
        <v>3.84</v>
      </c>
      <c r="H61" s="17">
        <v>1.92</v>
      </c>
      <c r="I61" s="18">
        <v>3.84</v>
      </c>
      <c r="J61" s="18">
        <v>1.92</v>
      </c>
      <c r="K61" s="37" t="str">
        <f t="shared" si="0"/>
        <v>Inexpensive</v>
      </c>
      <c r="L61" s="37"/>
      <c r="N61" s="37"/>
      <c r="O61" s="37"/>
      <c r="P61" s="37"/>
      <c r="Q61" s="37"/>
      <c r="R61" s="37"/>
      <c r="S61" s="37"/>
      <c r="T61" s="37"/>
      <c r="V61"/>
      <c r="X61"/>
    </row>
    <row r="62" spans="1:24" ht="15" customHeight="1" thickBot="1" x14ac:dyDescent="0.35">
      <c r="A62" s="38">
        <v>43486.365277777775</v>
      </c>
      <c r="B62" s="39">
        <v>141292</v>
      </c>
      <c r="C62" s="36" t="s">
        <v>114</v>
      </c>
      <c r="D62" s="17">
        <v>4810000000000</v>
      </c>
      <c r="E62" s="16" t="s">
        <v>130</v>
      </c>
      <c r="F62" s="17">
        <v>1</v>
      </c>
      <c r="G62" s="18">
        <v>2.99</v>
      </c>
      <c r="H62" s="17">
        <v>1.4950000000000001</v>
      </c>
      <c r="I62" s="18">
        <v>2.99</v>
      </c>
      <c r="J62" s="18">
        <v>1.4950000000000001</v>
      </c>
      <c r="K62" s="37" t="str">
        <f t="shared" si="0"/>
        <v>Inexpensive</v>
      </c>
      <c r="L62" s="37"/>
      <c r="N62" s="37"/>
      <c r="O62" s="37"/>
      <c r="P62" s="37"/>
      <c r="Q62" s="37"/>
      <c r="R62" s="37"/>
      <c r="S62" s="37"/>
      <c r="T62" s="37"/>
      <c r="V62"/>
      <c r="X62"/>
    </row>
    <row r="63" spans="1:24" ht="15" customHeight="1" thickBot="1" x14ac:dyDescent="0.35">
      <c r="A63" s="38">
        <v>43483.51458333333</v>
      </c>
      <c r="B63" s="39">
        <v>141293</v>
      </c>
      <c r="C63" s="36" t="s">
        <v>116</v>
      </c>
      <c r="D63" s="17">
        <v>3600000000000</v>
      </c>
      <c r="E63" s="16" t="s">
        <v>130</v>
      </c>
      <c r="F63" s="17">
        <v>1</v>
      </c>
      <c r="G63" s="18">
        <v>11.95</v>
      </c>
      <c r="H63" s="17">
        <v>5.9749999999999996</v>
      </c>
      <c r="I63" s="18">
        <v>11.95</v>
      </c>
      <c r="J63" s="18">
        <v>5.9749999999999996</v>
      </c>
      <c r="K63" s="37" t="str">
        <f t="shared" si="0"/>
        <v>Inexpensive</v>
      </c>
      <c r="L63" s="37"/>
      <c r="N63" s="37"/>
      <c r="O63" s="37"/>
      <c r="P63" s="37"/>
      <c r="Q63" s="37"/>
      <c r="R63" s="37"/>
      <c r="S63" s="37"/>
      <c r="T63" s="37"/>
      <c r="V63"/>
      <c r="X63"/>
    </row>
    <row r="64" spans="1:24" ht="15" customHeight="1" thickBot="1" x14ac:dyDescent="0.35">
      <c r="A64" s="38">
        <v>43490.341666666667</v>
      </c>
      <c r="B64" s="39">
        <v>141294</v>
      </c>
      <c r="C64" s="36" t="s">
        <v>117</v>
      </c>
      <c r="D64" s="17">
        <v>4880000000000</v>
      </c>
      <c r="E64" s="16" t="s">
        <v>131</v>
      </c>
      <c r="F64" s="17">
        <v>1</v>
      </c>
      <c r="G64" s="18">
        <v>99.99</v>
      </c>
      <c r="H64" s="17">
        <v>49.994999999999997</v>
      </c>
      <c r="I64" s="18">
        <v>99.99</v>
      </c>
      <c r="J64" s="18">
        <v>49.994999999999997</v>
      </c>
      <c r="K64" s="37" t="str">
        <f t="shared" si="0"/>
        <v>Inexpensive</v>
      </c>
      <c r="L64" s="37"/>
      <c r="N64" s="37"/>
      <c r="O64" s="37"/>
      <c r="P64" s="37"/>
      <c r="Q64" s="37"/>
      <c r="R64" s="37"/>
      <c r="S64" s="37"/>
      <c r="T64" s="37"/>
      <c r="V64"/>
      <c r="X64"/>
    </row>
    <row r="65" spans="1:24" ht="15" customHeight="1" thickBot="1" x14ac:dyDescent="0.35">
      <c r="A65" s="38">
        <v>43471.837500000001</v>
      </c>
      <c r="B65" s="39">
        <v>141295</v>
      </c>
      <c r="C65" s="36" t="s">
        <v>122</v>
      </c>
      <c r="D65" s="17">
        <v>1280000000000</v>
      </c>
      <c r="E65" s="16" t="s">
        <v>131</v>
      </c>
      <c r="F65" s="17">
        <v>1</v>
      </c>
      <c r="G65" s="18">
        <v>3.84</v>
      </c>
      <c r="H65" s="17">
        <v>1.92</v>
      </c>
      <c r="I65" s="18">
        <v>3.84</v>
      </c>
      <c r="J65" s="18">
        <v>1.92</v>
      </c>
      <c r="K65" s="37" t="str">
        <f t="shared" si="0"/>
        <v>Inexpensive</v>
      </c>
      <c r="L65" s="37"/>
      <c r="N65" s="37"/>
      <c r="O65" s="37"/>
      <c r="P65" s="37"/>
      <c r="Q65" s="37"/>
      <c r="R65" s="37"/>
      <c r="S65" s="37"/>
      <c r="T65" s="37"/>
      <c r="V65"/>
      <c r="X65"/>
    </row>
    <row r="66" spans="1:24" ht="15" customHeight="1" thickBot="1" x14ac:dyDescent="0.35">
      <c r="A66" s="38">
        <v>43485.01458333333</v>
      </c>
      <c r="B66" s="39">
        <v>141296</v>
      </c>
      <c r="C66" s="36" t="s">
        <v>116</v>
      </c>
      <c r="D66" s="17">
        <v>9560000000000</v>
      </c>
      <c r="E66" s="16" t="s">
        <v>132</v>
      </c>
      <c r="F66" s="17">
        <v>1</v>
      </c>
      <c r="G66" s="18">
        <v>11.95</v>
      </c>
      <c r="H66" s="17">
        <v>5.9749999999999996</v>
      </c>
      <c r="I66" s="18">
        <v>11.95</v>
      </c>
      <c r="J66" s="18">
        <v>5.9749999999999996</v>
      </c>
      <c r="K66" s="37" t="str">
        <f t="shared" si="0"/>
        <v>Inexpensive</v>
      </c>
      <c r="L66" s="37"/>
      <c r="N66" s="37"/>
      <c r="O66" s="37"/>
      <c r="P66" s="37"/>
      <c r="Q66" s="37"/>
      <c r="R66" s="37"/>
      <c r="S66" s="37"/>
      <c r="T66" s="37"/>
      <c r="V66"/>
      <c r="X66"/>
    </row>
    <row r="67" spans="1:24" ht="15" customHeight="1" thickBot="1" x14ac:dyDescent="0.35">
      <c r="A67" s="38">
        <v>43469.464583333334</v>
      </c>
      <c r="B67" s="39">
        <v>141297</v>
      </c>
      <c r="C67" s="36" t="s">
        <v>111</v>
      </c>
      <c r="D67" s="17">
        <v>3240000000000</v>
      </c>
      <c r="E67" s="16" t="s">
        <v>132</v>
      </c>
      <c r="F67" s="17">
        <v>1</v>
      </c>
      <c r="G67" s="18">
        <v>14.95</v>
      </c>
      <c r="H67" s="17">
        <v>7.4749999999999996</v>
      </c>
      <c r="I67" s="18">
        <v>14.95</v>
      </c>
      <c r="J67" s="18">
        <v>7.4749999999999996</v>
      </c>
      <c r="K67" s="37" t="str">
        <f t="shared" ref="K67:K130" si="3">IF(G67&gt;=700,"Expensive","Inexpensive")</f>
        <v>Inexpensive</v>
      </c>
      <c r="L67" s="37"/>
      <c r="N67" s="37"/>
      <c r="O67" s="37"/>
      <c r="P67" s="37"/>
      <c r="Q67" s="37"/>
      <c r="R67" s="37"/>
      <c r="S67" s="37"/>
      <c r="T67" s="37"/>
      <c r="V67"/>
      <c r="X67"/>
    </row>
    <row r="68" spans="1:24" ht="15" customHeight="1" thickBot="1" x14ac:dyDescent="0.35">
      <c r="A68" s="38">
        <v>43486.558333333334</v>
      </c>
      <c r="B68" s="39">
        <v>141298</v>
      </c>
      <c r="C68" s="36" t="s">
        <v>111</v>
      </c>
      <c r="D68" s="17">
        <v>3940000000000</v>
      </c>
      <c r="E68" s="16" t="s">
        <v>131</v>
      </c>
      <c r="F68" s="17">
        <v>1</v>
      </c>
      <c r="G68" s="18">
        <v>14.95</v>
      </c>
      <c r="H68" s="17">
        <v>7.4749999999999996</v>
      </c>
      <c r="I68" s="18">
        <v>14.95</v>
      </c>
      <c r="J68" s="18">
        <v>7.4749999999999996</v>
      </c>
      <c r="K68" s="37" t="str">
        <f t="shared" si="3"/>
        <v>Inexpensive</v>
      </c>
      <c r="L68" s="37"/>
      <c r="N68" s="37"/>
      <c r="O68" s="37"/>
      <c r="P68" s="37"/>
      <c r="Q68" s="37"/>
      <c r="R68" s="37"/>
      <c r="S68" s="37"/>
      <c r="T68" s="37"/>
      <c r="V68"/>
      <c r="X68"/>
    </row>
    <row r="69" spans="1:24" ht="15" customHeight="1" thickBot="1" x14ac:dyDescent="0.35">
      <c r="A69" s="38">
        <v>43496.974305555559</v>
      </c>
      <c r="B69" s="39">
        <v>141299</v>
      </c>
      <c r="C69" s="36" t="s">
        <v>114</v>
      </c>
      <c r="D69" s="17">
        <v>3020000000000</v>
      </c>
      <c r="E69" s="16" t="s">
        <v>132</v>
      </c>
      <c r="F69" s="17">
        <v>1</v>
      </c>
      <c r="G69" s="18">
        <v>2.99</v>
      </c>
      <c r="H69" s="17">
        <v>1.4950000000000001</v>
      </c>
      <c r="I69" s="18">
        <v>2.99</v>
      </c>
      <c r="J69" s="18">
        <v>1.4950000000000001</v>
      </c>
      <c r="K69" s="37" t="str">
        <f t="shared" si="3"/>
        <v>Inexpensive</v>
      </c>
      <c r="L69" s="37"/>
      <c r="N69" s="37"/>
      <c r="O69" s="37"/>
      <c r="P69" s="37"/>
      <c r="Q69" s="37"/>
      <c r="R69" s="37"/>
      <c r="S69" s="37"/>
      <c r="T69" s="37"/>
      <c r="V69"/>
      <c r="X69"/>
    </row>
    <row r="70" spans="1:24" ht="15" customHeight="1" thickBot="1" x14ac:dyDescent="0.35">
      <c r="A70" s="38">
        <v>43488.431250000001</v>
      </c>
      <c r="B70" s="39">
        <v>141300</v>
      </c>
      <c r="C70" s="36" t="s">
        <v>118</v>
      </c>
      <c r="D70" s="17">
        <v>8900000000000</v>
      </c>
      <c r="E70" s="16" t="s">
        <v>130</v>
      </c>
      <c r="F70" s="17">
        <v>1</v>
      </c>
      <c r="G70" s="18">
        <v>150</v>
      </c>
      <c r="H70" s="17">
        <v>97.5</v>
      </c>
      <c r="I70" s="18">
        <v>150</v>
      </c>
      <c r="J70" s="18">
        <v>52.5</v>
      </c>
      <c r="K70" s="37" t="str">
        <f t="shared" si="3"/>
        <v>Inexpensive</v>
      </c>
      <c r="L70" s="37"/>
      <c r="N70" s="37"/>
      <c r="O70" s="37"/>
      <c r="P70" s="37"/>
      <c r="Q70" s="37"/>
      <c r="R70" s="37"/>
      <c r="S70" s="37"/>
      <c r="T70" s="37"/>
      <c r="V70"/>
      <c r="X70"/>
    </row>
    <row r="71" spans="1:24" ht="15" customHeight="1" thickBot="1" x14ac:dyDescent="0.35">
      <c r="A71" s="38">
        <v>43492.498611111114</v>
      </c>
      <c r="B71" s="39">
        <v>141301</v>
      </c>
      <c r="C71" s="36" t="s">
        <v>118</v>
      </c>
      <c r="D71" s="17">
        <v>8600000000000</v>
      </c>
      <c r="E71" s="16" t="s">
        <v>132</v>
      </c>
      <c r="F71" s="17">
        <v>1</v>
      </c>
      <c r="G71" s="18">
        <v>150</v>
      </c>
      <c r="H71" s="17">
        <v>97.5</v>
      </c>
      <c r="I71" s="18">
        <v>150</v>
      </c>
      <c r="J71" s="18">
        <v>52.5</v>
      </c>
      <c r="K71" s="37" t="str">
        <f t="shared" si="3"/>
        <v>Inexpensive</v>
      </c>
      <c r="L71" s="37"/>
      <c r="N71" s="37"/>
      <c r="O71" s="37"/>
      <c r="P71" s="37"/>
      <c r="Q71" s="37"/>
      <c r="R71" s="37"/>
      <c r="S71" s="37"/>
      <c r="T71" s="37"/>
      <c r="V71"/>
      <c r="X71"/>
    </row>
    <row r="72" spans="1:24" ht="15" customHeight="1" thickBot="1" x14ac:dyDescent="0.35">
      <c r="A72" s="38">
        <v>43483.841666666667</v>
      </c>
      <c r="B72" s="39">
        <v>141302</v>
      </c>
      <c r="C72" s="36" t="s">
        <v>114</v>
      </c>
      <c r="D72" s="17">
        <v>5740000000000</v>
      </c>
      <c r="E72" s="16" t="s">
        <v>131</v>
      </c>
      <c r="F72" s="17">
        <v>2</v>
      </c>
      <c r="G72" s="18">
        <v>2.99</v>
      </c>
      <c r="H72" s="17">
        <v>1.4950000000000001</v>
      </c>
      <c r="I72" s="18">
        <v>5.98</v>
      </c>
      <c r="J72" s="18">
        <v>2.99</v>
      </c>
      <c r="K72" s="37" t="str">
        <f t="shared" si="3"/>
        <v>Inexpensive</v>
      </c>
      <c r="L72" s="37"/>
      <c r="N72" s="37"/>
      <c r="O72" s="37"/>
      <c r="P72" s="37"/>
      <c r="Q72" s="37"/>
      <c r="R72" s="37"/>
      <c r="S72" s="37"/>
      <c r="T72" s="37"/>
      <c r="V72"/>
      <c r="X72"/>
    </row>
    <row r="73" spans="1:24" ht="15" customHeight="1" thickBot="1" x14ac:dyDescent="0.35">
      <c r="A73" s="38">
        <v>43484.390972222223</v>
      </c>
      <c r="B73" s="39">
        <v>141303</v>
      </c>
      <c r="C73" s="36" t="s">
        <v>122</v>
      </c>
      <c r="D73" s="17">
        <v>3990000000000</v>
      </c>
      <c r="E73" s="16" t="s">
        <v>130</v>
      </c>
      <c r="F73" s="17">
        <v>1</v>
      </c>
      <c r="G73" s="18">
        <v>3.84</v>
      </c>
      <c r="H73" s="17">
        <v>1.92</v>
      </c>
      <c r="I73" s="18">
        <v>3.84</v>
      </c>
      <c r="J73" s="18">
        <v>1.92</v>
      </c>
      <c r="K73" s="37" t="str">
        <f t="shared" si="3"/>
        <v>Inexpensive</v>
      </c>
      <c r="L73" s="37"/>
      <c r="N73" s="37"/>
      <c r="O73" s="37"/>
      <c r="P73" s="37"/>
      <c r="Q73" s="37"/>
      <c r="R73" s="37"/>
      <c r="S73" s="37"/>
      <c r="T73" s="37"/>
      <c r="V73"/>
      <c r="X73"/>
    </row>
    <row r="74" spans="1:24" ht="15" customHeight="1" thickBot="1" x14ac:dyDescent="0.35">
      <c r="A74" s="38">
        <v>43493.548611111109</v>
      </c>
      <c r="B74" s="39">
        <v>141304</v>
      </c>
      <c r="C74" s="36" t="s">
        <v>116</v>
      </c>
      <c r="D74" s="17">
        <v>2800000000000</v>
      </c>
      <c r="E74" s="16" t="s">
        <v>131</v>
      </c>
      <c r="F74" s="17">
        <v>1</v>
      </c>
      <c r="G74" s="18">
        <v>11.95</v>
      </c>
      <c r="H74" s="17">
        <v>5.9749999999999996</v>
      </c>
      <c r="I74" s="18">
        <v>11.95</v>
      </c>
      <c r="J74" s="18">
        <v>5.9749999999999996</v>
      </c>
      <c r="K74" s="37" t="str">
        <f t="shared" si="3"/>
        <v>Inexpensive</v>
      </c>
      <c r="L74" s="37"/>
      <c r="N74" s="37"/>
      <c r="O74" s="37"/>
      <c r="P74" s="37"/>
      <c r="Q74" s="37"/>
      <c r="R74" s="37"/>
      <c r="S74" s="37"/>
      <c r="T74" s="37"/>
      <c r="V74"/>
      <c r="X74"/>
    </row>
    <row r="75" spans="1:24" ht="15" customHeight="1" thickBot="1" x14ac:dyDescent="0.35">
      <c r="A75" s="38">
        <v>43492.70208333333</v>
      </c>
      <c r="B75" s="39">
        <v>141305</v>
      </c>
      <c r="C75" s="36" t="s">
        <v>114</v>
      </c>
      <c r="D75" s="17">
        <v>9990000000000</v>
      </c>
      <c r="E75" s="16" t="s">
        <v>130</v>
      </c>
      <c r="F75" s="17">
        <v>3</v>
      </c>
      <c r="G75" s="18">
        <v>2.99</v>
      </c>
      <c r="H75" s="17">
        <v>1.4950000000000001</v>
      </c>
      <c r="I75" s="18">
        <v>8.9700000000000006</v>
      </c>
      <c r="J75" s="18">
        <v>4.4850000000000003</v>
      </c>
      <c r="K75" s="37" t="str">
        <f t="shared" si="3"/>
        <v>Inexpensive</v>
      </c>
      <c r="L75" s="37"/>
      <c r="N75" s="37"/>
      <c r="O75" s="37"/>
      <c r="P75" s="37"/>
      <c r="Q75" s="37"/>
      <c r="R75" s="37"/>
      <c r="S75" s="37"/>
      <c r="T75" s="37"/>
      <c r="V75"/>
      <c r="X75"/>
    </row>
    <row r="76" spans="1:24" ht="15" customHeight="1" thickBot="1" x14ac:dyDescent="0.35">
      <c r="A76" s="38">
        <v>43484.434027777781</v>
      </c>
      <c r="B76" s="39">
        <v>141306</v>
      </c>
      <c r="C76" s="36" t="s">
        <v>112</v>
      </c>
      <c r="D76" s="17">
        <v>1740000000000</v>
      </c>
      <c r="E76" s="16" t="s">
        <v>130</v>
      </c>
      <c r="F76" s="17">
        <v>1</v>
      </c>
      <c r="G76" s="18">
        <v>11.99</v>
      </c>
      <c r="H76" s="17">
        <v>5.9950000000000001</v>
      </c>
      <c r="I76" s="18">
        <v>11.99</v>
      </c>
      <c r="J76" s="18">
        <v>5.9950000000000001</v>
      </c>
      <c r="K76" s="37" t="str">
        <f t="shared" si="3"/>
        <v>Inexpensive</v>
      </c>
      <c r="L76" s="37"/>
      <c r="N76" s="37"/>
      <c r="O76" s="37"/>
      <c r="P76" s="37"/>
      <c r="Q76" s="37"/>
      <c r="R76" s="37"/>
      <c r="S76" s="37"/>
      <c r="T76" s="37"/>
      <c r="V76"/>
      <c r="X76"/>
    </row>
    <row r="77" spans="1:24" ht="15" customHeight="1" thickBot="1" x14ac:dyDescent="0.35">
      <c r="A77" s="38">
        <v>43476.470833333333</v>
      </c>
      <c r="B77" s="39">
        <v>141307</v>
      </c>
      <c r="C77" s="36" t="s">
        <v>114</v>
      </c>
      <c r="D77" s="17">
        <v>3740000000000</v>
      </c>
      <c r="E77" s="16" t="s">
        <v>132</v>
      </c>
      <c r="F77" s="17">
        <v>1</v>
      </c>
      <c r="G77" s="18">
        <v>2.99</v>
      </c>
      <c r="H77" s="17">
        <v>1.4950000000000001</v>
      </c>
      <c r="I77" s="18">
        <v>2.99</v>
      </c>
      <c r="J77" s="18">
        <v>1.4950000000000001</v>
      </c>
      <c r="K77" s="37" t="str">
        <f t="shared" si="3"/>
        <v>Inexpensive</v>
      </c>
      <c r="L77" s="37"/>
      <c r="N77" s="37"/>
      <c r="O77" s="37"/>
      <c r="P77" s="37"/>
      <c r="Q77" s="37"/>
      <c r="R77" s="37"/>
      <c r="S77" s="37"/>
      <c r="T77" s="37"/>
      <c r="V77"/>
      <c r="X77"/>
    </row>
    <row r="78" spans="1:24" ht="15" customHeight="1" thickBot="1" x14ac:dyDescent="0.35">
      <c r="A78" s="38">
        <v>43477.5</v>
      </c>
      <c r="B78" s="39">
        <v>141308</v>
      </c>
      <c r="C78" s="36" t="s">
        <v>113</v>
      </c>
      <c r="D78" s="17">
        <v>2440000000000</v>
      </c>
      <c r="E78" s="16" t="s">
        <v>132</v>
      </c>
      <c r="F78" s="17">
        <v>1</v>
      </c>
      <c r="G78" s="18">
        <v>149.99</v>
      </c>
      <c r="H78" s="17">
        <v>97.493499999999997</v>
      </c>
      <c r="I78" s="18">
        <v>149.99</v>
      </c>
      <c r="J78" s="18">
        <v>52.496499999999997</v>
      </c>
      <c r="K78" s="37" t="str">
        <f t="shared" si="3"/>
        <v>Inexpensive</v>
      </c>
      <c r="L78" s="37"/>
      <c r="N78" s="37"/>
      <c r="O78" s="37"/>
      <c r="P78" s="37"/>
      <c r="Q78" s="37"/>
      <c r="R78" s="37"/>
      <c r="S78" s="37"/>
      <c r="T78" s="37"/>
      <c r="V78"/>
      <c r="X78"/>
    </row>
    <row r="79" spans="1:24" ht="15" customHeight="1" thickBot="1" x14ac:dyDescent="0.35">
      <c r="A79" s="38">
        <v>43485.293055555558</v>
      </c>
      <c r="B79" s="39">
        <v>141309</v>
      </c>
      <c r="C79" s="36" t="s">
        <v>114</v>
      </c>
      <c r="D79" s="17">
        <v>3790000000000</v>
      </c>
      <c r="E79" s="16" t="s">
        <v>131</v>
      </c>
      <c r="F79" s="17">
        <v>2</v>
      </c>
      <c r="G79" s="18">
        <v>2.99</v>
      </c>
      <c r="H79" s="17">
        <v>1.4950000000000001</v>
      </c>
      <c r="I79" s="18">
        <v>5.98</v>
      </c>
      <c r="J79" s="18">
        <v>2.99</v>
      </c>
      <c r="K79" s="37" t="str">
        <f t="shared" si="3"/>
        <v>Inexpensive</v>
      </c>
      <c r="L79" s="37"/>
      <c r="N79" s="37"/>
      <c r="O79" s="37"/>
      <c r="P79" s="37"/>
      <c r="Q79" s="37"/>
      <c r="R79" s="37"/>
      <c r="S79" s="37"/>
      <c r="T79" s="37"/>
      <c r="V79"/>
      <c r="X79"/>
    </row>
    <row r="80" spans="1:24" ht="15" customHeight="1" thickBot="1" x14ac:dyDescent="0.35">
      <c r="A80" s="38">
        <v>43472.563888888886</v>
      </c>
      <c r="B80" s="39">
        <v>141310</v>
      </c>
      <c r="C80" s="36" t="s">
        <v>114</v>
      </c>
      <c r="D80" s="17">
        <v>3670000000000</v>
      </c>
      <c r="E80" s="16" t="s">
        <v>130</v>
      </c>
      <c r="F80" s="17">
        <v>1</v>
      </c>
      <c r="G80" s="18">
        <v>2.99</v>
      </c>
      <c r="H80" s="17">
        <v>1.4950000000000001</v>
      </c>
      <c r="I80" s="18">
        <v>2.99</v>
      </c>
      <c r="J80" s="18">
        <v>1.4950000000000001</v>
      </c>
      <c r="K80" s="37" t="str">
        <f t="shared" si="3"/>
        <v>Inexpensive</v>
      </c>
      <c r="L80" s="37"/>
      <c r="N80" s="37"/>
      <c r="O80" s="37"/>
      <c r="P80" s="37"/>
      <c r="Q80" s="37"/>
      <c r="R80" s="37"/>
      <c r="S80" s="37"/>
      <c r="T80" s="37"/>
      <c r="V80"/>
      <c r="X80"/>
    </row>
    <row r="81" spans="1:24" ht="15" customHeight="1" thickBot="1" x14ac:dyDescent="0.35">
      <c r="A81" s="38">
        <v>43493.53125</v>
      </c>
      <c r="B81" s="39">
        <v>141311</v>
      </c>
      <c r="C81" s="36" t="s">
        <v>125</v>
      </c>
      <c r="D81" s="17">
        <v>8130000000000</v>
      </c>
      <c r="E81" s="16" t="s">
        <v>131</v>
      </c>
      <c r="F81" s="17">
        <v>1</v>
      </c>
      <c r="G81" s="18">
        <v>379.99</v>
      </c>
      <c r="H81" s="17">
        <v>125.3967</v>
      </c>
      <c r="I81" s="18">
        <v>379.99</v>
      </c>
      <c r="J81" s="18">
        <v>254.5933</v>
      </c>
      <c r="K81" s="37" t="str">
        <f t="shared" si="3"/>
        <v>Inexpensive</v>
      </c>
      <c r="L81" s="37"/>
      <c r="N81" s="37"/>
      <c r="O81" s="37"/>
      <c r="P81" s="37"/>
      <c r="Q81" s="37"/>
      <c r="R81" s="37"/>
      <c r="S81" s="37"/>
      <c r="T81" s="37"/>
      <c r="V81"/>
      <c r="X81"/>
    </row>
    <row r="82" spans="1:24" ht="15" customHeight="1" thickBot="1" x14ac:dyDescent="0.35">
      <c r="A82" s="38">
        <v>43473.972222222219</v>
      </c>
      <c r="B82" s="39">
        <v>141312</v>
      </c>
      <c r="C82" s="36" t="s">
        <v>118</v>
      </c>
      <c r="D82" s="17">
        <v>7810000000000</v>
      </c>
      <c r="E82" s="16" t="s">
        <v>131</v>
      </c>
      <c r="F82" s="17">
        <v>1</v>
      </c>
      <c r="G82" s="18">
        <v>150</v>
      </c>
      <c r="H82" s="17">
        <v>97.5</v>
      </c>
      <c r="I82" s="18">
        <v>150</v>
      </c>
      <c r="J82" s="18">
        <v>52.5</v>
      </c>
      <c r="K82" s="37" t="str">
        <f t="shared" si="3"/>
        <v>Inexpensive</v>
      </c>
      <c r="L82" s="37"/>
      <c r="N82" s="37"/>
      <c r="O82" s="37"/>
      <c r="P82" s="37"/>
      <c r="Q82" s="37"/>
      <c r="R82" s="37"/>
      <c r="S82" s="37"/>
      <c r="T82" s="37"/>
      <c r="V82"/>
      <c r="X82"/>
    </row>
    <row r="83" spans="1:24" ht="15" customHeight="1" thickBot="1" x14ac:dyDescent="0.35">
      <c r="A83" s="38">
        <v>43474.627083333333</v>
      </c>
      <c r="B83" s="39">
        <v>141313</v>
      </c>
      <c r="C83" s="36" t="s">
        <v>111</v>
      </c>
      <c r="D83" s="17">
        <v>8870000000000</v>
      </c>
      <c r="E83" s="16" t="s">
        <v>130</v>
      </c>
      <c r="F83" s="17">
        <v>1</v>
      </c>
      <c r="G83" s="18">
        <v>14.95</v>
      </c>
      <c r="H83" s="17">
        <v>7.4749999999999996</v>
      </c>
      <c r="I83" s="18">
        <v>14.95</v>
      </c>
      <c r="J83" s="18">
        <v>7.4749999999999996</v>
      </c>
      <c r="K83" s="37" t="str">
        <f t="shared" si="3"/>
        <v>Inexpensive</v>
      </c>
      <c r="L83" s="37"/>
      <c r="N83" s="37"/>
      <c r="O83" s="37"/>
      <c r="P83" s="37"/>
      <c r="Q83" s="37"/>
      <c r="R83" s="37"/>
      <c r="S83" s="37"/>
      <c r="T83" s="37"/>
      <c r="V83"/>
      <c r="X83"/>
    </row>
    <row r="84" spans="1:24" ht="15" customHeight="1" thickBot="1" x14ac:dyDescent="0.35">
      <c r="A84" s="38">
        <v>43478.993750000001</v>
      </c>
      <c r="B84" s="39">
        <v>141314</v>
      </c>
      <c r="C84" s="36" t="s">
        <v>119</v>
      </c>
      <c r="D84" s="17">
        <v>2890000000000</v>
      </c>
      <c r="E84" s="16" t="s">
        <v>131</v>
      </c>
      <c r="F84" s="17">
        <v>1</v>
      </c>
      <c r="G84" s="18">
        <v>1700</v>
      </c>
      <c r="H84" s="17">
        <v>561</v>
      </c>
      <c r="I84" s="18">
        <v>1700</v>
      </c>
      <c r="J84" s="18">
        <v>1139</v>
      </c>
      <c r="K84" s="37" t="str">
        <f t="shared" si="3"/>
        <v>Expensive</v>
      </c>
      <c r="L84" s="37"/>
      <c r="N84" s="37"/>
      <c r="O84" s="37"/>
      <c r="P84" s="37"/>
      <c r="Q84" s="37"/>
      <c r="R84" s="37"/>
      <c r="S84" s="37"/>
      <c r="T84" s="37"/>
      <c r="V84"/>
      <c r="X84"/>
    </row>
    <row r="85" spans="1:24" ht="15" customHeight="1" thickBot="1" x14ac:dyDescent="0.35">
      <c r="A85" s="38">
        <v>43475.063888888886</v>
      </c>
      <c r="B85" s="39">
        <v>141315</v>
      </c>
      <c r="C85" s="36" t="s">
        <v>116</v>
      </c>
      <c r="D85" s="17">
        <v>2000000000000</v>
      </c>
      <c r="E85" s="16" t="s">
        <v>130</v>
      </c>
      <c r="F85" s="17">
        <v>1</v>
      </c>
      <c r="G85" s="18">
        <v>11.95</v>
      </c>
      <c r="H85" s="17">
        <v>5.9749999999999996</v>
      </c>
      <c r="I85" s="18">
        <v>11.95</v>
      </c>
      <c r="J85" s="18">
        <v>5.9749999999999996</v>
      </c>
      <c r="K85" s="37" t="str">
        <f t="shared" si="3"/>
        <v>Inexpensive</v>
      </c>
      <c r="L85" s="37"/>
      <c r="N85" s="37"/>
      <c r="O85" s="37"/>
      <c r="P85" s="37"/>
      <c r="Q85" s="37"/>
      <c r="R85" s="37"/>
      <c r="S85" s="37"/>
      <c r="T85" s="37"/>
      <c r="V85"/>
      <c r="X85"/>
    </row>
    <row r="86" spans="1:24" ht="15" customHeight="1" thickBot="1" x14ac:dyDescent="0.35">
      <c r="A86" s="38">
        <v>43466.30972222222</v>
      </c>
      <c r="B86" s="39">
        <v>141316</v>
      </c>
      <c r="C86" s="36" t="s">
        <v>114</v>
      </c>
      <c r="D86" s="17">
        <v>8400000000000</v>
      </c>
      <c r="E86" s="16" t="s">
        <v>132</v>
      </c>
      <c r="F86" s="17">
        <v>3</v>
      </c>
      <c r="G86" s="18">
        <v>2.99</v>
      </c>
      <c r="H86" s="17">
        <v>1.4950000000000001</v>
      </c>
      <c r="I86" s="18">
        <v>8.9700000000000006</v>
      </c>
      <c r="J86" s="18">
        <v>4.4850000000000003</v>
      </c>
      <c r="K86" s="37" t="str">
        <f t="shared" si="3"/>
        <v>Inexpensive</v>
      </c>
      <c r="L86" s="37"/>
      <c r="N86" s="37"/>
      <c r="O86" s="37"/>
      <c r="P86" s="37"/>
      <c r="Q86" s="37"/>
      <c r="R86" s="37"/>
      <c r="S86" s="37"/>
      <c r="T86" s="37"/>
      <c r="V86"/>
      <c r="X86"/>
    </row>
    <row r="87" spans="1:24" ht="15" customHeight="1" thickBot="1" x14ac:dyDescent="0.35">
      <c r="A87" s="38">
        <v>43486.470833333333</v>
      </c>
      <c r="B87" s="39">
        <v>141317</v>
      </c>
      <c r="C87" s="36" t="s">
        <v>113</v>
      </c>
      <c r="D87" s="17">
        <v>9570000000000</v>
      </c>
      <c r="E87" s="16" t="s">
        <v>131</v>
      </c>
      <c r="F87" s="17">
        <v>1</v>
      </c>
      <c r="G87" s="18">
        <v>149.99</v>
      </c>
      <c r="H87" s="17">
        <v>97.493499999999997</v>
      </c>
      <c r="I87" s="18">
        <v>149.99</v>
      </c>
      <c r="J87" s="18">
        <v>52.496499999999997</v>
      </c>
      <c r="K87" s="37" t="str">
        <f t="shared" si="3"/>
        <v>Inexpensive</v>
      </c>
      <c r="L87" s="37"/>
      <c r="N87" s="37"/>
      <c r="O87" s="37"/>
      <c r="P87" s="37"/>
      <c r="Q87" s="37"/>
      <c r="R87" s="37"/>
      <c r="S87" s="37"/>
      <c r="T87" s="37"/>
      <c r="V87"/>
      <c r="X87"/>
    </row>
    <row r="88" spans="1:24" ht="15" customHeight="1" thickBot="1" x14ac:dyDescent="0.35">
      <c r="A88" s="38">
        <v>43474.63958333333</v>
      </c>
      <c r="B88" s="39">
        <v>141318</v>
      </c>
      <c r="C88" s="36" t="s">
        <v>117</v>
      </c>
      <c r="D88" s="17">
        <v>9190000000000</v>
      </c>
      <c r="E88" s="16" t="s">
        <v>130</v>
      </c>
      <c r="F88" s="17">
        <v>1</v>
      </c>
      <c r="G88" s="18">
        <v>99.99</v>
      </c>
      <c r="H88" s="17">
        <v>49.994999999999997</v>
      </c>
      <c r="I88" s="18">
        <v>99.99</v>
      </c>
      <c r="J88" s="18">
        <v>49.994999999999997</v>
      </c>
      <c r="K88" s="37" t="str">
        <f t="shared" si="3"/>
        <v>Inexpensive</v>
      </c>
      <c r="L88" s="37"/>
      <c r="N88" s="37"/>
      <c r="O88" s="37"/>
      <c r="P88" s="37"/>
      <c r="Q88" s="37"/>
      <c r="R88" s="37"/>
      <c r="S88" s="37"/>
      <c r="T88" s="37"/>
      <c r="V88"/>
      <c r="X88"/>
    </row>
    <row r="89" spans="1:24" ht="15" customHeight="1" thickBot="1" x14ac:dyDescent="0.35">
      <c r="A89" s="38">
        <v>43466.446527777778</v>
      </c>
      <c r="B89" s="39">
        <v>141319</v>
      </c>
      <c r="C89" s="36" t="s">
        <v>117</v>
      </c>
      <c r="D89" s="17">
        <v>7330000000000</v>
      </c>
      <c r="E89" s="16" t="s">
        <v>132</v>
      </c>
      <c r="F89" s="17">
        <v>1</v>
      </c>
      <c r="G89" s="18">
        <v>99.99</v>
      </c>
      <c r="H89" s="17">
        <v>49.994999999999997</v>
      </c>
      <c r="I89" s="18">
        <v>99.99</v>
      </c>
      <c r="J89" s="18">
        <v>49.994999999999997</v>
      </c>
      <c r="K89" s="37" t="str">
        <f t="shared" si="3"/>
        <v>Inexpensive</v>
      </c>
      <c r="L89" s="37"/>
      <c r="N89" s="37"/>
      <c r="O89" s="37"/>
      <c r="P89" s="37"/>
      <c r="Q89" s="37"/>
      <c r="R89" s="37"/>
      <c r="S89" s="37"/>
      <c r="T89" s="37"/>
      <c r="V89"/>
      <c r="X89"/>
    </row>
    <row r="90" spans="1:24" ht="15" customHeight="1" thickBot="1" x14ac:dyDescent="0.35">
      <c r="A90" s="38">
        <v>43489.567361111112</v>
      </c>
      <c r="B90" s="39">
        <v>141320</v>
      </c>
      <c r="C90" s="36" t="s">
        <v>122</v>
      </c>
      <c r="D90" s="17">
        <v>4370000000000</v>
      </c>
      <c r="E90" s="16" t="s">
        <v>132</v>
      </c>
      <c r="F90" s="17">
        <v>1</v>
      </c>
      <c r="G90" s="18">
        <v>3.84</v>
      </c>
      <c r="H90" s="17">
        <v>1.92</v>
      </c>
      <c r="I90" s="18">
        <v>3.84</v>
      </c>
      <c r="J90" s="18">
        <v>1.92</v>
      </c>
      <c r="K90" s="37" t="str">
        <f t="shared" si="3"/>
        <v>Inexpensive</v>
      </c>
      <c r="L90" s="37"/>
      <c r="N90" s="37"/>
      <c r="O90" s="37"/>
      <c r="P90" s="37"/>
      <c r="Q90" s="37"/>
      <c r="R90" s="37"/>
      <c r="S90" s="37"/>
      <c r="T90" s="37"/>
      <c r="V90"/>
      <c r="X90"/>
    </row>
    <row r="91" spans="1:24" ht="15" customHeight="1" thickBot="1" x14ac:dyDescent="0.35">
      <c r="A91" s="38">
        <v>43475.379861111112</v>
      </c>
      <c r="B91" s="39">
        <v>141321</v>
      </c>
      <c r="C91" s="36" t="s">
        <v>117</v>
      </c>
      <c r="D91" s="17">
        <v>4230000000000</v>
      </c>
      <c r="E91" s="16" t="s">
        <v>131</v>
      </c>
      <c r="F91" s="17">
        <v>1</v>
      </c>
      <c r="G91" s="18">
        <v>99.99</v>
      </c>
      <c r="H91" s="17">
        <v>49.994999999999997</v>
      </c>
      <c r="I91" s="18">
        <v>99.99</v>
      </c>
      <c r="J91" s="18">
        <v>49.994999999999997</v>
      </c>
      <c r="K91" s="37" t="str">
        <f t="shared" si="3"/>
        <v>Inexpensive</v>
      </c>
      <c r="L91" s="37"/>
      <c r="N91" s="37"/>
      <c r="O91" s="37"/>
      <c r="P91" s="37"/>
      <c r="Q91" s="37"/>
      <c r="R91" s="37"/>
      <c r="S91" s="37"/>
      <c r="T91" s="37"/>
      <c r="V91"/>
      <c r="X91"/>
    </row>
    <row r="92" spans="1:24" ht="15" customHeight="1" thickBot="1" x14ac:dyDescent="0.35">
      <c r="A92" s="38">
        <v>43477.913888888892</v>
      </c>
      <c r="B92" s="39">
        <v>141322</v>
      </c>
      <c r="C92" s="36" t="s">
        <v>114</v>
      </c>
      <c r="D92" s="17">
        <v>6640000000000</v>
      </c>
      <c r="E92" s="16" t="s">
        <v>131</v>
      </c>
      <c r="F92" s="17">
        <v>2</v>
      </c>
      <c r="G92" s="18">
        <v>2.99</v>
      </c>
      <c r="H92" s="17">
        <v>1.4950000000000001</v>
      </c>
      <c r="I92" s="18">
        <v>5.98</v>
      </c>
      <c r="J92" s="18">
        <v>2.99</v>
      </c>
      <c r="K92" s="37" t="str">
        <f t="shared" si="3"/>
        <v>Inexpensive</v>
      </c>
      <c r="L92" s="37"/>
      <c r="N92" s="37"/>
      <c r="O92" s="37"/>
      <c r="P92" s="37"/>
      <c r="Q92" s="37"/>
      <c r="R92" s="37"/>
      <c r="S92" s="37"/>
      <c r="T92" s="37"/>
      <c r="V92"/>
      <c r="X92"/>
    </row>
    <row r="93" spans="1:24" ht="15" customHeight="1" thickBot="1" x14ac:dyDescent="0.35">
      <c r="A93" s="38">
        <v>43482.912499999999</v>
      </c>
      <c r="B93" s="39">
        <v>141323</v>
      </c>
      <c r="C93" s="36" t="s">
        <v>116</v>
      </c>
      <c r="D93" s="17">
        <v>7510000000000</v>
      </c>
      <c r="E93" s="16" t="s">
        <v>132</v>
      </c>
      <c r="F93" s="17">
        <v>1</v>
      </c>
      <c r="G93" s="18">
        <v>11.95</v>
      </c>
      <c r="H93" s="17">
        <v>5.9749999999999996</v>
      </c>
      <c r="I93" s="18">
        <v>11.95</v>
      </c>
      <c r="J93" s="18">
        <v>5.9749999999999996</v>
      </c>
      <c r="K93" s="37" t="str">
        <f t="shared" si="3"/>
        <v>Inexpensive</v>
      </c>
      <c r="L93" s="37"/>
      <c r="N93" s="37"/>
      <c r="O93" s="37"/>
      <c r="P93" s="37"/>
      <c r="Q93" s="37"/>
      <c r="R93" s="37"/>
      <c r="S93" s="37"/>
      <c r="T93" s="37"/>
      <c r="V93"/>
      <c r="X93"/>
    </row>
    <row r="94" spans="1:24" ht="15" customHeight="1" thickBot="1" x14ac:dyDescent="0.35">
      <c r="A94" s="38">
        <v>43469.98333333333</v>
      </c>
      <c r="B94" s="39">
        <v>141324</v>
      </c>
      <c r="C94" s="36" t="s">
        <v>116</v>
      </c>
      <c r="D94" s="17">
        <v>3940000000000</v>
      </c>
      <c r="E94" s="16" t="s">
        <v>131</v>
      </c>
      <c r="F94" s="17">
        <v>1</v>
      </c>
      <c r="G94" s="18">
        <v>11.95</v>
      </c>
      <c r="H94" s="17">
        <v>5.9749999999999996</v>
      </c>
      <c r="I94" s="18">
        <v>11.95</v>
      </c>
      <c r="J94" s="18">
        <v>5.9749999999999996</v>
      </c>
      <c r="K94" s="37" t="str">
        <f t="shared" si="3"/>
        <v>Inexpensive</v>
      </c>
      <c r="L94" s="37"/>
      <c r="N94" s="37"/>
      <c r="O94" s="37"/>
      <c r="P94" s="37"/>
      <c r="Q94" s="37"/>
      <c r="R94" s="37"/>
      <c r="S94" s="37"/>
      <c r="T94" s="37"/>
      <c r="V94"/>
      <c r="X94"/>
    </row>
    <row r="95" spans="1:24" ht="15" customHeight="1" thickBot="1" x14ac:dyDescent="0.35">
      <c r="A95" s="38">
        <v>43488.636805555558</v>
      </c>
      <c r="B95" s="39">
        <v>141325</v>
      </c>
      <c r="C95" s="36" t="s">
        <v>117</v>
      </c>
      <c r="D95" s="17">
        <v>9430000000000</v>
      </c>
      <c r="E95" s="16" t="s">
        <v>130</v>
      </c>
      <c r="F95" s="17">
        <v>1</v>
      </c>
      <c r="G95" s="18">
        <v>99.99</v>
      </c>
      <c r="H95" s="17">
        <v>49.994999999999997</v>
      </c>
      <c r="I95" s="18">
        <v>99.99</v>
      </c>
      <c r="J95" s="18">
        <v>49.994999999999997</v>
      </c>
      <c r="K95" s="37" t="str">
        <f t="shared" si="3"/>
        <v>Inexpensive</v>
      </c>
      <c r="L95" s="37"/>
      <c r="N95" s="37"/>
      <c r="O95" s="37"/>
      <c r="P95" s="37"/>
      <c r="Q95" s="37"/>
      <c r="R95" s="37"/>
      <c r="S95" s="37"/>
      <c r="T95" s="37"/>
      <c r="V95"/>
      <c r="X95"/>
    </row>
    <row r="96" spans="1:24" ht="15" customHeight="1" thickBot="1" x14ac:dyDescent="0.35">
      <c r="A96" s="38">
        <v>43470.575694444444</v>
      </c>
      <c r="B96" s="39">
        <v>141326</v>
      </c>
      <c r="C96" s="36" t="s">
        <v>123</v>
      </c>
      <c r="D96" s="17">
        <v>4600000000000</v>
      </c>
      <c r="E96" s="16" t="s">
        <v>132</v>
      </c>
      <c r="F96" s="17">
        <v>1</v>
      </c>
      <c r="G96" s="18">
        <v>600</v>
      </c>
      <c r="H96" s="17">
        <v>198</v>
      </c>
      <c r="I96" s="18">
        <v>600</v>
      </c>
      <c r="J96" s="18">
        <v>402</v>
      </c>
      <c r="K96" s="37" t="str">
        <f t="shared" si="3"/>
        <v>Inexpensive</v>
      </c>
      <c r="L96" s="37"/>
      <c r="N96" s="37"/>
      <c r="O96" s="37"/>
      <c r="P96" s="37"/>
      <c r="Q96" s="37"/>
      <c r="R96" s="37"/>
      <c r="S96" s="37"/>
      <c r="T96" s="37"/>
      <c r="V96"/>
      <c r="X96"/>
    </row>
    <row r="97" spans="1:24" ht="15" customHeight="1" thickBot="1" x14ac:dyDescent="0.35">
      <c r="A97" s="38">
        <v>43496.068055555559</v>
      </c>
      <c r="B97" s="39">
        <v>141327</v>
      </c>
      <c r="C97" s="36" t="s">
        <v>116</v>
      </c>
      <c r="D97" s="17">
        <v>1620000000000</v>
      </c>
      <c r="E97" s="16" t="s">
        <v>130</v>
      </c>
      <c r="F97" s="17">
        <v>1</v>
      </c>
      <c r="G97" s="18">
        <v>11.95</v>
      </c>
      <c r="H97" s="17">
        <v>5.9749999999999996</v>
      </c>
      <c r="I97" s="18">
        <v>11.95</v>
      </c>
      <c r="J97" s="18">
        <v>5.9749999999999996</v>
      </c>
      <c r="K97" s="37" t="str">
        <f t="shared" si="3"/>
        <v>Inexpensive</v>
      </c>
      <c r="L97" s="37"/>
      <c r="N97" s="37"/>
      <c r="O97" s="37"/>
      <c r="P97" s="37"/>
      <c r="Q97" s="37"/>
      <c r="R97" s="37"/>
      <c r="S97" s="37"/>
      <c r="T97" s="37"/>
      <c r="V97"/>
      <c r="X97"/>
    </row>
    <row r="98" spans="1:24" ht="15" customHeight="1" thickBot="1" x14ac:dyDescent="0.35">
      <c r="A98" s="38">
        <v>43471.970833333333</v>
      </c>
      <c r="B98" s="39">
        <v>141328</v>
      </c>
      <c r="C98" s="36" t="s">
        <v>126</v>
      </c>
      <c r="D98" s="17">
        <v>3340000000000</v>
      </c>
      <c r="E98" s="16" t="s">
        <v>131</v>
      </c>
      <c r="F98" s="17">
        <v>1</v>
      </c>
      <c r="G98" s="18">
        <v>999.99</v>
      </c>
      <c r="H98" s="17">
        <v>329.99669999999998</v>
      </c>
      <c r="I98" s="18">
        <v>999.99</v>
      </c>
      <c r="J98" s="18">
        <v>669.99329999999998</v>
      </c>
      <c r="K98" s="37" t="str">
        <f t="shared" si="3"/>
        <v>Expensive</v>
      </c>
      <c r="L98" s="37"/>
      <c r="N98" s="37"/>
      <c r="O98" s="37"/>
      <c r="P98" s="37"/>
      <c r="Q98" s="37"/>
      <c r="R98" s="37"/>
      <c r="S98" s="37"/>
      <c r="T98" s="37"/>
      <c r="V98"/>
      <c r="X98"/>
    </row>
    <row r="99" spans="1:24" ht="15" customHeight="1" thickBot="1" x14ac:dyDescent="0.35">
      <c r="A99" s="38">
        <v>43466.667361111111</v>
      </c>
      <c r="B99" s="39">
        <v>141329</v>
      </c>
      <c r="C99" s="36" t="s">
        <v>116</v>
      </c>
      <c r="D99" s="17">
        <v>6760000000000</v>
      </c>
      <c r="E99" s="16" t="s">
        <v>132</v>
      </c>
      <c r="F99" s="17">
        <v>1</v>
      </c>
      <c r="G99" s="18">
        <v>11.95</v>
      </c>
      <c r="H99" s="17">
        <v>5.9749999999999996</v>
      </c>
      <c r="I99" s="18">
        <v>11.95</v>
      </c>
      <c r="J99" s="18">
        <v>5.9749999999999996</v>
      </c>
      <c r="K99" s="37" t="str">
        <f t="shared" si="3"/>
        <v>Inexpensive</v>
      </c>
      <c r="L99" s="37"/>
      <c r="N99" s="37"/>
      <c r="O99" s="37"/>
      <c r="P99" s="37"/>
      <c r="Q99" s="37"/>
      <c r="R99" s="37"/>
      <c r="S99" s="37"/>
      <c r="T99" s="37"/>
      <c r="V99"/>
      <c r="X99"/>
    </row>
    <row r="100" spans="1:24" ht="15" customHeight="1" thickBot="1" x14ac:dyDescent="0.35">
      <c r="A100" s="38">
        <v>43486.544444444444</v>
      </c>
      <c r="B100" s="39">
        <v>141330</v>
      </c>
      <c r="C100" s="36" t="s">
        <v>112</v>
      </c>
      <c r="D100" s="17">
        <v>5150000000000</v>
      </c>
      <c r="E100" s="16" t="s">
        <v>132</v>
      </c>
      <c r="F100" s="17">
        <v>1</v>
      </c>
      <c r="G100" s="18">
        <v>11.99</v>
      </c>
      <c r="H100" s="17">
        <v>5.9950000000000001</v>
      </c>
      <c r="I100" s="18">
        <v>11.99</v>
      </c>
      <c r="J100" s="18">
        <v>5.9950000000000001</v>
      </c>
      <c r="K100" s="37" t="str">
        <f t="shared" si="3"/>
        <v>Inexpensive</v>
      </c>
      <c r="L100" s="37"/>
      <c r="N100" s="37"/>
      <c r="O100" s="37"/>
      <c r="P100" s="37"/>
      <c r="Q100" s="37"/>
      <c r="R100" s="37"/>
      <c r="S100" s="37"/>
      <c r="T100" s="37"/>
      <c r="V100"/>
      <c r="X100"/>
    </row>
    <row r="101" spans="1:24" ht="15" customHeight="1" thickBot="1" x14ac:dyDescent="0.35">
      <c r="A101" s="38">
        <v>43474.772222222222</v>
      </c>
      <c r="B101" s="39">
        <v>141331</v>
      </c>
      <c r="C101" s="36" t="s">
        <v>120</v>
      </c>
      <c r="D101" s="17">
        <v>7570000000000</v>
      </c>
      <c r="E101" s="16" t="s">
        <v>131</v>
      </c>
      <c r="F101" s="17">
        <v>1</v>
      </c>
      <c r="G101" s="18">
        <v>300</v>
      </c>
      <c r="H101" s="17">
        <v>99</v>
      </c>
      <c r="I101" s="18">
        <v>300</v>
      </c>
      <c r="J101" s="18">
        <v>201</v>
      </c>
      <c r="K101" s="37" t="str">
        <f t="shared" si="3"/>
        <v>Inexpensive</v>
      </c>
      <c r="L101" s="37"/>
      <c r="N101" s="37"/>
      <c r="O101" s="37"/>
      <c r="P101" s="37"/>
      <c r="Q101" s="37"/>
      <c r="R101" s="37"/>
      <c r="S101" s="37"/>
      <c r="T101" s="37"/>
      <c r="V101"/>
      <c r="X101"/>
    </row>
    <row r="102" spans="1:24" ht="15" customHeight="1" thickBot="1" x14ac:dyDescent="0.35">
      <c r="A102" s="38">
        <v>43484.786111111112</v>
      </c>
      <c r="B102" s="39">
        <v>141332</v>
      </c>
      <c r="C102" s="36" t="s">
        <v>116</v>
      </c>
      <c r="D102" s="17">
        <v>9770000000000</v>
      </c>
      <c r="E102" s="16" t="s">
        <v>131</v>
      </c>
      <c r="F102" s="17">
        <v>1</v>
      </c>
      <c r="G102" s="18">
        <v>11.95</v>
      </c>
      <c r="H102" s="17">
        <v>5.9749999999999996</v>
      </c>
      <c r="I102" s="18">
        <v>11.95</v>
      </c>
      <c r="J102" s="18">
        <v>5.9749999999999996</v>
      </c>
      <c r="K102" s="37" t="str">
        <f t="shared" si="3"/>
        <v>Inexpensive</v>
      </c>
      <c r="L102" s="37"/>
      <c r="N102" s="37"/>
      <c r="O102" s="37"/>
      <c r="P102" s="37"/>
      <c r="Q102" s="37"/>
      <c r="R102" s="37"/>
      <c r="S102" s="37"/>
      <c r="T102" s="37"/>
      <c r="V102"/>
      <c r="X102"/>
    </row>
    <row r="103" spans="1:24" ht="15" customHeight="1" thickBot="1" x14ac:dyDescent="0.35">
      <c r="A103" s="38">
        <v>43466.581944444442</v>
      </c>
      <c r="B103" s="39">
        <v>141333</v>
      </c>
      <c r="C103" s="36" t="s">
        <v>113</v>
      </c>
      <c r="D103" s="17">
        <v>5740000000000</v>
      </c>
      <c r="E103" s="16" t="s">
        <v>130</v>
      </c>
      <c r="F103" s="17">
        <v>1</v>
      </c>
      <c r="G103" s="18">
        <v>149.99</v>
      </c>
      <c r="H103" s="17">
        <v>97.493499999999997</v>
      </c>
      <c r="I103" s="18">
        <v>149.99</v>
      </c>
      <c r="J103" s="18">
        <v>52.496499999999997</v>
      </c>
      <c r="K103" s="37" t="str">
        <f t="shared" si="3"/>
        <v>Inexpensive</v>
      </c>
      <c r="L103" s="37"/>
      <c r="N103" s="37"/>
      <c r="O103" s="37"/>
      <c r="P103" s="37"/>
      <c r="Q103" s="37"/>
      <c r="R103" s="37"/>
      <c r="S103" s="37"/>
      <c r="T103" s="37"/>
      <c r="V103"/>
      <c r="X103"/>
    </row>
    <row r="104" spans="1:24" ht="15" customHeight="1" thickBot="1" x14ac:dyDescent="0.35">
      <c r="A104" s="38">
        <v>43480.086805555555</v>
      </c>
      <c r="B104" s="39">
        <v>141334</v>
      </c>
      <c r="C104" s="36" t="s">
        <v>116</v>
      </c>
      <c r="D104" s="17">
        <v>2070000000000</v>
      </c>
      <c r="E104" s="16" t="s">
        <v>130</v>
      </c>
      <c r="F104" s="17">
        <v>1</v>
      </c>
      <c r="G104" s="18">
        <v>11.95</v>
      </c>
      <c r="H104" s="17">
        <v>5.9749999999999996</v>
      </c>
      <c r="I104" s="18">
        <v>11.95</v>
      </c>
      <c r="J104" s="18">
        <v>5.9749999999999996</v>
      </c>
      <c r="K104" s="37" t="str">
        <f t="shared" si="3"/>
        <v>Inexpensive</v>
      </c>
      <c r="L104" s="37"/>
      <c r="N104" s="37"/>
      <c r="O104" s="37"/>
      <c r="P104" s="37"/>
      <c r="Q104" s="37"/>
      <c r="R104" s="37"/>
      <c r="S104" s="37"/>
      <c r="T104" s="37"/>
      <c r="V104"/>
      <c r="X104"/>
    </row>
    <row r="105" spans="1:24" ht="15" customHeight="1" thickBot="1" x14ac:dyDescent="0.35">
      <c r="A105" s="38">
        <v>43477.761111111111</v>
      </c>
      <c r="B105" s="39">
        <v>141335</v>
      </c>
      <c r="C105" s="36" t="s">
        <v>114</v>
      </c>
      <c r="D105" s="17">
        <v>2060000000000</v>
      </c>
      <c r="E105" s="16" t="s">
        <v>130</v>
      </c>
      <c r="F105" s="17">
        <v>5</v>
      </c>
      <c r="G105" s="18">
        <v>2.99</v>
      </c>
      <c r="H105" s="17">
        <v>1.4950000000000001</v>
      </c>
      <c r="I105" s="18">
        <v>14.95</v>
      </c>
      <c r="J105" s="18">
        <v>7.4749999999999996</v>
      </c>
      <c r="K105" s="37" t="str">
        <f t="shared" si="3"/>
        <v>Inexpensive</v>
      </c>
      <c r="L105" s="37"/>
      <c r="N105" s="37"/>
      <c r="O105" s="37"/>
      <c r="P105" s="37"/>
      <c r="Q105" s="37"/>
      <c r="R105" s="37"/>
      <c r="S105" s="37"/>
      <c r="T105" s="37"/>
      <c r="V105"/>
      <c r="X105"/>
    </row>
    <row r="106" spans="1:24" ht="15" customHeight="1" thickBot="1" x14ac:dyDescent="0.35">
      <c r="A106" s="38">
        <v>43474.765972222223</v>
      </c>
      <c r="B106" s="39">
        <v>141336</v>
      </c>
      <c r="C106" s="36" t="s">
        <v>110</v>
      </c>
      <c r="D106" s="17">
        <v>2450000000000</v>
      </c>
      <c r="E106" s="16" t="s">
        <v>130</v>
      </c>
      <c r="F106" s="17">
        <v>1</v>
      </c>
      <c r="G106" s="18">
        <v>700</v>
      </c>
      <c r="H106" s="17">
        <v>231</v>
      </c>
      <c r="I106" s="18">
        <v>700</v>
      </c>
      <c r="J106" s="18">
        <v>469</v>
      </c>
      <c r="K106" s="37" t="str">
        <f t="shared" si="3"/>
        <v>Expensive</v>
      </c>
      <c r="L106" s="37"/>
      <c r="N106" s="37"/>
      <c r="O106" s="37"/>
      <c r="P106" s="37"/>
      <c r="Q106" s="37"/>
      <c r="R106" s="37"/>
      <c r="S106" s="37"/>
      <c r="T106" s="37"/>
      <c r="V106"/>
      <c r="X106"/>
    </row>
    <row r="107" spans="1:24" ht="15" customHeight="1" thickBot="1" x14ac:dyDescent="0.35">
      <c r="A107" s="38">
        <v>43474.390277777777</v>
      </c>
      <c r="B107" s="39">
        <v>141337</v>
      </c>
      <c r="C107" s="36" t="s">
        <v>117</v>
      </c>
      <c r="D107" s="17">
        <v>5500000000000</v>
      </c>
      <c r="E107" s="16" t="s">
        <v>132</v>
      </c>
      <c r="F107" s="17">
        <v>1</v>
      </c>
      <c r="G107" s="18">
        <v>99.99</v>
      </c>
      <c r="H107" s="17">
        <v>49.994999999999997</v>
      </c>
      <c r="I107" s="18">
        <v>99.99</v>
      </c>
      <c r="J107" s="18">
        <v>49.994999999999997</v>
      </c>
      <c r="K107" s="37" t="str">
        <f t="shared" si="3"/>
        <v>Inexpensive</v>
      </c>
      <c r="L107" s="37"/>
      <c r="N107" s="37"/>
      <c r="O107" s="37"/>
      <c r="P107" s="37"/>
      <c r="Q107" s="37"/>
      <c r="R107" s="37"/>
      <c r="S107" s="37"/>
      <c r="T107" s="37"/>
      <c r="V107"/>
      <c r="X107"/>
    </row>
    <row r="108" spans="1:24" ht="15" customHeight="1" thickBot="1" x14ac:dyDescent="0.35">
      <c r="A108" s="38">
        <v>43494.679861111108</v>
      </c>
      <c r="B108" s="39">
        <v>141338</v>
      </c>
      <c r="C108" s="36" t="s">
        <v>114</v>
      </c>
      <c r="D108" s="17">
        <v>5510000000000</v>
      </c>
      <c r="E108" s="16" t="s">
        <v>132</v>
      </c>
      <c r="F108" s="17">
        <v>1</v>
      </c>
      <c r="G108" s="18">
        <v>2.99</v>
      </c>
      <c r="H108" s="17">
        <v>1.4950000000000001</v>
      </c>
      <c r="I108" s="18">
        <v>2.99</v>
      </c>
      <c r="J108" s="18">
        <v>1.4950000000000001</v>
      </c>
      <c r="K108" s="37" t="str">
        <f t="shared" si="3"/>
        <v>Inexpensive</v>
      </c>
      <c r="L108" s="37"/>
      <c r="N108" s="37"/>
      <c r="O108" s="37"/>
      <c r="P108" s="37"/>
      <c r="Q108" s="37"/>
      <c r="R108" s="37"/>
      <c r="S108" s="37"/>
      <c r="T108" s="37"/>
      <c r="V108"/>
      <c r="X108"/>
    </row>
    <row r="109" spans="1:24" ht="15" customHeight="1" thickBot="1" x14ac:dyDescent="0.35">
      <c r="A109" s="38">
        <v>43493.536111111112</v>
      </c>
      <c r="B109" s="39">
        <v>141339</v>
      </c>
      <c r="C109" s="36" t="s">
        <v>114</v>
      </c>
      <c r="D109" s="17">
        <v>7570000000000</v>
      </c>
      <c r="E109" s="16" t="s">
        <v>131</v>
      </c>
      <c r="F109" s="17">
        <v>1</v>
      </c>
      <c r="G109" s="18">
        <v>2.99</v>
      </c>
      <c r="H109" s="17">
        <v>1.4950000000000001</v>
      </c>
      <c r="I109" s="18">
        <v>2.99</v>
      </c>
      <c r="J109" s="18">
        <v>1.4950000000000001</v>
      </c>
      <c r="K109" s="37" t="str">
        <f t="shared" si="3"/>
        <v>Inexpensive</v>
      </c>
      <c r="L109" s="37"/>
      <c r="N109" s="37"/>
      <c r="O109" s="37"/>
      <c r="P109" s="37"/>
      <c r="Q109" s="37"/>
      <c r="R109" s="37"/>
      <c r="S109" s="37"/>
      <c r="T109" s="37"/>
      <c r="V109"/>
      <c r="X109"/>
    </row>
    <row r="110" spans="1:24" ht="15" customHeight="1" thickBot="1" x14ac:dyDescent="0.35">
      <c r="A110" s="38">
        <v>43492.604166666664</v>
      </c>
      <c r="B110" s="39">
        <v>141340</v>
      </c>
      <c r="C110" s="36" t="s">
        <v>111</v>
      </c>
      <c r="D110" s="17">
        <v>2450000000000</v>
      </c>
      <c r="E110" s="16" t="s">
        <v>132</v>
      </c>
      <c r="F110" s="17">
        <v>1</v>
      </c>
      <c r="G110" s="18">
        <v>14.95</v>
      </c>
      <c r="H110" s="17">
        <v>7.4749999999999996</v>
      </c>
      <c r="I110" s="18">
        <v>14.95</v>
      </c>
      <c r="J110" s="18">
        <v>7.4749999999999996</v>
      </c>
      <c r="K110" s="37" t="str">
        <f t="shared" si="3"/>
        <v>Inexpensive</v>
      </c>
      <c r="L110" s="37"/>
      <c r="N110" s="37"/>
      <c r="O110" s="37"/>
      <c r="P110" s="37"/>
      <c r="Q110" s="37"/>
      <c r="R110" s="37"/>
      <c r="S110" s="37"/>
      <c r="T110" s="37"/>
      <c r="V110"/>
      <c r="X110"/>
    </row>
    <row r="111" spans="1:24" ht="15" customHeight="1" thickBot="1" x14ac:dyDescent="0.35">
      <c r="A111" s="38">
        <v>43478.42291666667</v>
      </c>
      <c r="B111" s="39">
        <v>141341</v>
      </c>
      <c r="C111" s="36" t="s">
        <v>127</v>
      </c>
      <c r="D111" s="17">
        <v>3690000000000</v>
      </c>
      <c r="E111" s="16" t="s">
        <v>132</v>
      </c>
      <c r="F111" s="17">
        <v>1</v>
      </c>
      <c r="G111" s="18">
        <v>600</v>
      </c>
      <c r="H111" s="17">
        <v>198</v>
      </c>
      <c r="I111" s="18">
        <v>600</v>
      </c>
      <c r="J111" s="18">
        <v>402</v>
      </c>
      <c r="K111" s="37" t="str">
        <f t="shared" si="3"/>
        <v>Inexpensive</v>
      </c>
      <c r="L111" s="37"/>
      <c r="N111" s="37"/>
      <c r="O111" s="37"/>
      <c r="P111" s="37"/>
      <c r="Q111" s="37"/>
      <c r="R111" s="37"/>
      <c r="S111" s="37"/>
      <c r="T111" s="37"/>
      <c r="V111"/>
      <c r="X111"/>
    </row>
    <row r="112" spans="1:24" ht="15" customHeight="1" thickBot="1" x14ac:dyDescent="0.35">
      <c r="A112" s="38">
        <v>43491.884027777778</v>
      </c>
      <c r="B112" s="39">
        <v>141342</v>
      </c>
      <c r="C112" s="36" t="s">
        <v>112</v>
      </c>
      <c r="D112" s="17">
        <v>1960000000000</v>
      </c>
      <c r="E112" s="16" t="s">
        <v>131</v>
      </c>
      <c r="F112" s="17">
        <v>1</v>
      </c>
      <c r="G112" s="18">
        <v>11.99</v>
      </c>
      <c r="H112" s="17">
        <v>5.9950000000000001</v>
      </c>
      <c r="I112" s="18">
        <v>11.99</v>
      </c>
      <c r="J112" s="18">
        <v>5.9950000000000001</v>
      </c>
      <c r="K112" s="37" t="str">
        <f t="shared" si="3"/>
        <v>Inexpensive</v>
      </c>
      <c r="L112" s="37"/>
      <c r="N112" s="37"/>
      <c r="O112" s="37"/>
      <c r="P112" s="37"/>
      <c r="Q112" s="37"/>
      <c r="R112" s="37"/>
      <c r="S112" s="37"/>
      <c r="T112" s="37"/>
      <c r="V112"/>
      <c r="X112"/>
    </row>
    <row r="113" spans="1:24" ht="15" customHeight="1" thickBot="1" x14ac:dyDescent="0.35">
      <c r="A113" s="38">
        <v>43489.566666666666</v>
      </c>
      <c r="B113" s="39">
        <v>141343</v>
      </c>
      <c r="C113" s="36" t="s">
        <v>117</v>
      </c>
      <c r="D113" s="17">
        <v>2160000000000</v>
      </c>
      <c r="E113" s="16" t="s">
        <v>131</v>
      </c>
      <c r="F113" s="17">
        <v>1</v>
      </c>
      <c r="G113" s="18">
        <v>99.99</v>
      </c>
      <c r="H113" s="17">
        <v>49.994999999999997</v>
      </c>
      <c r="I113" s="18">
        <v>99.99</v>
      </c>
      <c r="J113" s="18">
        <v>49.994999999999997</v>
      </c>
      <c r="K113" s="37" t="str">
        <f t="shared" si="3"/>
        <v>Inexpensive</v>
      </c>
      <c r="L113" s="37"/>
      <c r="N113" s="37"/>
      <c r="O113" s="37"/>
      <c r="P113" s="37"/>
      <c r="Q113" s="37"/>
      <c r="R113" s="37"/>
      <c r="S113" s="37"/>
      <c r="T113" s="37"/>
      <c r="V113"/>
      <c r="X113"/>
    </row>
    <row r="114" spans="1:24" ht="15" customHeight="1" thickBot="1" x14ac:dyDescent="0.35">
      <c r="A114" s="38">
        <v>43485.526388888888</v>
      </c>
      <c r="B114" s="39">
        <v>141344</v>
      </c>
      <c r="C114" s="36" t="s">
        <v>118</v>
      </c>
      <c r="D114" s="17">
        <v>2690000000000</v>
      </c>
      <c r="E114" s="16" t="s">
        <v>130</v>
      </c>
      <c r="F114" s="17">
        <v>1</v>
      </c>
      <c r="G114" s="18">
        <v>150</v>
      </c>
      <c r="H114" s="17">
        <v>97.5</v>
      </c>
      <c r="I114" s="18">
        <v>150</v>
      </c>
      <c r="J114" s="18">
        <v>52.5</v>
      </c>
      <c r="K114" s="37" t="str">
        <f t="shared" si="3"/>
        <v>Inexpensive</v>
      </c>
      <c r="L114" s="37"/>
      <c r="N114" s="37"/>
      <c r="O114" s="37"/>
      <c r="P114" s="37"/>
      <c r="Q114" s="37"/>
      <c r="R114" s="37"/>
      <c r="S114" s="37"/>
      <c r="T114" s="37"/>
      <c r="V114"/>
      <c r="X114"/>
    </row>
    <row r="115" spans="1:24" ht="15" customHeight="1" thickBot="1" x14ac:dyDescent="0.35">
      <c r="A115" s="38">
        <v>43474.579861111109</v>
      </c>
      <c r="B115" s="39">
        <v>141345</v>
      </c>
      <c r="C115" s="36" t="s">
        <v>116</v>
      </c>
      <c r="D115" s="17">
        <v>8040000000000</v>
      </c>
      <c r="E115" s="16" t="s">
        <v>132</v>
      </c>
      <c r="F115" s="17">
        <v>1</v>
      </c>
      <c r="G115" s="18">
        <v>11.95</v>
      </c>
      <c r="H115" s="17">
        <v>5.9749999999999996</v>
      </c>
      <c r="I115" s="18">
        <v>11.95</v>
      </c>
      <c r="J115" s="18">
        <v>5.9749999999999996</v>
      </c>
      <c r="K115" s="37" t="str">
        <f t="shared" si="3"/>
        <v>Inexpensive</v>
      </c>
      <c r="L115" s="37"/>
      <c r="N115" s="37"/>
      <c r="O115" s="37"/>
      <c r="P115" s="37"/>
      <c r="Q115" s="37"/>
      <c r="R115" s="37"/>
      <c r="S115" s="37"/>
      <c r="T115" s="37"/>
      <c r="V115"/>
      <c r="X115"/>
    </row>
    <row r="116" spans="1:24" ht="15" customHeight="1" thickBot="1" x14ac:dyDescent="0.35">
      <c r="A116" s="38">
        <v>43479.582638888889</v>
      </c>
      <c r="B116" s="39">
        <v>141346</v>
      </c>
      <c r="C116" s="36" t="s">
        <v>118</v>
      </c>
      <c r="D116" s="17">
        <v>9860000000000</v>
      </c>
      <c r="E116" s="16" t="s">
        <v>132</v>
      </c>
      <c r="F116" s="17">
        <v>1</v>
      </c>
      <c r="G116" s="18">
        <v>150</v>
      </c>
      <c r="H116" s="17">
        <v>97.5</v>
      </c>
      <c r="I116" s="18">
        <v>150</v>
      </c>
      <c r="J116" s="18">
        <v>52.5</v>
      </c>
      <c r="K116" s="37" t="str">
        <f t="shared" si="3"/>
        <v>Inexpensive</v>
      </c>
      <c r="L116" s="37"/>
      <c r="N116" s="37"/>
      <c r="O116" s="37"/>
      <c r="P116" s="37"/>
      <c r="Q116" s="37"/>
      <c r="R116" s="37"/>
      <c r="S116" s="37"/>
      <c r="T116" s="37"/>
      <c r="V116"/>
      <c r="X116"/>
    </row>
    <row r="117" spans="1:24" ht="15" customHeight="1" thickBot="1" x14ac:dyDescent="0.35">
      <c r="A117" s="38">
        <v>43492.740277777775</v>
      </c>
      <c r="B117" s="39">
        <v>141347</v>
      </c>
      <c r="C117" s="36" t="s">
        <v>122</v>
      </c>
      <c r="D117" s="17">
        <v>4290000000000</v>
      </c>
      <c r="E117" s="16" t="s">
        <v>131</v>
      </c>
      <c r="F117" s="17">
        <v>1</v>
      </c>
      <c r="G117" s="18">
        <v>3.84</v>
      </c>
      <c r="H117" s="17">
        <v>1.92</v>
      </c>
      <c r="I117" s="18">
        <v>3.84</v>
      </c>
      <c r="J117" s="18">
        <v>1.92</v>
      </c>
      <c r="K117" s="37" t="str">
        <f t="shared" si="3"/>
        <v>Inexpensive</v>
      </c>
      <c r="L117" s="37"/>
      <c r="N117" s="37"/>
      <c r="O117" s="37"/>
      <c r="P117" s="37"/>
      <c r="Q117" s="37"/>
      <c r="R117" s="37"/>
      <c r="S117" s="37"/>
      <c r="T117" s="37"/>
      <c r="V117"/>
      <c r="X117"/>
    </row>
    <row r="118" spans="1:24" ht="15" customHeight="1" thickBot="1" x14ac:dyDescent="0.35">
      <c r="A118" s="38">
        <v>43491.788888888892</v>
      </c>
      <c r="B118" s="39">
        <v>141348</v>
      </c>
      <c r="C118" s="36" t="s">
        <v>116</v>
      </c>
      <c r="D118" s="17">
        <v>8890000000000</v>
      </c>
      <c r="E118" s="16" t="s">
        <v>131</v>
      </c>
      <c r="F118" s="17">
        <v>2</v>
      </c>
      <c r="G118" s="18">
        <v>11.95</v>
      </c>
      <c r="H118" s="17">
        <v>5.9749999999999996</v>
      </c>
      <c r="I118" s="18">
        <v>23.9</v>
      </c>
      <c r="J118" s="18">
        <v>11.95</v>
      </c>
      <c r="K118" s="37" t="str">
        <f t="shared" si="3"/>
        <v>Inexpensive</v>
      </c>
      <c r="L118" s="37"/>
      <c r="N118" s="37"/>
      <c r="O118" s="37"/>
      <c r="P118" s="37"/>
      <c r="Q118" s="37"/>
      <c r="R118" s="37"/>
      <c r="S118" s="37"/>
      <c r="T118" s="37"/>
      <c r="V118"/>
      <c r="X118"/>
    </row>
    <row r="119" spans="1:24" ht="15" customHeight="1" thickBot="1" x14ac:dyDescent="0.35">
      <c r="A119" s="38">
        <v>43468.868750000001</v>
      </c>
      <c r="B119" s="39">
        <v>141349</v>
      </c>
      <c r="C119" s="36" t="s">
        <v>111</v>
      </c>
      <c r="D119" s="17">
        <v>9860000000000</v>
      </c>
      <c r="E119" s="16" t="s">
        <v>131</v>
      </c>
      <c r="F119" s="17">
        <v>1</v>
      </c>
      <c r="G119" s="18">
        <v>14.95</v>
      </c>
      <c r="H119" s="17">
        <v>7.4749999999999996</v>
      </c>
      <c r="I119" s="18">
        <v>14.95</v>
      </c>
      <c r="J119" s="18">
        <v>7.4749999999999996</v>
      </c>
      <c r="K119" s="37" t="str">
        <f t="shared" si="3"/>
        <v>Inexpensive</v>
      </c>
      <c r="L119" s="37"/>
      <c r="N119" s="37"/>
      <c r="O119" s="37"/>
      <c r="P119" s="37"/>
      <c r="Q119" s="37"/>
      <c r="R119" s="37"/>
      <c r="S119" s="37"/>
      <c r="T119" s="37"/>
      <c r="V119"/>
      <c r="X119"/>
    </row>
    <row r="120" spans="1:24" ht="15" customHeight="1" thickBot="1" x14ac:dyDescent="0.35">
      <c r="A120" s="38">
        <v>43466.470138888886</v>
      </c>
      <c r="B120" s="39">
        <v>141350</v>
      </c>
      <c r="C120" s="36" t="s">
        <v>111</v>
      </c>
      <c r="D120" s="17">
        <v>2900000000000</v>
      </c>
      <c r="E120" s="16" t="s">
        <v>130</v>
      </c>
      <c r="F120" s="17">
        <v>1</v>
      </c>
      <c r="G120" s="18">
        <v>14.95</v>
      </c>
      <c r="H120" s="17">
        <v>7.4749999999999996</v>
      </c>
      <c r="I120" s="18">
        <v>14.95</v>
      </c>
      <c r="J120" s="18">
        <v>7.4749999999999996</v>
      </c>
      <c r="K120" s="37" t="str">
        <f t="shared" si="3"/>
        <v>Inexpensive</v>
      </c>
      <c r="L120" s="37"/>
      <c r="N120" s="37"/>
      <c r="O120" s="37"/>
      <c r="P120" s="37"/>
      <c r="Q120" s="37"/>
      <c r="R120" s="37"/>
      <c r="S120" s="37"/>
      <c r="T120" s="37"/>
      <c r="V120"/>
      <c r="X120"/>
    </row>
    <row r="121" spans="1:24" ht="15" customHeight="1" thickBot="1" x14ac:dyDescent="0.35">
      <c r="A121" s="38">
        <v>43489.709722222222</v>
      </c>
      <c r="B121" s="39">
        <v>141351</v>
      </c>
      <c r="C121" s="36" t="s">
        <v>116</v>
      </c>
      <c r="D121" s="17">
        <v>6830000000000</v>
      </c>
      <c r="E121" s="16" t="s">
        <v>130</v>
      </c>
      <c r="F121" s="17">
        <v>2</v>
      </c>
      <c r="G121" s="18">
        <v>11.95</v>
      </c>
      <c r="H121" s="17">
        <v>5.9749999999999996</v>
      </c>
      <c r="I121" s="18">
        <v>23.9</v>
      </c>
      <c r="J121" s="18">
        <v>11.95</v>
      </c>
      <c r="K121" s="37" t="str">
        <f t="shared" si="3"/>
        <v>Inexpensive</v>
      </c>
      <c r="L121" s="37"/>
      <c r="N121" s="37"/>
      <c r="O121" s="37"/>
      <c r="P121" s="37"/>
      <c r="Q121" s="37"/>
      <c r="R121" s="37"/>
      <c r="S121" s="37"/>
      <c r="T121" s="37"/>
      <c r="V121"/>
      <c r="X121"/>
    </row>
    <row r="122" spans="1:24" ht="15" customHeight="1" thickBot="1" x14ac:dyDescent="0.35">
      <c r="A122" s="38">
        <v>43476.796527777777</v>
      </c>
      <c r="B122" s="39">
        <v>141352</v>
      </c>
      <c r="C122" s="36" t="s">
        <v>111</v>
      </c>
      <c r="D122" s="17">
        <v>2890000000000</v>
      </c>
      <c r="E122" s="16" t="s">
        <v>132</v>
      </c>
      <c r="F122" s="17">
        <v>1</v>
      </c>
      <c r="G122" s="18">
        <v>14.95</v>
      </c>
      <c r="H122" s="17">
        <v>7.4749999999999996</v>
      </c>
      <c r="I122" s="18">
        <v>14.95</v>
      </c>
      <c r="J122" s="18">
        <v>7.4749999999999996</v>
      </c>
      <c r="K122" s="37" t="str">
        <f t="shared" si="3"/>
        <v>Inexpensive</v>
      </c>
      <c r="L122" s="37"/>
      <c r="N122" s="37"/>
      <c r="O122" s="37"/>
      <c r="P122" s="37"/>
      <c r="Q122" s="37"/>
      <c r="R122" s="37"/>
      <c r="S122" s="37"/>
      <c r="T122" s="37"/>
      <c r="V122"/>
      <c r="X122"/>
    </row>
    <row r="123" spans="1:24" ht="15" customHeight="1" thickBot="1" x14ac:dyDescent="0.35">
      <c r="A123" s="38">
        <v>43491.440972222219</v>
      </c>
      <c r="B123" s="39">
        <v>141353</v>
      </c>
      <c r="C123" s="36" t="s">
        <v>116</v>
      </c>
      <c r="D123" s="17">
        <v>7620000000000</v>
      </c>
      <c r="E123" s="16" t="s">
        <v>132</v>
      </c>
      <c r="F123" s="17">
        <v>1</v>
      </c>
      <c r="G123" s="18">
        <v>11.95</v>
      </c>
      <c r="H123" s="17">
        <v>5.9749999999999996</v>
      </c>
      <c r="I123" s="18">
        <v>11.95</v>
      </c>
      <c r="J123" s="18">
        <v>5.9749999999999996</v>
      </c>
      <c r="K123" s="37" t="str">
        <f t="shared" si="3"/>
        <v>Inexpensive</v>
      </c>
      <c r="L123" s="37"/>
      <c r="N123" s="37"/>
      <c r="O123" s="37"/>
      <c r="P123" s="37"/>
      <c r="Q123" s="37"/>
      <c r="R123" s="37"/>
      <c r="S123" s="37"/>
      <c r="T123" s="37"/>
      <c r="V123"/>
      <c r="X123"/>
    </row>
    <row r="124" spans="1:24" ht="15" customHeight="1" thickBot="1" x14ac:dyDescent="0.35">
      <c r="A124" s="38">
        <v>43468.466666666667</v>
      </c>
      <c r="B124" s="39">
        <v>141354</v>
      </c>
      <c r="C124" s="36" t="s">
        <v>117</v>
      </c>
      <c r="D124" s="17">
        <v>1870000000000</v>
      </c>
      <c r="E124" s="16" t="s">
        <v>130</v>
      </c>
      <c r="F124" s="17">
        <v>1</v>
      </c>
      <c r="G124" s="18">
        <v>99.99</v>
      </c>
      <c r="H124" s="17">
        <v>49.994999999999997</v>
      </c>
      <c r="I124" s="18">
        <v>99.99</v>
      </c>
      <c r="J124" s="18">
        <v>49.994999999999997</v>
      </c>
      <c r="K124" s="37" t="str">
        <f t="shared" si="3"/>
        <v>Inexpensive</v>
      </c>
      <c r="L124" s="37"/>
      <c r="N124" s="37"/>
      <c r="O124" s="37"/>
      <c r="P124" s="37"/>
      <c r="Q124" s="37"/>
      <c r="R124" s="37"/>
      <c r="S124" s="37"/>
      <c r="T124" s="37"/>
      <c r="V124"/>
      <c r="X124"/>
    </row>
    <row r="125" spans="1:24" ht="15" customHeight="1" thickBot="1" x14ac:dyDescent="0.35">
      <c r="A125" s="38">
        <v>43483.64166666667</v>
      </c>
      <c r="B125" s="39">
        <v>141355</v>
      </c>
      <c r="C125" s="36" t="s">
        <v>115</v>
      </c>
      <c r="D125" s="17">
        <v>5080000000000</v>
      </c>
      <c r="E125" s="16" t="s">
        <v>130</v>
      </c>
      <c r="F125" s="17">
        <v>1</v>
      </c>
      <c r="G125" s="18">
        <v>389.99</v>
      </c>
      <c r="H125" s="17">
        <v>128.69669999999999</v>
      </c>
      <c r="I125" s="18">
        <v>389.99</v>
      </c>
      <c r="J125" s="18">
        <v>261.29329999999999</v>
      </c>
      <c r="K125" s="37" t="str">
        <f t="shared" si="3"/>
        <v>Inexpensive</v>
      </c>
      <c r="L125" s="37"/>
      <c r="N125" s="37"/>
      <c r="O125" s="37"/>
      <c r="P125" s="37"/>
      <c r="Q125" s="37"/>
      <c r="R125" s="37"/>
      <c r="S125" s="37"/>
      <c r="T125" s="37"/>
      <c r="V125"/>
      <c r="X125"/>
    </row>
    <row r="126" spans="1:24" ht="15" customHeight="1" thickBot="1" x14ac:dyDescent="0.35">
      <c r="A126" s="38">
        <v>43474.730555555558</v>
      </c>
      <c r="B126" s="39">
        <v>141356</v>
      </c>
      <c r="C126" s="36" t="s">
        <v>111</v>
      </c>
      <c r="D126" s="17">
        <v>8730000000000</v>
      </c>
      <c r="E126" s="16" t="s">
        <v>131</v>
      </c>
      <c r="F126" s="17">
        <v>1</v>
      </c>
      <c r="G126" s="18">
        <v>14.95</v>
      </c>
      <c r="H126" s="17">
        <v>7.4749999999999996</v>
      </c>
      <c r="I126" s="18">
        <v>14.95</v>
      </c>
      <c r="J126" s="18">
        <v>7.4749999999999996</v>
      </c>
      <c r="K126" s="37" t="str">
        <f t="shared" si="3"/>
        <v>Inexpensive</v>
      </c>
      <c r="L126" s="37"/>
      <c r="N126" s="37"/>
      <c r="O126" s="37"/>
      <c r="P126" s="37"/>
      <c r="Q126" s="37"/>
      <c r="R126" s="37"/>
      <c r="S126" s="37"/>
      <c r="T126" s="37"/>
      <c r="V126"/>
      <c r="X126"/>
    </row>
    <row r="127" spans="1:24" ht="15" customHeight="1" thickBot="1" x14ac:dyDescent="0.35">
      <c r="A127" s="38">
        <v>43488.229166666664</v>
      </c>
      <c r="B127" s="39">
        <v>141357</v>
      </c>
      <c r="C127" s="36" t="s">
        <v>111</v>
      </c>
      <c r="D127" s="17">
        <v>6860000000000</v>
      </c>
      <c r="E127" s="16" t="s">
        <v>130</v>
      </c>
      <c r="F127" s="17">
        <v>1</v>
      </c>
      <c r="G127" s="18">
        <v>14.95</v>
      </c>
      <c r="H127" s="17">
        <v>7.4749999999999996</v>
      </c>
      <c r="I127" s="18">
        <v>14.95</v>
      </c>
      <c r="J127" s="18">
        <v>7.4749999999999996</v>
      </c>
      <c r="K127" s="37" t="str">
        <f t="shared" si="3"/>
        <v>Inexpensive</v>
      </c>
      <c r="L127" s="37"/>
      <c r="N127" s="37"/>
      <c r="O127" s="37"/>
      <c r="P127" s="37"/>
      <c r="Q127" s="37"/>
      <c r="R127" s="37"/>
      <c r="S127" s="37"/>
      <c r="T127" s="37"/>
      <c r="V127"/>
      <c r="X127"/>
    </row>
    <row r="128" spans="1:24" ht="15" customHeight="1" thickBot="1" x14ac:dyDescent="0.35">
      <c r="A128" s="38">
        <v>43470.646527777775</v>
      </c>
      <c r="B128" s="39">
        <v>141358</v>
      </c>
      <c r="C128" s="36" t="s">
        <v>111</v>
      </c>
      <c r="D128" s="17">
        <v>5900000000000</v>
      </c>
      <c r="E128" s="16" t="s">
        <v>132</v>
      </c>
      <c r="F128" s="17">
        <v>1</v>
      </c>
      <c r="G128" s="18">
        <v>14.95</v>
      </c>
      <c r="H128" s="17">
        <v>7.4749999999999996</v>
      </c>
      <c r="I128" s="18">
        <v>14.95</v>
      </c>
      <c r="J128" s="18">
        <v>7.4749999999999996</v>
      </c>
      <c r="K128" s="37" t="str">
        <f t="shared" si="3"/>
        <v>Inexpensive</v>
      </c>
      <c r="L128" s="37"/>
      <c r="N128" s="37"/>
      <c r="O128" s="37"/>
      <c r="P128" s="37"/>
      <c r="Q128" s="37"/>
      <c r="R128" s="37"/>
      <c r="S128" s="37"/>
      <c r="T128" s="37"/>
      <c r="V128"/>
      <c r="X128"/>
    </row>
    <row r="129" spans="1:24" ht="15" customHeight="1" thickBot="1" x14ac:dyDescent="0.35">
      <c r="A129" s="38">
        <v>43474.931250000001</v>
      </c>
      <c r="B129" s="39">
        <v>141359</v>
      </c>
      <c r="C129" s="36" t="s">
        <v>114</v>
      </c>
      <c r="D129" s="17">
        <v>7190000000000</v>
      </c>
      <c r="E129" s="16" t="s">
        <v>130</v>
      </c>
      <c r="F129" s="17">
        <v>2</v>
      </c>
      <c r="G129" s="18">
        <v>2.99</v>
      </c>
      <c r="H129" s="17">
        <v>1.4950000000000001</v>
      </c>
      <c r="I129" s="18">
        <v>5.98</v>
      </c>
      <c r="J129" s="18">
        <v>2.99</v>
      </c>
      <c r="K129" s="37" t="str">
        <f t="shared" si="3"/>
        <v>Inexpensive</v>
      </c>
      <c r="L129" s="37"/>
      <c r="N129" s="37"/>
      <c r="O129" s="37"/>
      <c r="P129" s="37"/>
      <c r="Q129" s="37"/>
      <c r="R129" s="37"/>
      <c r="S129" s="37"/>
      <c r="T129" s="37"/>
      <c r="V129"/>
      <c r="X129"/>
    </row>
    <row r="130" spans="1:24" ht="15" customHeight="1" thickBot="1" x14ac:dyDescent="0.35">
      <c r="A130" s="38">
        <v>43482.875</v>
      </c>
      <c r="B130" s="39">
        <v>141360</v>
      </c>
      <c r="C130" s="36" t="s">
        <v>119</v>
      </c>
      <c r="D130" s="17">
        <v>4900000000000</v>
      </c>
      <c r="E130" s="16" t="s">
        <v>130</v>
      </c>
      <c r="F130" s="17">
        <v>1</v>
      </c>
      <c r="G130" s="18">
        <v>1700</v>
      </c>
      <c r="H130" s="17">
        <v>561</v>
      </c>
      <c r="I130" s="18">
        <v>1700</v>
      </c>
      <c r="J130" s="18">
        <v>1139</v>
      </c>
      <c r="K130" s="37" t="str">
        <f t="shared" si="3"/>
        <v>Expensive</v>
      </c>
      <c r="L130" s="37"/>
      <c r="N130" s="37"/>
      <c r="O130" s="37"/>
      <c r="P130" s="37"/>
      <c r="Q130" s="37"/>
      <c r="R130" s="37"/>
      <c r="S130" s="37"/>
      <c r="T130" s="37"/>
      <c r="V130"/>
      <c r="X130"/>
    </row>
    <row r="131" spans="1:24" ht="15" customHeight="1" thickBot="1" x14ac:dyDescent="0.35">
      <c r="A131" s="38">
        <v>43488.652083333334</v>
      </c>
      <c r="B131" s="39">
        <v>141361</v>
      </c>
      <c r="C131" s="36" t="s">
        <v>118</v>
      </c>
      <c r="D131" s="17">
        <v>5160000000000</v>
      </c>
      <c r="E131" s="16" t="s">
        <v>131</v>
      </c>
      <c r="F131" s="17">
        <v>2</v>
      </c>
      <c r="G131" s="18">
        <v>150</v>
      </c>
      <c r="H131" s="17">
        <v>97.5</v>
      </c>
      <c r="I131" s="18">
        <v>300</v>
      </c>
      <c r="J131" s="18">
        <v>105</v>
      </c>
      <c r="K131" s="37" t="str">
        <f t="shared" ref="K131:K194" si="4">IF(G131&gt;=700,"Expensive","Inexpensive")</f>
        <v>Inexpensive</v>
      </c>
      <c r="L131" s="37"/>
      <c r="N131" s="37"/>
      <c r="O131" s="37"/>
      <c r="P131" s="37"/>
      <c r="Q131" s="37"/>
      <c r="R131" s="37"/>
      <c r="S131" s="37"/>
      <c r="T131" s="37"/>
      <c r="V131"/>
      <c r="X131"/>
    </row>
    <row r="132" spans="1:24" ht="15" customHeight="1" thickBot="1" x14ac:dyDescent="0.35">
      <c r="A132" s="38">
        <v>43467.928472222222</v>
      </c>
      <c r="B132" s="39">
        <v>141362</v>
      </c>
      <c r="C132" s="36" t="s">
        <v>111</v>
      </c>
      <c r="D132" s="17">
        <v>5220000000000</v>
      </c>
      <c r="E132" s="16" t="s">
        <v>131</v>
      </c>
      <c r="F132" s="17">
        <v>1</v>
      </c>
      <c r="G132" s="18">
        <v>14.95</v>
      </c>
      <c r="H132" s="17">
        <v>7.4749999999999996</v>
      </c>
      <c r="I132" s="18">
        <v>14.95</v>
      </c>
      <c r="J132" s="18">
        <v>7.4749999999999996</v>
      </c>
      <c r="K132" s="37" t="str">
        <f t="shared" si="4"/>
        <v>Inexpensive</v>
      </c>
      <c r="L132" s="37"/>
      <c r="N132" s="37"/>
      <c r="O132" s="37"/>
      <c r="P132" s="37"/>
      <c r="Q132" s="37"/>
      <c r="R132" s="37"/>
      <c r="S132" s="37"/>
      <c r="T132" s="37"/>
      <c r="V132"/>
      <c r="X132"/>
    </row>
    <row r="133" spans="1:24" ht="15" customHeight="1" thickBot="1" x14ac:dyDescent="0.35">
      <c r="A133" s="38">
        <v>43473.26666666667</v>
      </c>
      <c r="B133" s="39">
        <v>141363</v>
      </c>
      <c r="C133" s="36" t="s">
        <v>112</v>
      </c>
      <c r="D133" s="17">
        <v>1620000000000</v>
      </c>
      <c r="E133" s="16" t="s">
        <v>130</v>
      </c>
      <c r="F133" s="17">
        <v>1</v>
      </c>
      <c r="G133" s="18">
        <v>11.99</v>
      </c>
      <c r="H133" s="17">
        <v>5.9950000000000001</v>
      </c>
      <c r="I133" s="18">
        <v>11.99</v>
      </c>
      <c r="J133" s="18">
        <v>5.9950000000000001</v>
      </c>
      <c r="K133" s="37" t="str">
        <f t="shared" si="4"/>
        <v>Inexpensive</v>
      </c>
      <c r="L133" s="37"/>
      <c r="N133" s="37"/>
      <c r="O133" s="37"/>
      <c r="P133" s="37"/>
      <c r="Q133" s="37"/>
      <c r="R133" s="37"/>
      <c r="S133" s="37"/>
      <c r="T133" s="37"/>
      <c r="V133"/>
      <c r="X133"/>
    </row>
    <row r="134" spans="1:24" ht="15" customHeight="1" thickBot="1" x14ac:dyDescent="0.35">
      <c r="A134" s="38">
        <v>43466.323611111111</v>
      </c>
      <c r="B134" s="39">
        <v>141364</v>
      </c>
      <c r="C134" s="36" t="s">
        <v>122</v>
      </c>
      <c r="D134" s="17">
        <v>6230000000000</v>
      </c>
      <c r="E134" s="16" t="s">
        <v>130</v>
      </c>
      <c r="F134" s="17">
        <v>1</v>
      </c>
      <c r="G134" s="18">
        <v>3.84</v>
      </c>
      <c r="H134" s="17">
        <v>1.92</v>
      </c>
      <c r="I134" s="18">
        <v>3.84</v>
      </c>
      <c r="J134" s="18">
        <v>1.92</v>
      </c>
      <c r="K134" s="37" t="str">
        <f t="shared" si="4"/>
        <v>Inexpensive</v>
      </c>
      <c r="L134" s="37"/>
      <c r="N134" s="37"/>
      <c r="O134" s="37"/>
      <c r="P134" s="37"/>
      <c r="Q134" s="37"/>
      <c r="R134" s="37"/>
      <c r="S134" s="37"/>
      <c r="T134" s="37"/>
      <c r="V134"/>
      <c r="X134"/>
    </row>
    <row r="135" spans="1:24" ht="15" customHeight="1" thickBot="1" x14ac:dyDescent="0.35">
      <c r="A135" s="38">
        <v>43475.47152777778</v>
      </c>
      <c r="B135" s="40">
        <v>141365</v>
      </c>
      <c r="C135" s="36" t="s">
        <v>121</v>
      </c>
      <c r="D135" s="17">
        <v>2980000000000</v>
      </c>
      <c r="E135" s="16" t="s">
        <v>132</v>
      </c>
      <c r="F135" s="17">
        <v>1</v>
      </c>
      <c r="G135" s="18">
        <v>400</v>
      </c>
      <c r="H135" s="17">
        <v>132</v>
      </c>
      <c r="I135" s="18">
        <v>400</v>
      </c>
      <c r="J135" s="18">
        <v>268</v>
      </c>
      <c r="K135" s="37" t="str">
        <f t="shared" si="4"/>
        <v>Inexpensive</v>
      </c>
      <c r="L135" s="37"/>
      <c r="N135" s="37"/>
      <c r="O135" s="37"/>
      <c r="P135" s="37"/>
      <c r="Q135" s="37"/>
      <c r="R135" s="37"/>
      <c r="S135" s="37"/>
      <c r="T135" s="37"/>
      <c r="V135"/>
      <c r="X135"/>
    </row>
    <row r="136" spans="1:24" ht="15" customHeight="1" thickBot="1" x14ac:dyDescent="0.35">
      <c r="A136" s="38">
        <v>43475.47152777778</v>
      </c>
      <c r="B136" s="40">
        <v>141365</v>
      </c>
      <c r="C136" s="36" t="s">
        <v>112</v>
      </c>
      <c r="D136" s="17">
        <v>9340000000000</v>
      </c>
      <c r="E136" s="16" t="s">
        <v>132</v>
      </c>
      <c r="F136" s="17">
        <v>1</v>
      </c>
      <c r="G136" s="18">
        <v>11.99</v>
      </c>
      <c r="H136" s="17">
        <v>5.9950000000000001</v>
      </c>
      <c r="I136" s="18">
        <v>11.99</v>
      </c>
      <c r="J136" s="18">
        <v>5.9950000000000001</v>
      </c>
      <c r="K136" s="37" t="str">
        <f t="shared" si="4"/>
        <v>Inexpensive</v>
      </c>
      <c r="L136" s="37"/>
      <c r="N136" s="37"/>
      <c r="O136" s="37"/>
      <c r="P136" s="37"/>
      <c r="Q136" s="37"/>
      <c r="R136" s="37"/>
      <c r="S136" s="37"/>
      <c r="T136" s="37"/>
      <c r="V136"/>
      <c r="X136"/>
    </row>
    <row r="137" spans="1:24" ht="15" customHeight="1" thickBot="1" x14ac:dyDescent="0.35">
      <c r="A137" s="38">
        <v>43482.94027777778</v>
      </c>
      <c r="B137" s="39">
        <v>141366</v>
      </c>
      <c r="C137" s="36" t="s">
        <v>120</v>
      </c>
      <c r="D137" s="17">
        <v>9420000000000</v>
      </c>
      <c r="E137" s="16" t="s">
        <v>130</v>
      </c>
      <c r="F137" s="17">
        <v>1</v>
      </c>
      <c r="G137" s="18">
        <v>300</v>
      </c>
      <c r="H137" s="17">
        <v>99</v>
      </c>
      <c r="I137" s="18">
        <v>300</v>
      </c>
      <c r="J137" s="18">
        <v>201</v>
      </c>
      <c r="K137" s="37" t="str">
        <f t="shared" si="4"/>
        <v>Inexpensive</v>
      </c>
      <c r="L137" s="37"/>
      <c r="N137" s="37"/>
      <c r="O137" s="37"/>
      <c r="P137" s="37"/>
      <c r="Q137" s="37"/>
      <c r="R137" s="37"/>
      <c r="S137" s="37"/>
      <c r="T137" s="37"/>
      <c r="V137"/>
      <c r="X137"/>
    </row>
    <row r="138" spans="1:24" ht="15" customHeight="1" thickBot="1" x14ac:dyDescent="0.35">
      <c r="A138" s="38">
        <v>43474.42083333333</v>
      </c>
      <c r="B138" s="39">
        <v>141367</v>
      </c>
      <c r="C138" s="36" t="s">
        <v>115</v>
      </c>
      <c r="D138" s="17">
        <v>4640000000000</v>
      </c>
      <c r="E138" s="16" t="s">
        <v>132</v>
      </c>
      <c r="F138" s="17">
        <v>1</v>
      </c>
      <c r="G138" s="18">
        <v>389.99</v>
      </c>
      <c r="H138" s="17">
        <v>128.69669999999999</v>
      </c>
      <c r="I138" s="18">
        <v>389.99</v>
      </c>
      <c r="J138" s="18">
        <v>261.29329999999999</v>
      </c>
      <c r="K138" s="37" t="str">
        <f t="shared" si="4"/>
        <v>Inexpensive</v>
      </c>
      <c r="L138" s="37"/>
      <c r="N138" s="37"/>
      <c r="O138" s="37"/>
      <c r="P138" s="37"/>
      <c r="Q138" s="37"/>
      <c r="R138" s="37"/>
      <c r="S138" s="37"/>
      <c r="T138" s="37"/>
      <c r="V138"/>
      <c r="X138"/>
    </row>
    <row r="139" spans="1:24" ht="15" customHeight="1" thickBot="1" x14ac:dyDescent="0.35">
      <c r="A139" s="38">
        <v>43475.902083333334</v>
      </c>
      <c r="B139" s="39">
        <v>141368</v>
      </c>
      <c r="C139" s="36" t="s">
        <v>116</v>
      </c>
      <c r="D139" s="17">
        <v>9070000000000</v>
      </c>
      <c r="E139" s="16" t="s">
        <v>131</v>
      </c>
      <c r="F139" s="17">
        <v>1</v>
      </c>
      <c r="G139" s="18">
        <v>11.95</v>
      </c>
      <c r="H139" s="17">
        <v>5.9749999999999996</v>
      </c>
      <c r="I139" s="18">
        <v>11.95</v>
      </c>
      <c r="J139" s="18">
        <v>5.9749999999999996</v>
      </c>
      <c r="K139" s="37" t="str">
        <f t="shared" si="4"/>
        <v>Inexpensive</v>
      </c>
      <c r="L139" s="37"/>
      <c r="N139" s="37"/>
      <c r="O139" s="37"/>
      <c r="P139" s="37"/>
      <c r="Q139" s="37"/>
      <c r="R139" s="37"/>
      <c r="S139" s="37"/>
      <c r="T139" s="37"/>
      <c r="V139"/>
      <c r="X139"/>
    </row>
    <row r="140" spans="1:24" ht="15" customHeight="1" thickBot="1" x14ac:dyDescent="0.35">
      <c r="A140" s="38">
        <v>43486.877083333333</v>
      </c>
      <c r="B140" s="39">
        <v>141369</v>
      </c>
      <c r="C140" s="36" t="s">
        <v>111</v>
      </c>
      <c r="D140" s="17">
        <v>4270000000000</v>
      </c>
      <c r="E140" s="16" t="s">
        <v>130</v>
      </c>
      <c r="F140" s="17">
        <v>1</v>
      </c>
      <c r="G140" s="18">
        <v>14.95</v>
      </c>
      <c r="H140" s="17">
        <v>7.4749999999999996</v>
      </c>
      <c r="I140" s="18">
        <v>14.95</v>
      </c>
      <c r="J140" s="18">
        <v>7.4749999999999996</v>
      </c>
      <c r="K140" s="37" t="str">
        <f t="shared" si="4"/>
        <v>Inexpensive</v>
      </c>
      <c r="L140" s="37"/>
      <c r="N140" s="37"/>
      <c r="O140" s="37"/>
      <c r="P140" s="37"/>
      <c r="Q140" s="37"/>
      <c r="R140" s="37"/>
      <c r="S140" s="37"/>
      <c r="T140" s="37"/>
      <c r="V140"/>
      <c r="X140"/>
    </row>
    <row r="141" spans="1:24" ht="15" customHeight="1" thickBot="1" x14ac:dyDescent="0.35">
      <c r="A141" s="38">
        <v>43489.870138888888</v>
      </c>
      <c r="B141" s="39">
        <v>141370</v>
      </c>
      <c r="C141" s="36" t="s">
        <v>114</v>
      </c>
      <c r="D141" s="17">
        <v>4730000000000</v>
      </c>
      <c r="E141" s="16" t="s">
        <v>132</v>
      </c>
      <c r="F141" s="17">
        <v>2</v>
      </c>
      <c r="G141" s="18">
        <v>2.99</v>
      </c>
      <c r="H141" s="17">
        <v>1.4950000000000001</v>
      </c>
      <c r="I141" s="18">
        <v>5.98</v>
      </c>
      <c r="J141" s="18">
        <v>2.99</v>
      </c>
      <c r="K141" s="37" t="str">
        <f t="shared" si="4"/>
        <v>Inexpensive</v>
      </c>
      <c r="L141" s="37"/>
      <c r="N141" s="37"/>
      <c r="O141" s="37"/>
      <c r="P141" s="37"/>
      <c r="Q141" s="37"/>
      <c r="R141" s="37"/>
      <c r="S141" s="37"/>
      <c r="T141" s="37"/>
      <c r="V141"/>
      <c r="X141"/>
    </row>
    <row r="142" spans="1:24" ht="15" customHeight="1" thickBot="1" x14ac:dyDescent="0.35">
      <c r="A142" s="38">
        <v>43488.773611111108</v>
      </c>
      <c r="B142" s="39">
        <v>141371</v>
      </c>
      <c r="C142" s="36" t="s">
        <v>111</v>
      </c>
      <c r="D142" s="17">
        <v>6810000000000</v>
      </c>
      <c r="E142" s="16" t="s">
        <v>132</v>
      </c>
      <c r="F142" s="17">
        <v>1</v>
      </c>
      <c r="G142" s="18">
        <v>14.95</v>
      </c>
      <c r="H142" s="17">
        <v>7.4749999999999996</v>
      </c>
      <c r="I142" s="18">
        <v>14.95</v>
      </c>
      <c r="J142" s="18">
        <v>7.4749999999999996</v>
      </c>
      <c r="K142" s="37" t="str">
        <f t="shared" si="4"/>
        <v>Inexpensive</v>
      </c>
      <c r="L142" s="37"/>
      <c r="N142" s="37"/>
      <c r="O142" s="37"/>
      <c r="P142" s="37"/>
      <c r="Q142" s="37"/>
      <c r="R142" s="37"/>
      <c r="S142" s="37"/>
      <c r="T142" s="37"/>
      <c r="V142"/>
      <c r="X142"/>
    </row>
    <row r="143" spans="1:24" ht="15" customHeight="1" thickBot="1" x14ac:dyDescent="0.35">
      <c r="A143" s="38">
        <v>43491.421527777777</v>
      </c>
      <c r="B143" s="39">
        <v>141372</v>
      </c>
      <c r="C143" s="36" t="s">
        <v>114</v>
      </c>
      <c r="D143" s="17">
        <v>9230000000000</v>
      </c>
      <c r="E143" s="16" t="s">
        <v>131</v>
      </c>
      <c r="F143" s="17">
        <v>1</v>
      </c>
      <c r="G143" s="18">
        <v>2.99</v>
      </c>
      <c r="H143" s="17">
        <v>1.4950000000000001</v>
      </c>
      <c r="I143" s="18">
        <v>2.99</v>
      </c>
      <c r="J143" s="18">
        <v>1.4950000000000001</v>
      </c>
      <c r="K143" s="37" t="str">
        <f t="shared" si="4"/>
        <v>Inexpensive</v>
      </c>
      <c r="L143" s="37"/>
      <c r="N143" s="37"/>
      <c r="O143" s="37"/>
      <c r="P143" s="37"/>
      <c r="Q143" s="37"/>
      <c r="R143" s="37"/>
      <c r="S143" s="37"/>
      <c r="T143" s="37"/>
      <c r="V143"/>
      <c r="X143"/>
    </row>
    <row r="144" spans="1:24" ht="15" customHeight="1" thickBot="1" x14ac:dyDescent="0.35">
      <c r="A144" s="38">
        <v>43485.547222222223</v>
      </c>
      <c r="B144" s="39">
        <v>141373</v>
      </c>
      <c r="C144" s="36" t="s">
        <v>113</v>
      </c>
      <c r="D144" s="17">
        <v>6960000000000</v>
      </c>
      <c r="E144" s="16" t="s">
        <v>132</v>
      </c>
      <c r="F144" s="17">
        <v>1</v>
      </c>
      <c r="G144" s="18">
        <v>149.99</v>
      </c>
      <c r="H144" s="17">
        <v>97.493499999999997</v>
      </c>
      <c r="I144" s="18">
        <v>149.99</v>
      </c>
      <c r="J144" s="18">
        <v>52.496499999999997</v>
      </c>
      <c r="K144" s="37" t="str">
        <f t="shared" si="4"/>
        <v>Inexpensive</v>
      </c>
      <c r="L144" s="37"/>
      <c r="N144" s="37"/>
      <c r="O144" s="37"/>
      <c r="P144" s="37"/>
      <c r="Q144" s="37"/>
      <c r="R144" s="37"/>
      <c r="S144" s="37"/>
      <c r="T144" s="37"/>
      <c r="V144"/>
      <c r="X144"/>
    </row>
    <row r="145" spans="1:24" ht="15" customHeight="1" thickBot="1" x14ac:dyDescent="0.35">
      <c r="A145" s="38">
        <v>43479.425000000003</v>
      </c>
      <c r="B145" s="39">
        <v>141374</v>
      </c>
      <c r="C145" s="36" t="s">
        <v>112</v>
      </c>
      <c r="D145" s="17">
        <v>5590000000000</v>
      </c>
      <c r="E145" s="16" t="s">
        <v>131</v>
      </c>
      <c r="F145" s="17">
        <v>1</v>
      </c>
      <c r="G145" s="18">
        <v>11.99</v>
      </c>
      <c r="H145" s="17">
        <v>5.9950000000000001</v>
      </c>
      <c r="I145" s="18">
        <v>11.99</v>
      </c>
      <c r="J145" s="18">
        <v>5.9950000000000001</v>
      </c>
      <c r="K145" s="37" t="str">
        <f t="shared" si="4"/>
        <v>Inexpensive</v>
      </c>
      <c r="L145" s="37"/>
      <c r="N145" s="37"/>
      <c r="O145" s="37"/>
      <c r="P145" s="37"/>
      <c r="Q145" s="37"/>
      <c r="R145" s="37"/>
      <c r="S145" s="37"/>
      <c r="T145" s="37"/>
      <c r="V145"/>
      <c r="X145"/>
    </row>
    <row r="146" spans="1:24" ht="15" customHeight="1" thickBot="1" x14ac:dyDescent="0.35">
      <c r="A146" s="38">
        <v>43475.57708333333</v>
      </c>
      <c r="B146" s="39">
        <v>141375</v>
      </c>
      <c r="C146" s="36" t="s">
        <v>115</v>
      </c>
      <c r="D146" s="17">
        <v>8170000000000</v>
      </c>
      <c r="E146" s="16" t="s">
        <v>131</v>
      </c>
      <c r="F146" s="17">
        <v>1</v>
      </c>
      <c r="G146" s="18">
        <v>389.99</v>
      </c>
      <c r="H146" s="17">
        <v>128.69669999999999</v>
      </c>
      <c r="I146" s="18">
        <v>389.99</v>
      </c>
      <c r="J146" s="18">
        <v>261.29329999999999</v>
      </c>
      <c r="K146" s="37" t="str">
        <f t="shared" si="4"/>
        <v>Inexpensive</v>
      </c>
      <c r="L146" s="37"/>
      <c r="N146" s="37"/>
      <c r="O146" s="37"/>
      <c r="P146" s="37"/>
      <c r="Q146" s="37"/>
      <c r="R146" s="37"/>
      <c r="S146" s="37"/>
      <c r="T146" s="37"/>
      <c r="V146"/>
      <c r="X146"/>
    </row>
    <row r="147" spans="1:24" ht="15" customHeight="1" thickBot="1" x14ac:dyDescent="0.35">
      <c r="A147" s="38">
        <v>43485.622916666667</v>
      </c>
      <c r="B147" s="39">
        <v>141376</v>
      </c>
      <c r="C147" s="36" t="s">
        <v>112</v>
      </c>
      <c r="D147" s="17">
        <v>6630000000000</v>
      </c>
      <c r="E147" s="16" t="s">
        <v>130</v>
      </c>
      <c r="F147" s="17">
        <v>1</v>
      </c>
      <c r="G147" s="18">
        <v>11.99</v>
      </c>
      <c r="H147" s="17">
        <v>5.9950000000000001</v>
      </c>
      <c r="I147" s="18">
        <v>11.99</v>
      </c>
      <c r="J147" s="18">
        <v>5.9950000000000001</v>
      </c>
      <c r="K147" s="37" t="str">
        <f t="shared" si="4"/>
        <v>Inexpensive</v>
      </c>
      <c r="L147" s="37"/>
      <c r="N147" s="37"/>
      <c r="O147" s="37"/>
      <c r="P147" s="37"/>
      <c r="Q147" s="37"/>
      <c r="R147" s="37"/>
      <c r="S147" s="37"/>
      <c r="T147" s="37"/>
      <c r="V147"/>
      <c r="X147"/>
    </row>
    <row r="148" spans="1:24" ht="15" customHeight="1" thickBot="1" x14ac:dyDescent="0.35">
      <c r="A148" s="38">
        <v>43485.633333333331</v>
      </c>
      <c r="B148" s="39">
        <v>141377</v>
      </c>
      <c r="C148" s="36" t="s">
        <v>112</v>
      </c>
      <c r="D148" s="17">
        <v>3140000000000</v>
      </c>
      <c r="E148" s="16" t="s">
        <v>132</v>
      </c>
      <c r="F148" s="17">
        <v>1</v>
      </c>
      <c r="G148" s="18">
        <v>11.99</v>
      </c>
      <c r="H148" s="17">
        <v>5.9950000000000001</v>
      </c>
      <c r="I148" s="18">
        <v>11.99</v>
      </c>
      <c r="J148" s="18">
        <v>5.9950000000000001</v>
      </c>
      <c r="K148" s="37" t="str">
        <f t="shared" si="4"/>
        <v>Inexpensive</v>
      </c>
      <c r="L148" s="37"/>
      <c r="N148" s="37"/>
      <c r="O148" s="37"/>
      <c r="P148" s="37"/>
      <c r="Q148" s="37"/>
      <c r="R148" s="37"/>
      <c r="S148" s="37"/>
      <c r="T148" s="37"/>
      <c r="V148"/>
      <c r="X148"/>
    </row>
    <row r="149" spans="1:24" ht="15" customHeight="1" thickBot="1" x14ac:dyDescent="0.35">
      <c r="A149" s="38">
        <v>43487.434027777781</v>
      </c>
      <c r="B149" s="39">
        <v>141378</v>
      </c>
      <c r="C149" s="36" t="s">
        <v>116</v>
      </c>
      <c r="D149" s="17">
        <v>4680000000000</v>
      </c>
      <c r="E149" s="16" t="s">
        <v>130</v>
      </c>
      <c r="F149" s="17">
        <v>1</v>
      </c>
      <c r="G149" s="18">
        <v>11.95</v>
      </c>
      <c r="H149" s="17">
        <v>5.9749999999999996</v>
      </c>
      <c r="I149" s="18">
        <v>11.95</v>
      </c>
      <c r="J149" s="18">
        <v>5.9749999999999996</v>
      </c>
      <c r="K149" s="37" t="str">
        <f t="shared" si="4"/>
        <v>Inexpensive</v>
      </c>
      <c r="L149" s="37"/>
      <c r="N149" s="37"/>
      <c r="O149" s="37"/>
      <c r="P149" s="37"/>
      <c r="Q149" s="37"/>
      <c r="R149" s="37"/>
      <c r="S149" s="37"/>
      <c r="T149" s="37"/>
      <c r="V149"/>
      <c r="X149"/>
    </row>
    <row r="150" spans="1:24" ht="15" customHeight="1" thickBot="1" x14ac:dyDescent="0.35">
      <c r="A150" s="38">
        <v>43490.75</v>
      </c>
      <c r="B150" s="39">
        <v>141379</v>
      </c>
      <c r="C150" s="36" t="s">
        <v>122</v>
      </c>
      <c r="D150" s="17">
        <v>7880000000000</v>
      </c>
      <c r="E150" s="16" t="s">
        <v>132</v>
      </c>
      <c r="F150" s="17">
        <v>1</v>
      </c>
      <c r="G150" s="18">
        <v>3.84</v>
      </c>
      <c r="H150" s="17">
        <v>1.92</v>
      </c>
      <c r="I150" s="18">
        <v>3.84</v>
      </c>
      <c r="J150" s="18">
        <v>1.92</v>
      </c>
      <c r="K150" s="37" t="str">
        <f t="shared" si="4"/>
        <v>Inexpensive</v>
      </c>
      <c r="L150" s="37"/>
      <c r="N150" s="37"/>
      <c r="O150" s="37"/>
      <c r="P150" s="37"/>
      <c r="Q150" s="37"/>
      <c r="R150" s="37"/>
      <c r="S150" s="37"/>
      <c r="T150" s="37"/>
      <c r="V150"/>
      <c r="X150"/>
    </row>
    <row r="151" spans="1:24" ht="15" customHeight="1" thickBot="1" x14ac:dyDescent="0.35">
      <c r="A151" s="38">
        <v>43482.78125</v>
      </c>
      <c r="B151" s="39">
        <v>141380</v>
      </c>
      <c r="C151" s="36" t="s">
        <v>116</v>
      </c>
      <c r="D151" s="17">
        <v>5980000000000</v>
      </c>
      <c r="E151" s="16" t="s">
        <v>132</v>
      </c>
      <c r="F151" s="17">
        <v>1</v>
      </c>
      <c r="G151" s="18">
        <v>11.95</v>
      </c>
      <c r="H151" s="17">
        <v>5.9749999999999996</v>
      </c>
      <c r="I151" s="18">
        <v>11.95</v>
      </c>
      <c r="J151" s="18">
        <v>5.9749999999999996</v>
      </c>
      <c r="K151" s="37" t="str">
        <f t="shared" si="4"/>
        <v>Inexpensive</v>
      </c>
      <c r="L151" s="37"/>
      <c r="N151" s="37"/>
      <c r="O151" s="37"/>
      <c r="P151" s="37"/>
      <c r="Q151" s="37"/>
      <c r="R151" s="37"/>
      <c r="S151" s="37"/>
      <c r="T151" s="37"/>
      <c r="V151"/>
      <c r="X151"/>
    </row>
    <row r="152" spans="1:24" ht="15" customHeight="1" thickBot="1" x14ac:dyDescent="0.35">
      <c r="A152" s="38">
        <v>43468.765277777777</v>
      </c>
      <c r="B152" s="39">
        <v>141381</v>
      </c>
      <c r="C152" s="36" t="s">
        <v>117</v>
      </c>
      <c r="D152" s="17">
        <v>2690000000000</v>
      </c>
      <c r="E152" s="16" t="s">
        <v>132</v>
      </c>
      <c r="F152" s="17">
        <v>1</v>
      </c>
      <c r="G152" s="18">
        <v>99.99</v>
      </c>
      <c r="H152" s="17">
        <v>49.994999999999997</v>
      </c>
      <c r="I152" s="18">
        <v>99.99</v>
      </c>
      <c r="J152" s="18">
        <v>49.994999999999997</v>
      </c>
      <c r="K152" s="37" t="str">
        <f t="shared" si="4"/>
        <v>Inexpensive</v>
      </c>
      <c r="L152" s="37"/>
      <c r="N152" s="37"/>
      <c r="O152" s="37"/>
      <c r="P152" s="37"/>
      <c r="Q152" s="37"/>
      <c r="R152" s="37"/>
      <c r="S152" s="37"/>
      <c r="T152" s="37"/>
      <c r="V152"/>
      <c r="X152"/>
    </row>
    <row r="153" spans="1:24" ht="15" customHeight="1" thickBot="1" x14ac:dyDescent="0.35">
      <c r="A153" s="38">
        <v>43481.576388888891</v>
      </c>
      <c r="B153" s="39">
        <v>141382</v>
      </c>
      <c r="C153" s="36" t="s">
        <v>114</v>
      </c>
      <c r="D153" s="17">
        <v>6420000000000</v>
      </c>
      <c r="E153" s="16" t="s">
        <v>130</v>
      </c>
      <c r="F153" s="17">
        <v>1</v>
      </c>
      <c r="G153" s="18">
        <v>2.99</v>
      </c>
      <c r="H153" s="17">
        <v>1.4950000000000001</v>
      </c>
      <c r="I153" s="18">
        <v>2.99</v>
      </c>
      <c r="J153" s="18">
        <v>1.4950000000000001</v>
      </c>
      <c r="K153" s="37" t="str">
        <f t="shared" si="4"/>
        <v>Inexpensive</v>
      </c>
      <c r="L153" s="37"/>
      <c r="N153" s="37"/>
      <c r="O153" s="37"/>
      <c r="P153" s="37"/>
      <c r="Q153" s="37"/>
      <c r="R153" s="37"/>
      <c r="S153" s="37"/>
      <c r="T153" s="37"/>
      <c r="V153"/>
      <c r="X153"/>
    </row>
    <row r="154" spans="1:24" ht="15" customHeight="1" thickBot="1" x14ac:dyDescent="0.35">
      <c r="A154" s="38">
        <v>43473.417361111111</v>
      </c>
      <c r="B154" s="39">
        <v>141383</v>
      </c>
      <c r="C154" s="36" t="s">
        <v>114</v>
      </c>
      <c r="D154" s="17">
        <v>4570000000000</v>
      </c>
      <c r="E154" s="16" t="s">
        <v>132</v>
      </c>
      <c r="F154" s="17">
        <v>1</v>
      </c>
      <c r="G154" s="18">
        <v>2.99</v>
      </c>
      <c r="H154" s="17">
        <v>1.4950000000000001</v>
      </c>
      <c r="I154" s="18">
        <v>2.99</v>
      </c>
      <c r="J154" s="18">
        <v>1.4950000000000001</v>
      </c>
      <c r="K154" s="37" t="str">
        <f t="shared" si="4"/>
        <v>Inexpensive</v>
      </c>
      <c r="L154" s="37"/>
      <c r="N154" s="37"/>
      <c r="O154" s="37"/>
      <c r="P154" s="37"/>
      <c r="Q154" s="37"/>
      <c r="R154" s="37"/>
      <c r="S154" s="37"/>
      <c r="T154" s="37"/>
      <c r="V154"/>
      <c r="X154"/>
    </row>
    <row r="155" spans="1:24" ht="15" customHeight="1" thickBot="1" x14ac:dyDescent="0.35">
      <c r="A155" s="38">
        <v>43468.009722222225</v>
      </c>
      <c r="B155" s="40">
        <v>141384</v>
      </c>
      <c r="C155" s="36" t="s">
        <v>123</v>
      </c>
      <c r="D155" s="17">
        <v>4480000000000</v>
      </c>
      <c r="E155" s="16" t="s">
        <v>131</v>
      </c>
      <c r="F155" s="17">
        <v>1</v>
      </c>
      <c r="G155" s="18">
        <v>600</v>
      </c>
      <c r="H155" s="17">
        <v>198</v>
      </c>
      <c r="I155" s="18">
        <v>600</v>
      </c>
      <c r="J155" s="18">
        <v>402</v>
      </c>
      <c r="K155" s="37" t="str">
        <f t="shared" si="4"/>
        <v>Inexpensive</v>
      </c>
      <c r="L155" s="37"/>
      <c r="N155" s="37"/>
      <c r="O155" s="37"/>
      <c r="P155" s="37"/>
      <c r="Q155" s="37"/>
      <c r="R155" s="37"/>
      <c r="S155" s="37"/>
      <c r="T155" s="37"/>
      <c r="V155"/>
      <c r="X155"/>
    </row>
    <row r="156" spans="1:24" ht="15" customHeight="1" thickBot="1" x14ac:dyDescent="0.35">
      <c r="A156" s="38">
        <v>43468.009722222225</v>
      </c>
      <c r="B156" s="40">
        <v>141384</v>
      </c>
      <c r="C156" s="36" t="s">
        <v>116</v>
      </c>
      <c r="D156" s="17">
        <v>2310000000000</v>
      </c>
      <c r="E156" s="16" t="s">
        <v>131</v>
      </c>
      <c r="F156" s="17">
        <v>1</v>
      </c>
      <c r="G156" s="18">
        <v>11.95</v>
      </c>
      <c r="H156" s="17">
        <v>5.9749999999999996</v>
      </c>
      <c r="I156" s="18">
        <v>11.95</v>
      </c>
      <c r="J156" s="18">
        <v>5.9749999999999996</v>
      </c>
      <c r="K156" s="37" t="str">
        <f t="shared" si="4"/>
        <v>Inexpensive</v>
      </c>
      <c r="L156" s="37"/>
      <c r="N156" s="37"/>
      <c r="O156" s="37"/>
      <c r="P156" s="37"/>
      <c r="Q156" s="37"/>
      <c r="R156" s="37"/>
      <c r="S156" s="37"/>
      <c r="T156" s="37"/>
      <c r="V156"/>
      <c r="X156"/>
    </row>
    <row r="157" spans="1:24" ht="15" customHeight="1" thickBot="1" x14ac:dyDescent="0.35">
      <c r="A157" s="38">
        <v>43475.540972222225</v>
      </c>
      <c r="B157" s="39">
        <v>141385</v>
      </c>
      <c r="C157" s="36" t="s">
        <v>119</v>
      </c>
      <c r="D157" s="17">
        <v>9340000000000</v>
      </c>
      <c r="E157" s="16" t="s">
        <v>132</v>
      </c>
      <c r="F157" s="17">
        <v>1</v>
      </c>
      <c r="G157" s="18">
        <v>1700</v>
      </c>
      <c r="H157" s="17">
        <v>561</v>
      </c>
      <c r="I157" s="18">
        <v>1700</v>
      </c>
      <c r="J157" s="18">
        <v>1139</v>
      </c>
      <c r="K157" s="37" t="str">
        <f t="shared" si="4"/>
        <v>Expensive</v>
      </c>
      <c r="L157" s="37"/>
      <c r="N157" s="37"/>
      <c r="O157" s="37"/>
      <c r="P157" s="37"/>
      <c r="Q157" s="37"/>
      <c r="R157" s="37"/>
      <c r="S157" s="37"/>
      <c r="T157" s="37"/>
      <c r="V157"/>
      <c r="X157"/>
    </row>
    <row r="158" spans="1:24" ht="15" customHeight="1" thickBot="1" x14ac:dyDescent="0.35">
      <c r="A158" s="38">
        <v>43473.810416666667</v>
      </c>
      <c r="B158" s="39">
        <v>141386</v>
      </c>
      <c r="C158" s="36" t="s">
        <v>111</v>
      </c>
      <c r="D158" s="17">
        <v>6560000000000</v>
      </c>
      <c r="E158" s="16" t="s">
        <v>131</v>
      </c>
      <c r="F158" s="17">
        <v>1</v>
      </c>
      <c r="G158" s="18">
        <v>14.95</v>
      </c>
      <c r="H158" s="17">
        <v>7.4749999999999996</v>
      </c>
      <c r="I158" s="18">
        <v>14.95</v>
      </c>
      <c r="J158" s="18">
        <v>7.4749999999999996</v>
      </c>
      <c r="K158" s="37" t="str">
        <f t="shared" si="4"/>
        <v>Inexpensive</v>
      </c>
      <c r="L158" s="37"/>
      <c r="N158" s="37"/>
      <c r="O158" s="37"/>
      <c r="P158" s="37"/>
      <c r="Q158" s="37"/>
      <c r="R158" s="37"/>
      <c r="S158" s="37"/>
      <c r="T158" s="37"/>
      <c r="V158"/>
      <c r="X158"/>
    </row>
    <row r="159" spans="1:24" ht="15" customHeight="1" thickBot="1" x14ac:dyDescent="0.35">
      <c r="A159" s="38">
        <v>43482.466666666667</v>
      </c>
      <c r="B159" s="39">
        <v>141387</v>
      </c>
      <c r="C159" s="36" t="s">
        <v>114</v>
      </c>
      <c r="D159" s="17">
        <v>6170000000000</v>
      </c>
      <c r="E159" s="16" t="s">
        <v>131</v>
      </c>
      <c r="F159" s="17">
        <v>1</v>
      </c>
      <c r="G159" s="18">
        <v>2.99</v>
      </c>
      <c r="H159" s="17">
        <v>1.4950000000000001</v>
      </c>
      <c r="I159" s="18">
        <v>2.99</v>
      </c>
      <c r="J159" s="18">
        <v>1.4950000000000001</v>
      </c>
      <c r="K159" s="37" t="str">
        <f t="shared" si="4"/>
        <v>Inexpensive</v>
      </c>
      <c r="L159" s="37"/>
      <c r="N159" s="37"/>
      <c r="O159" s="37"/>
      <c r="P159" s="37"/>
      <c r="Q159" s="37"/>
      <c r="R159" s="37"/>
      <c r="S159" s="37"/>
      <c r="T159" s="37"/>
      <c r="V159"/>
      <c r="X159"/>
    </row>
    <row r="160" spans="1:24" ht="15" customHeight="1" thickBot="1" x14ac:dyDescent="0.35">
      <c r="A160" s="38">
        <v>43487.453472222223</v>
      </c>
      <c r="B160" s="39">
        <v>141388</v>
      </c>
      <c r="C160" s="36" t="s">
        <v>111</v>
      </c>
      <c r="D160" s="17">
        <v>8900000000000</v>
      </c>
      <c r="E160" s="16" t="s">
        <v>130</v>
      </c>
      <c r="F160" s="17">
        <v>1</v>
      </c>
      <c r="G160" s="18">
        <v>14.95</v>
      </c>
      <c r="H160" s="17">
        <v>7.4749999999999996</v>
      </c>
      <c r="I160" s="18">
        <v>14.95</v>
      </c>
      <c r="J160" s="18">
        <v>7.4749999999999996</v>
      </c>
      <c r="K160" s="37" t="str">
        <f t="shared" si="4"/>
        <v>Inexpensive</v>
      </c>
      <c r="L160" s="37"/>
      <c r="N160" s="37"/>
      <c r="O160" s="37"/>
      <c r="P160" s="37"/>
      <c r="Q160" s="37"/>
      <c r="R160" s="37"/>
      <c r="S160" s="37"/>
      <c r="T160" s="37"/>
      <c r="V160"/>
      <c r="X160"/>
    </row>
    <row r="161" spans="1:24" ht="15" customHeight="1" thickBot="1" x14ac:dyDescent="0.35">
      <c r="A161" s="38">
        <v>43491.463194444441</v>
      </c>
      <c r="B161" s="39">
        <v>141389</v>
      </c>
      <c r="C161" s="36" t="s">
        <v>122</v>
      </c>
      <c r="D161" s="17">
        <v>4720000000000</v>
      </c>
      <c r="E161" s="16" t="s">
        <v>131</v>
      </c>
      <c r="F161" s="17">
        <v>1</v>
      </c>
      <c r="G161" s="18">
        <v>3.84</v>
      </c>
      <c r="H161" s="17">
        <v>1.92</v>
      </c>
      <c r="I161" s="18">
        <v>3.84</v>
      </c>
      <c r="J161" s="18">
        <v>1.92</v>
      </c>
      <c r="K161" s="37" t="str">
        <f t="shared" si="4"/>
        <v>Inexpensive</v>
      </c>
      <c r="L161" s="37"/>
      <c r="N161" s="37"/>
      <c r="O161" s="37"/>
      <c r="P161" s="37"/>
      <c r="Q161" s="37"/>
      <c r="R161" s="37"/>
      <c r="S161" s="37"/>
      <c r="T161" s="37"/>
      <c r="V161"/>
      <c r="X161"/>
    </row>
    <row r="162" spans="1:24" ht="15" customHeight="1" thickBot="1" x14ac:dyDescent="0.35">
      <c r="A162" s="38">
        <v>43491.473611111112</v>
      </c>
      <c r="B162" s="39">
        <v>141390</v>
      </c>
      <c r="C162" s="36" t="s">
        <v>112</v>
      </c>
      <c r="D162" s="17">
        <v>5660000000000</v>
      </c>
      <c r="E162" s="16" t="s">
        <v>131</v>
      </c>
      <c r="F162" s="17">
        <v>1</v>
      </c>
      <c r="G162" s="18">
        <v>11.99</v>
      </c>
      <c r="H162" s="17">
        <v>5.9950000000000001</v>
      </c>
      <c r="I162" s="18">
        <v>11.99</v>
      </c>
      <c r="J162" s="18">
        <v>5.9950000000000001</v>
      </c>
      <c r="K162" s="37" t="str">
        <f t="shared" si="4"/>
        <v>Inexpensive</v>
      </c>
      <c r="L162" s="37"/>
      <c r="N162" s="37"/>
      <c r="O162" s="37"/>
      <c r="P162" s="37"/>
      <c r="Q162" s="37"/>
      <c r="R162" s="37"/>
      <c r="S162" s="37"/>
      <c r="T162" s="37"/>
      <c r="V162"/>
      <c r="X162"/>
    </row>
    <row r="163" spans="1:24" ht="15" customHeight="1" thickBot="1" x14ac:dyDescent="0.35">
      <c r="A163" s="38">
        <v>43496.418055555558</v>
      </c>
      <c r="B163" s="39">
        <v>141391</v>
      </c>
      <c r="C163" s="36" t="s">
        <v>117</v>
      </c>
      <c r="D163" s="17">
        <v>1140000000000</v>
      </c>
      <c r="E163" s="16" t="s">
        <v>131</v>
      </c>
      <c r="F163" s="17">
        <v>1</v>
      </c>
      <c r="G163" s="18">
        <v>99.99</v>
      </c>
      <c r="H163" s="17">
        <v>49.994999999999997</v>
      </c>
      <c r="I163" s="18">
        <v>99.99</v>
      </c>
      <c r="J163" s="18">
        <v>49.994999999999997</v>
      </c>
      <c r="K163" s="37" t="str">
        <f t="shared" si="4"/>
        <v>Inexpensive</v>
      </c>
      <c r="L163" s="37"/>
      <c r="N163" s="37"/>
      <c r="O163" s="37"/>
      <c r="P163" s="37"/>
      <c r="Q163" s="37"/>
      <c r="R163" s="37"/>
      <c r="S163" s="37"/>
      <c r="T163" s="37"/>
      <c r="V163"/>
      <c r="X163"/>
    </row>
    <row r="164" spans="1:24" ht="15" customHeight="1" thickBot="1" x14ac:dyDescent="0.35">
      <c r="A164" s="38">
        <v>43490.57708333333</v>
      </c>
      <c r="B164" s="39">
        <v>141392</v>
      </c>
      <c r="C164" s="36" t="s">
        <v>118</v>
      </c>
      <c r="D164" s="17">
        <v>1940000000000</v>
      </c>
      <c r="E164" s="16" t="s">
        <v>130</v>
      </c>
      <c r="F164" s="17">
        <v>1</v>
      </c>
      <c r="G164" s="18">
        <v>150</v>
      </c>
      <c r="H164" s="17">
        <v>97.5</v>
      </c>
      <c r="I164" s="18">
        <v>150</v>
      </c>
      <c r="J164" s="18">
        <v>52.5</v>
      </c>
      <c r="K164" s="37" t="str">
        <f t="shared" si="4"/>
        <v>Inexpensive</v>
      </c>
      <c r="L164" s="37"/>
      <c r="N164" s="37"/>
      <c r="O164" s="37"/>
      <c r="P164" s="37"/>
      <c r="Q164" s="37"/>
      <c r="R164" s="37"/>
      <c r="S164" s="37"/>
      <c r="T164" s="37"/>
      <c r="V164"/>
      <c r="X164"/>
    </row>
    <row r="165" spans="1:24" ht="15" customHeight="1" thickBot="1" x14ac:dyDescent="0.35">
      <c r="A165" s="38">
        <v>43483.747916666667</v>
      </c>
      <c r="B165" s="39">
        <v>141393</v>
      </c>
      <c r="C165" s="36" t="s">
        <v>116</v>
      </c>
      <c r="D165" s="17">
        <v>9150000000000</v>
      </c>
      <c r="E165" s="16" t="s">
        <v>130</v>
      </c>
      <c r="F165" s="17">
        <v>1</v>
      </c>
      <c r="G165" s="18">
        <v>11.95</v>
      </c>
      <c r="H165" s="17">
        <v>5.9749999999999996</v>
      </c>
      <c r="I165" s="18">
        <v>11.95</v>
      </c>
      <c r="J165" s="18">
        <v>5.9749999999999996</v>
      </c>
      <c r="K165" s="37" t="str">
        <f t="shared" si="4"/>
        <v>Inexpensive</v>
      </c>
      <c r="L165" s="37"/>
      <c r="N165" s="37"/>
      <c r="O165" s="37"/>
      <c r="P165" s="37"/>
      <c r="Q165" s="37"/>
      <c r="R165" s="37"/>
      <c r="S165" s="37"/>
      <c r="T165" s="37"/>
      <c r="V165"/>
      <c r="X165"/>
    </row>
    <row r="166" spans="1:24" ht="15" customHeight="1" thickBot="1" x14ac:dyDescent="0.35">
      <c r="A166" s="38">
        <v>43471.70416666667</v>
      </c>
      <c r="B166" s="39">
        <v>141394</v>
      </c>
      <c r="C166" s="36" t="s">
        <v>110</v>
      </c>
      <c r="D166" s="17">
        <v>6560000000000</v>
      </c>
      <c r="E166" s="16" t="s">
        <v>132</v>
      </c>
      <c r="F166" s="17">
        <v>1</v>
      </c>
      <c r="G166" s="18">
        <v>700</v>
      </c>
      <c r="H166" s="17">
        <v>231</v>
      </c>
      <c r="I166" s="18">
        <v>700</v>
      </c>
      <c r="J166" s="18">
        <v>469</v>
      </c>
      <c r="K166" s="37" t="str">
        <f t="shared" si="4"/>
        <v>Expensive</v>
      </c>
      <c r="L166" s="37"/>
      <c r="N166" s="37"/>
      <c r="O166" s="37"/>
      <c r="P166" s="37"/>
      <c r="Q166" s="37"/>
      <c r="R166" s="37"/>
      <c r="S166" s="37"/>
      <c r="T166" s="37"/>
      <c r="V166"/>
      <c r="X166"/>
    </row>
    <row r="167" spans="1:24" ht="15" customHeight="1" thickBot="1" x14ac:dyDescent="0.35">
      <c r="A167" s="38">
        <v>43494.680555555555</v>
      </c>
      <c r="B167" s="39">
        <v>141395</v>
      </c>
      <c r="C167" s="36" t="s">
        <v>114</v>
      </c>
      <c r="D167" s="17">
        <v>6760000000000</v>
      </c>
      <c r="E167" s="16" t="s">
        <v>130</v>
      </c>
      <c r="F167" s="17">
        <v>1</v>
      </c>
      <c r="G167" s="18">
        <v>2.99</v>
      </c>
      <c r="H167" s="17">
        <v>1.4950000000000001</v>
      </c>
      <c r="I167" s="18">
        <v>2.99</v>
      </c>
      <c r="J167" s="18">
        <v>1.4950000000000001</v>
      </c>
      <c r="K167" s="37" t="str">
        <f t="shared" si="4"/>
        <v>Inexpensive</v>
      </c>
      <c r="L167" s="37"/>
      <c r="N167" s="37"/>
      <c r="O167" s="37"/>
      <c r="P167" s="37"/>
      <c r="Q167" s="37"/>
      <c r="R167" s="37"/>
      <c r="S167" s="37"/>
      <c r="T167" s="37"/>
      <c r="V167"/>
      <c r="X167"/>
    </row>
    <row r="168" spans="1:24" ht="15" customHeight="1" thickBot="1" x14ac:dyDescent="0.35">
      <c r="A168" s="38">
        <v>43491.590277777781</v>
      </c>
      <c r="B168" s="39">
        <v>141396</v>
      </c>
      <c r="C168" s="36" t="s">
        <v>116</v>
      </c>
      <c r="D168" s="17">
        <v>2550000000000</v>
      </c>
      <c r="E168" s="16" t="s">
        <v>132</v>
      </c>
      <c r="F168" s="17">
        <v>1</v>
      </c>
      <c r="G168" s="18">
        <v>11.95</v>
      </c>
      <c r="H168" s="17">
        <v>5.9749999999999996</v>
      </c>
      <c r="I168" s="18">
        <v>11.95</v>
      </c>
      <c r="J168" s="18">
        <v>5.9749999999999996</v>
      </c>
      <c r="K168" s="37" t="str">
        <f t="shared" si="4"/>
        <v>Inexpensive</v>
      </c>
      <c r="L168" s="37"/>
      <c r="N168" s="37"/>
      <c r="O168" s="37"/>
      <c r="P168" s="37"/>
      <c r="Q168" s="37"/>
      <c r="R168" s="37"/>
      <c r="S168" s="37"/>
      <c r="T168" s="37"/>
      <c r="V168"/>
      <c r="X168"/>
    </row>
    <row r="169" spans="1:24" ht="15" customHeight="1" thickBot="1" x14ac:dyDescent="0.35">
      <c r="A169" s="38">
        <v>43478.540972222225</v>
      </c>
      <c r="B169" s="39">
        <v>141397</v>
      </c>
      <c r="C169" s="36" t="s">
        <v>111</v>
      </c>
      <c r="D169" s="17">
        <v>7830000000000</v>
      </c>
      <c r="E169" s="16" t="s">
        <v>132</v>
      </c>
      <c r="F169" s="17">
        <v>1</v>
      </c>
      <c r="G169" s="18">
        <v>14.95</v>
      </c>
      <c r="H169" s="17">
        <v>7.4749999999999996</v>
      </c>
      <c r="I169" s="18">
        <v>14.95</v>
      </c>
      <c r="J169" s="18">
        <v>7.4749999999999996</v>
      </c>
      <c r="K169" s="37" t="str">
        <f t="shared" si="4"/>
        <v>Inexpensive</v>
      </c>
      <c r="L169" s="37"/>
      <c r="N169" s="37"/>
      <c r="O169" s="37"/>
      <c r="P169" s="37"/>
      <c r="Q169" s="37"/>
      <c r="R169" s="37"/>
      <c r="S169" s="37"/>
      <c r="T169" s="37"/>
      <c r="V169"/>
      <c r="X169"/>
    </row>
    <row r="170" spans="1:24" ht="15" customHeight="1" thickBot="1" x14ac:dyDescent="0.35">
      <c r="A170" s="38">
        <v>43469.688194444447</v>
      </c>
      <c r="B170" s="39">
        <v>141398</v>
      </c>
      <c r="C170" s="36" t="s">
        <v>114</v>
      </c>
      <c r="D170" s="17">
        <v>8200000000000</v>
      </c>
      <c r="E170" s="16" t="s">
        <v>132</v>
      </c>
      <c r="F170" s="17">
        <v>1</v>
      </c>
      <c r="G170" s="18">
        <v>2.99</v>
      </c>
      <c r="H170" s="17">
        <v>1.4950000000000001</v>
      </c>
      <c r="I170" s="18">
        <v>2.99</v>
      </c>
      <c r="J170" s="18">
        <v>1.4950000000000001</v>
      </c>
      <c r="K170" s="37" t="str">
        <f t="shared" si="4"/>
        <v>Inexpensive</v>
      </c>
      <c r="L170" s="37"/>
      <c r="N170" s="37"/>
      <c r="O170" s="37"/>
      <c r="P170" s="37"/>
      <c r="Q170" s="37"/>
      <c r="R170" s="37"/>
      <c r="S170" s="37"/>
      <c r="T170" s="37"/>
      <c r="V170"/>
      <c r="X170"/>
    </row>
    <row r="171" spans="1:24" ht="15" customHeight="1" thickBot="1" x14ac:dyDescent="0.35">
      <c r="A171" s="38">
        <v>43482.414583333331</v>
      </c>
      <c r="B171" s="39">
        <v>141399</v>
      </c>
      <c r="C171" s="36" t="s">
        <v>126</v>
      </c>
      <c r="D171" s="17">
        <v>6460000000000</v>
      </c>
      <c r="E171" s="16" t="s">
        <v>130</v>
      </c>
      <c r="F171" s="17">
        <v>1</v>
      </c>
      <c r="G171" s="18">
        <v>999.99</v>
      </c>
      <c r="H171" s="17">
        <v>329.99669999999998</v>
      </c>
      <c r="I171" s="18">
        <v>999.99</v>
      </c>
      <c r="J171" s="18">
        <v>669.99329999999998</v>
      </c>
      <c r="K171" s="37" t="str">
        <f t="shared" si="4"/>
        <v>Expensive</v>
      </c>
      <c r="L171" s="37"/>
      <c r="N171" s="37"/>
      <c r="O171" s="37"/>
      <c r="P171" s="37"/>
      <c r="Q171" s="37"/>
      <c r="R171" s="37"/>
      <c r="S171" s="37"/>
      <c r="T171" s="37"/>
      <c r="V171"/>
      <c r="X171"/>
    </row>
    <row r="172" spans="1:24" ht="15" customHeight="1" thickBot="1" x14ac:dyDescent="0.35">
      <c r="A172" s="38">
        <v>43483.756249999999</v>
      </c>
      <c r="B172" s="39">
        <v>141400</v>
      </c>
      <c r="C172" s="36" t="s">
        <v>111</v>
      </c>
      <c r="D172" s="17">
        <v>4760000000000</v>
      </c>
      <c r="E172" s="16" t="s">
        <v>131</v>
      </c>
      <c r="F172" s="17">
        <v>1</v>
      </c>
      <c r="G172" s="18">
        <v>14.95</v>
      </c>
      <c r="H172" s="17">
        <v>7.4749999999999996</v>
      </c>
      <c r="I172" s="18">
        <v>14.95</v>
      </c>
      <c r="J172" s="18">
        <v>7.4749999999999996</v>
      </c>
      <c r="K172" s="37" t="str">
        <f t="shared" si="4"/>
        <v>Inexpensive</v>
      </c>
      <c r="L172" s="37"/>
      <c r="N172" s="37"/>
      <c r="O172" s="37"/>
      <c r="P172" s="37"/>
      <c r="Q172" s="37"/>
      <c r="R172" s="37"/>
      <c r="S172" s="37"/>
      <c r="T172" s="37"/>
      <c r="V172"/>
      <c r="X172"/>
    </row>
    <row r="173" spans="1:24" ht="15" customHeight="1" thickBot="1" x14ac:dyDescent="0.35">
      <c r="A173" s="38">
        <v>43488.534722222219</v>
      </c>
      <c r="B173" s="39">
        <v>141401</v>
      </c>
      <c r="C173" s="36" t="s">
        <v>118</v>
      </c>
      <c r="D173" s="17">
        <v>2980000000000</v>
      </c>
      <c r="E173" s="16" t="s">
        <v>132</v>
      </c>
      <c r="F173" s="17">
        <v>1</v>
      </c>
      <c r="G173" s="18">
        <v>150</v>
      </c>
      <c r="H173" s="17">
        <v>97.5</v>
      </c>
      <c r="I173" s="18">
        <v>150</v>
      </c>
      <c r="J173" s="18">
        <v>52.5</v>
      </c>
      <c r="K173" s="37" t="str">
        <f t="shared" si="4"/>
        <v>Inexpensive</v>
      </c>
      <c r="L173" s="37"/>
      <c r="N173" s="37"/>
      <c r="O173" s="37"/>
      <c r="P173" s="37"/>
      <c r="Q173" s="37"/>
      <c r="R173" s="37"/>
      <c r="S173" s="37"/>
      <c r="T173" s="37"/>
      <c r="V173"/>
      <c r="X173"/>
    </row>
    <row r="174" spans="1:24" ht="15" customHeight="1" thickBot="1" x14ac:dyDescent="0.35">
      <c r="A174" s="38">
        <v>43472.538888888892</v>
      </c>
      <c r="B174" s="39">
        <v>141402</v>
      </c>
      <c r="C174" s="36" t="s">
        <v>114</v>
      </c>
      <c r="D174" s="17">
        <v>7560000000000</v>
      </c>
      <c r="E174" s="16" t="s">
        <v>131</v>
      </c>
      <c r="F174" s="17">
        <v>1</v>
      </c>
      <c r="G174" s="18">
        <v>2.99</v>
      </c>
      <c r="H174" s="17">
        <v>1.4950000000000001</v>
      </c>
      <c r="I174" s="18">
        <v>2.99</v>
      </c>
      <c r="J174" s="18">
        <v>1.4950000000000001</v>
      </c>
      <c r="K174" s="37" t="str">
        <f t="shared" si="4"/>
        <v>Inexpensive</v>
      </c>
      <c r="L174" s="37"/>
      <c r="N174" s="37"/>
      <c r="O174" s="37"/>
      <c r="P174" s="37"/>
      <c r="Q174" s="37"/>
      <c r="R174" s="37"/>
      <c r="S174" s="37"/>
      <c r="T174" s="37"/>
      <c r="V174"/>
      <c r="X174"/>
    </row>
    <row r="175" spans="1:24" ht="15" customHeight="1" thickBot="1" x14ac:dyDescent="0.35">
      <c r="A175" s="38">
        <v>43491.695138888892</v>
      </c>
      <c r="B175" s="39">
        <v>141403</v>
      </c>
      <c r="C175" s="36" t="s">
        <v>111</v>
      </c>
      <c r="D175" s="17">
        <v>5410000000000</v>
      </c>
      <c r="E175" s="16" t="s">
        <v>130</v>
      </c>
      <c r="F175" s="17">
        <v>1</v>
      </c>
      <c r="G175" s="18">
        <v>14.95</v>
      </c>
      <c r="H175" s="17">
        <v>7.4749999999999996</v>
      </c>
      <c r="I175" s="18">
        <v>14.95</v>
      </c>
      <c r="J175" s="18">
        <v>7.4749999999999996</v>
      </c>
      <c r="K175" s="37" t="str">
        <f t="shared" si="4"/>
        <v>Inexpensive</v>
      </c>
      <c r="L175" s="37"/>
      <c r="N175" s="37"/>
      <c r="O175" s="37"/>
      <c r="P175" s="37"/>
      <c r="Q175" s="37"/>
      <c r="R175" s="37"/>
      <c r="S175" s="37"/>
      <c r="T175" s="37"/>
      <c r="V175"/>
      <c r="X175"/>
    </row>
    <row r="176" spans="1:24" ht="15" customHeight="1" thickBot="1" x14ac:dyDescent="0.35">
      <c r="A176" s="38">
        <v>43494.837500000001</v>
      </c>
      <c r="B176" s="39">
        <v>141404</v>
      </c>
      <c r="C176" s="36" t="s">
        <v>122</v>
      </c>
      <c r="D176" s="17">
        <v>7080000000000</v>
      </c>
      <c r="E176" s="16" t="s">
        <v>130</v>
      </c>
      <c r="F176" s="17">
        <v>1</v>
      </c>
      <c r="G176" s="18">
        <v>3.84</v>
      </c>
      <c r="H176" s="17">
        <v>1.92</v>
      </c>
      <c r="I176" s="18">
        <v>3.84</v>
      </c>
      <c r="J176" s="18">
        <v>1.92</v>
      </c>
      <c r="K176" s="37" t="str">
        <f t="shared" si="4"/>
        <v>Inexpensive</v>
      </c>
      <c r="L176" s="37"/>
      <c r="N176" s="37"/>
      <c r="O176" s="37"/>
      <c r="P176" s="37"/>
      <c r="Q176" s="37"/>
      <c r="R176" s="37"/>
      <c r="S176" s="37"/>
      <c r="T176" s="37"/>
      <c r="V176"/>
      <c r="X176"/>
    </row>
    <row r="177" spans="1:24" ht="15" customHeight="1" thickBot="1" x14ac:dyDescent="0.35">
      <c r="A177" s="38">
        <v>43494.458333333336</v>
      </c>
      <c r="B177" s="39">
        <v>141405</v>
      </c>
      <c r="C177" s="36" t="s">
        <v>112</v>
      </c>
      <c r="D177" s="17">
        <v>2360000000000</v>
      </c>
      <c r="E177" s="16" t="s">
        <v>130</v>
      </c>
      <c r="F177" s="17">
        <v>1</v>
      </c>
      <c r="G177" s="18">
        <v>11.99</v>
      </c>
      <c r="H177" s="17">
        <v>5.9950000000000001</v>
      </c>
      <c r="I177" s="18">
        <v>11.99</v>
      </c>
      <c r="J177" s="18">
        <v>5.9950000000000001</v>
      </c>
      <c r="K177" s="37" t="str">
        <f t="shared" si="4"/>
        <v>Inexpensive</v>
      </c>
      <c r="L177" s="37"/>
      <c r="N177" s="37"/>
      <c r="O177" s="37"/>
      <c r="P177" s="37"/>
      <c r="Q177" s="37"/>
      <c r="R177" s="37"/>
      <c r="S177" s="37"/>
      <c r="T177" s="37"/>
      <c r="V177"/>
      <c r="X177"/>
    </row>
    <row r="178" spans="1:24" ht="15" customHeight="1" thickBot="1" x14ac:dyDescent="0.35">
      <c r="A178" s="38">
        <v>43493.501388888886</v>
      </c>
      <c r="B178" s="39">
        <v>141406</v>
      </c>
      <c r="C178" s="36" t="s">
        <v>116</v>
      </c>
      <c r="D178" s="17">
        <v>7540000000000</v>
      </c>
      <c r="E178" s="16" t="s">
        <v>131</v>
      </c>
      <c r="F178" s="17">
        <v>1</v>
      </c>
      <c r="G178" s="18">
        <v>11.95</v>
      </c>
      <c r="H178" s="17">
        <v>5.9749999999999996</v>
      </c>
      <c r="I178" s="18">
        <v>11.95</v>
      </c>
      <c r="J178" s="18">
        <v>5.9749999999999996</v>
      </c>
      <c r="K178" s="37" t="str">
        <f t="shared" si="4"/>
        <v>Inexpensive</v>
      </c>
      <c r="L178" s="37"/>
      <c r="N178" s="37"/>
      <c r="O178" s="37"/>
      <c r="P178" s="37"/>
      <c r="Q178" s="37"/>
      <c r="R178" s="37"/>
      <c r="S178" s="37"/>
      <c r="T178" s="37"/>
      <c r="V178"/>
      <c r="X178"/>
    </row>
    <row r="179" spans="1:24" ht="15" customHeight="1" thickBot="1" x14ac:dyDescent="0.35">
      <c r="A179" s="38">
        <v>43466.67083333333</v>
      </c>
      <c r="B179" s="39">
        <v>141407</v>
      </c>
      <c r="C179" s="36" t="s">
        <v>118</v>
      </c>
      <c r="D179" s="17">
        <v>7980000000000</v>
      </c>
      <c r="E179" s="16" t="s">
        <v>131</v>
      </c>
      <c r="F179" s="17">
        <v>1</v>
      </c>
      <c r="G179" s="18">
        <v>150</v>
      </c>
      <c r="H179" s="17">
        <v>97.5</v>
      </c>
      <c r="I179" s="18">
        <v>150</v>
      </c>
      <c r="J179" s="18">
        <v>52.5</v>
      </c>
      <c r="K179" s="37" t="str">
        <f t="shared" si="4"/>
        <v>Inexpensive</v>
      </c>
      <c r="L179" s="37"/>
      <c r="N179" s="37"/>
      <c r="O179" s="37"/>
      <c r="P179" s="37"/>
      <c r="Q179" s="37"/>
      <c r="R179" s="37"/>
      <c r="S179" s="37"/>
      <c r="T179" s="37"/>
      <c r="V179"/>
      <c r="X179"/>
    </row>
    <row r="180" spans="1:24" ht="15" customHeight="1" thickBot="1" x14ac:dyDescent="0.35">
      <c r="A180" s="38">
        <v>43472.559027777781</v>
      </c>
      <c r="B180" s="39">
        <v>141408</v>
      </c>
      <c r="C180" s="36" t="s">
        <v>118</v>
      </c>
      <c r="D180" s="17">
        <v>2300000000000</v>
      </c>
      <c r="E180" s="16" t="s">
        <v>130</v>
      </c>
      <c r="F180" s="17">
        <v>1</v>
      </c>
      <c r="G180" s="18">
        <v>150</v>
      </c>
      <c r="H180" s="17">
        <v>97.5</v>
      </c>
      <c r="I180" s="18">
        <v>150</v>
      </c>
      <c r="J180" s="18">
        <v>52.5</v>
      </c>
      <c r="K180" s="37" t="str">
        <f t="shared" si="4"/>
        <v>Inexpensive</v>
      </c>
      <c r="L180" s="37"/>
      <c r="N180" s="37"/>
      <c r="O180" s="37"/>
      <c r="P180" s="37"/>
      <c r="Q180" s="37"/>
      <c r="R180" s="37"/>
      <c r="S180" s="37"/>
      <c r="T180" s="37"/>
      <c r="V180"/>
      <c r="X180"/>
    </row>
    <row r="181" spans="1:24" ht="15" customHeight="1" thickBot="1" x14ac:dyDescent="0.35">
      <c r="A181" s="38">
        <v>43466.90902777778</v>
      </c>
      <c r="B181" s="39">
        <v>141409</v>
      </c>
      <c r="C181" s="36" t="s">
        <v>117</v>
      </c>
      <c r="D181" s="17">
        <v>6760000000000</v>
      </c>
      <c r="E181" s="16" t="s">
        <v>130</v>
      </c>
      <c r="F181" s="17">
        <v>1</v>
      </c>
      <c r="G181" s="18">
        <v>99.99</v>
      </c>
      <c r="H181" s="17">
        <v>49.994999999999997</v>
      </c>
      <c r="I181" s="18">
        <v>99.99</v>
      </c>
      <c r="J181" s="18">
        <v>49.994999999999997</v>
      </c>
      <c r="K181" s="37" t="str">
        <f t="shared" si="4"/>
        <v>Inexpensive</v>
      </c>
      <c r="L181" s="37"/>
      <c r="N181" s="37"/>
      <c r="O181" s="37"/>
      <c r="P181" s="37"/>
      <c r="Q181" s="37"/>
      <c r="R181" s="37"/>
      <c r="S181" s="37"/>
      <c r="T181" s="37"/>
      <c r="V181"/>
      <c r="X181"/>
    </row>
    <row r="182" spans="1:24" ht="15" customHeight="1" thickBot="1" x14ac:dyDescent="0.35">
      <c r="A182" s="38">
        <v>43468.918055555558</v>
      </c>
      <c r="B182" s="39">
        <v>141410</v>
      </c>
      <c r="C182" s="36" t="s">
        <v>113</v>
      </c>
      <c r="D182" s="17">
        <v>9850000000000</v>
      </c>
      <c r="E182" s="16" t="s">
        <v>131</v>
      </c>
      <c r="F182" s="17">
        <v>1</v>
      </c>
      <c r="G182" s="18">
        <v>149.99</v>
      </c>
      <c r="H182" s="17">
        <v>97.493499999999997</v>
      </c>
      <c r="I182" s="18">
        <v>149.99</v>
      </c>
      <c r="J182" s="18">
        <v>52.496499999999997</v>
      </c>
      <c r="K182" s="37" t="str">
        <f t="shared" si="4"/>
        <v>Inexpensive</v>
      </c>
      <c r="L182" s="37"/>
      <c r="N182" s="37"/>
      <c r="O182" s="37"/>
      <c r="P182" s="37"/>
      <c r="Q182" s="37"/>
      <c r="R182" s="37"/>
      <c r="S182" s="37"/>
      <c r="T182" s="37"/>
      <c r="V182"/>
      <c r="X182"/>
    </row>
    <row r="183" spans="1:24" ht="15" customHeight="1" thickBot="1" x14ac:dyDescent="0.35">
      <c r="A183" s="38">
        <v>43480.232638888891</v>
      </c>
      <c r="B183" s="39">
        <v>141411</v>
      </c>
      <c r="C183" s="36" t="s">
        <v>112</v>
      </c>
      <c r="D183" s="17">
        <v>4380000000000</v>
      </c>
      <c r="E183" s="16" t="s">
        <v>132</v>
      </c>
      <c r="F183" s="17">
        <v>1</v>
      </c>
      <c r="G183" s="18">
        <v>11.99</v>
      </c>
      <c r="H183" s="17">
        <v>5.9950000000000001</v>
      </c>
      <c r="I183" s="18">
        <v>11.99</v>
      </c>
      <c r="J183" s="18">
        <v>5.9950000000000001</v>
      </c>
      <c r="K183" s="37" t="str">
        <f t="shared" si="4"/>
        <v>Inexpensive</v>
      </c>
      <c r="L183" s="37"/>
      <c r="N183" s="37"/>
      <c r="O183" s="37"/>
      <c r="P183" s="37"/>
      <c r="Q183" s="37"/>
      <c r="R183" s="37"/>
      <c r="S183" s="37"/>
      <c r="T183" s="37"/>
      <c r="V183"/>
      <c r="X183"/>
    </row>
    <row r="184" spans="1:24" ht="15" customHeight="1" thickBot="1" x14ac:dyDescent="0.35">
      <c r="A184" s="38">
        <v>43479.719444444447</v>
      </c>
      <c r="B184" s="39">
        <v>141412</v>
      </c>
      <c r="C184" s="36" t="s">
        <v>122</v>
      </c>
      <c r="D184" s="17">
        <v>2230000000000</v>
      </c>
      <c r="E184" s="16" t="s">
        <v>132</v>
      </c>
      <c r="F184" s="17">
        <v>2</v>
      </c>
      <c r="G184" s="18">
        <v>3.84</v>
      </c>
      <c r="H184" s="17">
        <v>1.92</v>
      </c>
      <c r="I184" s="18">
        <v>7.68</v>
      </c>
      <c r="J184" s="18">
        <v>3.84</v>
      </c>
      <c r="K184" s="37" t="str">
        <f t="shared" si="4"/>
        <v>Inexpensive</v>
      </c>
      <c r="L184" s="37"/>
      <c r="N184" s="37"/>
      <c r="O184" s="37"/>
      <c r="P184" s="37"/>
      <c r="Q184" s="37"/>
      <c r="R184" s="37"/>
      <c r="S184" s="37"/>
      <c r="T184" s="37"/>
      <c r="V184"/>
      <c r="X184"/>
    </row>
    <row r="185" spans="1:24" ht="15" customHeight="1" thickBot="1" x14ac:dyDescent="0.35">
      <c r="A185" s="38">
        <v>43489.745833333334</v>
      </c>
      <c r="B185" s="39">
        <v>141413</v>
      </c>
      <c r="C185" s="36" t="s">
        <v>122</v>
      </c>
      <c r="D185" s="17">
        <v>3170000000000</v>
      </c>
      <c r="E185" s="16" t="s">
        <v>131</v>
      </c>
      <c r="F185" s="17">
        <v>1</v>
      </c>
      <c r="G185" s="18">
        <v>3.84</v>
      </c>
      <c r="H185" s="17">
        <v>1.92</v>
      </c>
      <c r="I185" s="18">
        <v>3.84</v>
      </c>
      <c r="J185" s="18">
        <v>1.92</v>
      </c>
      <c r="K185" s="37" t="str">
        <f t="shared" si="4"/>
        <v>Inexpensive</v>
      </c>
      <c r="L185" s="37"/>
      <c r="N185" s="37"/>
      <c r="O185" s="37"/>
      <c r="P185" s="37"/>
      <c r="Q185" s="37"/>
      <c r="R185" s="37"/>
      <c r="S185" s="37"/>
      <c r="T185" s="37"/>
      <c r="V185"/>
      <c r="X185"/>
    </row>
    <row r="186" spans="1:24" ht="15" customHeight="1" thickBot="1" x14ac:dyDescent="0.35">
      <c r="A186" s="38">
        <v>43491.151388888888</v>
      </c>
      <c r="B186" s="39">
        <v>141414</v>
      </c>
      <c r="C186" s="36" t="s">
        <v>123</v>
      </c>
      <c r="D186" s="17">
        <v>3020000000000</v>
      </c>
      <c r="E186" s="16" t="s">
        <v>130</v>
      </c>
      <c r="F186" s="17">
        <v>1</v>
      </c>
      <c r="G186" s="18">
        <v>600</v>
      </c>
      <c r="H186" s="17">
        <v>198</v>
      </c>
      <c r="I186" s="18">
        <v>600</v>
      </c>
      <c r="J186" s="18">
        <v>402</v>
      </c>
      <c r="K186" s="37" t="str">
        <f t="shared" si="4"/>
        <v>Inexpensive</v>
      </c>
      <c r="L186" s="37"/>
      <c r="N186" s="37"/>
      <c r="O186" s="37"/>
      <c r="P186" s="37"/>
      <c r="Q186" s="37"/>
      <c r="R186" s="37"/>
      <c r="S186" s="37"/>
      <c r="T186" s="37"/>
      <c r="V186"/>
      <c r="X186"/>
    </row>
    <row r="187" spans="1:24" ht="15" customHeight="1" thickBot="1" x14ac:dyDescent="0.35">
      <c r="A187" s="38">
        <v>43477.793055555558</v>
      </c>
      <c r="B187" s="39">
        <v>141415</v>
      </c>
      <c r="C187" s="36" t="s">
        <v>112</v>
      </c>
      <c r="D187" s="17">
        <v>3270000000000</v>
      </c>
      <c r="E187" s="16" t="s">
        <v>131</v>
      </c>
      <c r="F187" s="17">
        <v>1</v>
      </c>
      <c r="G187" s="18">
        <v>11.99</v>
      </c>
      <c r="H187" s="17">
        <v>5.9950000000000001</v>
      </c>
      <c r="I187" s="18">
        <v>11.99</v>
      </c>
      <c r="J187" s="18">
        <v>5.9950000000000001</v>
      </c>
      <c r="K187" s="37" t="str">
        <f t="shared" si="4"/>
        <v>Inexpensive</v>
      </c>
      <c r="L187" s="37"/>
      <c r="N187" s="37"/>
      <c r="O187" s="37"/>
      <c r="P187" s="37"/>
      <c r="Q187" s="37"/>
      <c r="R187" s="37"/>
      <c r="S187" s="37"/>
      <c r="T187" s="37"/>
      <c r="V187"/>
      <c r="X187"/>
    </row>
    <row r="188" spans="1:24" ht="15" customHeight="1" thickBot="1" x14ac:dyDescent="0.35">
      <c r="A188" s="38">
        <v>43467.567361111112</v>
      </c>
      <c r="B188" s="39">
        <v>141416</v>
      </c>
      <c r="C188" s="36" t="s">
        <v>114</v>
      </c>
      <c r="D188" s="17">
        <v>8860000000000</v>
      </c>
      <c r="E188" s="16" t="s">
        <v>130</v>
      </c>
      <c r="F188" s="17">
        <v>1</v>
      </c>
      <c r="G188" s="18">
        <v>2.99</v>
      </c>
      <c r="H188" s="17">
        <v>1.4950000000000001</v>
      </c>
      <c r="I188" s="18">
        <v>2.99</v>
      </c>
      <c r="J188" s="18">
        <v>1.4950000000000001</v>
      </c>
      <c r="K188" s="37" t="str">
        <f t="shared" si="4"/>
        <v>Inexpensive</v>
      </c>
      <c r="L188" s="37"/>
      <c r="N188" s="37"/>
      <c r="O188" s="37"/>
      <c r="P188" s="37"/>
      <c r="Q188" s="37"/>
      <c r="R188" s="37"/>
      <c r="S188" s="37"/>
      <c r="T188" s="37"/>
      <c r="V188"/>
      <c r="X188"/>
    </row>
    <row r="189" spans="1:24" ht="15" customHeight="1" thickBot="1" x14ac:dyDescent="0.35">
      <c r="A189" s="38">
        <v>43468.347916666666</v>
      </c>
      <c r="B189" s="39">
        <v>141417</v>
      </c>
      <c r="C189" s="36" t="s">
        <v>117</v>
      </c>
      <c r="D189" s="17">
        <v>8270000000000</v>
      </c>
      <c r="E189" s="16" t="s">
        <v>132</v>
      </c>
      <c r="F189" s="17">
        <v>1</v>
      </c>
      <c r="G189" s="18">
        <v>99.99</v>
      </c>
      <c r="H189" s="17">
        <v>49.994999999999997</v>
      </c>
      <c r="I189" s="18">
        <v>99.99</v>
      </c>
      <c r="J189" s="18">
        <v>49.994999999999997</v>
      </c>
      <c r="K189" s="37" t="str">
        <f t="shared" si="4"/>
        <v>Inexpensive</v>
      </c>
      <c r="L189" s="37"/>
      <c r="N189" s="37"/>
      <c r="O189" s="37"/>
      <c r="P189" s="37"/>
      <c r="Q189" s="37"/>
      <c r="R189" s="37"/>
      <c r="S189" s="37"/>
      <c r="T189" s="37"/>
      <c r="V189"/>
      <c r="X189"/>
    </row>
    <row r="190" spans="1:24" ht="15" customHeight="1" thickBot="1" x14ac:dyDescent="0.35">
      <c r="A190" s="38">
        <v>43475.533333333333</v>
      </c>
      <c r="B190" s="39">
        <v>141418</v>
      </c>
      <c r="C190" s="36" t="s">
        <v>118</v>
      </c>
      <c r="D190" s="17">
        <v>7690000000000</v>
      </c>
      <c r="E190" s="16" t="s">
        <v>132</v>
      </c>
      <c r="F190" s="17">
        <v>1</v>
      </c>
      <c r="G190" s="18">
        <v>150</v>
      </c>
      <c r="H190" s="17">
        <v>97.5</v>
      </c>
      <c r="I190" s="18">
        <v>150</v>
      </c>
      <c r="J190" s="18">
        <v>52.5</v>
      </c>
      <c r="K190" s="37" t="str">
        <f t="shared" si="4"/>
        <v>Inexpensive</v>
      </c>
      <c r="L190" s="37"/>
      <c r="N190" s="37"/>
      <c r="O190" s="37"/>
      <c r="P190" s="37"/>
      <c r="Q190" s="37"/>
      <c r="R190" s="37"/>
      <c r="S190" s="37"/>
      <c r="T190" s="37"/>
      <c r="V190"/>
      <c r="X190"/>
    </row>
    <row r="191" spans="1:24" ht="15" customHeight="1" thickBot="1" x14ac:dyDescent="0.35">
      <c r="A191" s="38">
        <v>43487.495138888888</v>
      </c>
      <c r="B191" s="39">
        <v>141419</v>
      </c>
      <c r="C191" s="36" t="s">
        <v>112</v>
      </c>
      <c r="D191" s="17">
        <v>8370000000000</v>
      </c>
      <c r="E191" s="16" t="s">
        <v>130</v>
      </c>
      <c r="F191" s="17">
        <v>1</v>
      </c>
      <c r="G191" s="18">
        <v>11.99</v>
      </c>
      <c r="H191" s="17">
        <v>5.9950000000000001</v>
      </c>
      <c r="I191" s="18">
        <v>11.99</v>
      </c>
      <c r="J191" s="18">
        <v>5.9950000000000001</v>
      </c>
      <c r="K191" s="37" t="str">
        <f t="shared" si="4"/>
        <v>Inexpensive</v>
      </c>
      <c r="L191" s="37"/>
      <c r="N191" s="37"/>
      <c r="O191" s="37"/>
      <c r="P191" s="37"/>
      <c r="Q191" s="37"/>
      <c r="R191" s="37"/>
      <c r="S191" s="37"/>
      <c r="T191" s="37"/>
      <c r="V191"/>
      <c r="X191"/>
    </row>
    <row r="192" spans="1:24" ht="15" customHeight="1" thickBot="1" x14ac:dyDescent="0.35">
      <c r="A192" s="38">
        <v>43474.513194444444</v>
      </c>
      <c r="B192" s="39">
        <v>141420</v>
      </c>
      <c r="C192" s="36" t="s">
        <v>111</v>
      </c>
      <c r="D192" s="17">
        <v>8710000000000</v>
      </c>
      <c r="E192" s="16" t="s">
        <v>132</v>
      </c>
      <c r="F192" s="17">
        <v>2</v>
      </c>
      <c r="G192" s="18">
        <v>14.95</v>
      </c>
      <c r="H192" s="17">
        <v>7.4749999999999996</v>
      </c>
      <c r="I192" s="18">
        <v>29.9</v>
      </c>
      <c r="J192" s="18">
        <v>14.95</v>
      </c>
      <c r="K192" s="37" t="str">
        <f t="shared" si="4"/>
        <v>Inexpensive</v>
      </c>
      <c r="L192" s="37"/>
      <c r="N192" s="37"/>
      <c r="O192" s="37"/>
      <c r="P192" s="37"/>
      <c r="Q192" s="37"/>
      <c r="R192" s="37"/>
      <c r="S192" s="37"/>
      <c r="T192" s="37"/>
      <c r="V192"/>
      <c r="X192"/>
    </row>
    <row r="193" spans="1:24" ht="15" customHeight="1" thickBot="1" x14ac:dyDescent="0.35">
      <c r="A193" s="38">
        <v>43489.554166666669</v>
      </c>
      <c r="B193" s="39">
        <v>141421</v>
      </c>
      <c r="C193" s="36" t="s">
        <v>120</v>
      </c>
      <c r="D193" s="17">
        <v>1220000000000</v>
      </c>
      <c r="E193" s="16" t="s">
        <v>132</v>
      </c>
      <c r="F193" s="17">
        <v>1</v>
      </c>
      <c r="G193" s="18">
        <v>300</v>
      </c>
      <c r="H193" s="17">
        <v>99</v>
      </c>
      <c r="I193" s="18">
        <v>300</v>
      </c>
      <c r="J193" s="18">
        <v>201</v>
      </c>
      <c r="K193" s="37" t="str">
        <f t="shared" si="4"/>
        <v>Inexpensive</v>
      </c>
      <c r="L193" s="37"/>
      <c r="N193" s="37"/>
      <c r="O193" s="37"/>
      <c r="P193" s="37"/>
      <c r="Q193" s="37"/>
      <c r="R193" s="37"/>
      <c r="S193" s="37"/>
      <c r="T193" s="37"/>
      <c r="V193"/>
      <c r="X193"/>
    </row>
    <row r="194" spans="1:24" ht="15" customHeight="1" thickBot="1" x14ac:dyDescent="0.35">
      <c r="A194" s="38">
        <v>43481.932638888888</v>
      </c>
      <c r="B194" s="39">
        <v>141422</v>
      </c>
      <c r="C194" s="36" t="s">
        <v>118</v>
      </c>
      <c r="D194" s="17">
        <v>6460000000000</v>
      </c>
      <c r="E194" s="16" t="s">
        <v>131</v>
      </c>
      <c r="F194" s="17">
        <v>1</v>
      </c>
      <c r="G194" s="18">
        <v>150</v>
      </c>
      <c r="H194" s="17">
        <v>97.5</v>
      </c>
      <c r="I194" s="18">
        <v>150</v>
      </c>
      <c r="J194" s="18">
        <v>52.5</v>
      </c>
      <c r="K194" s="37" t="str">
        <f t="shared" si="4"/>
        <v>Inexpensive</v>
      </c>
      <c r="L194" s="37"/>
      <c r="N194" s="37"/>
      <c r="O194" s="37"/>
      <c r="P194" s="37"/>
      <c r="Q194" s="37"/>
      <c r="R194" s="37"/>
      <c r="S194" s="37"/>
      <c r="T194" s="37"/>
      <c r="V194"/>
      <c r="X194"/>
    </row>
    <row r="195" spans="1:24" ht="15" customHeight="1" thickBot="1" x14ac:dyDescent="0.35">
      <c r="A195" s="38">
        <v>43471.570138888892</v>
      </c>
      <c r="B195" s="39">
        <v>141423</v>
      </c>
      <c r="C195" s="36" t="s">
        <v>111</v>
      </c>
      <c r="D195" s="17">
        <v>1750000000000</v>
      </c>
      <c r="E195" s="16" t="s">
        <v>131</v>
      </c>
      <c r="F195" s="17">
        <v>2</v>
      </c>
      <c r="G195" s="18">
        <v>14.95</v>
      </c>
      <c r="H195" s="17">
        <v>7.4749999999999996</v>
      </c>
      <c r="I195" s="18">
        <v>29.9</v>
      </c>
      <c r="J195" s="18">
        <v>14.95</v>
      </c>
      <c r="K195" s="37" t="str">
        <f t="shared" ref="K195:K258" si="5">IF(G195&gt;=700,"Expensive","Inexpensive")</f>
        <v>Inexpensive</v>
      </c>
      <c r="L195" s="37"/>
      <c r="N195" s="37"/>
      <c r="O195" s="37"/>
      <c r="P195" s="37"/>
      <c r="Q195" s="37"/>
      <c r="R195" s="37"/>
      <c r="S195" s="37"/>
      <c r="T195" s="37"/>
      <c r="V195"/>
      <c r="X195"/>
    </row>
    <row r="196" spans="1:24" ht="15" customHeight="1" thickBot="1" x14ac:dyDescent="0.35">
      <c r="A196" s="38">
        <v>43478.825694444444</v>
      </c>
      <c r="B196" s="39">
        <v>141424</v>
      </c>
      <c r="C196" s="36" t="s">
        <v>118</v>
      </c>
      <c r="D196" s="17">
        <v>9380000000000</v>
      </c>
      <c r="E196" s="16" t="s">
        <v>130</v>
      </c>
      <c r="F196" s="17">
        <v>1</v>
      </c>
      <c r="G196" s="18">
        <v>150</v>
      </c>
      <c r="H196" s="17">
        <v>97.5</v>
      </c>
      <c r="I196" s="18">
        <v>150</v>
      </c>
      <c r="J196" s="18">
        <v>52.5</v>
      </c>
      <c r="K196" s="37" t="str">
        <f t="shared" si="5"/>
        <v>Inexpensive</v>
      </c>
      <c r="L196" s="37"/>
      <c r="N196" s="37"/>
      <c r="O196" s="37"/>
      <c r="P196" s="37"/>
      <c r="Q196" s="37"/>
      <c r="R196" s="37"/>
      <c r="S196" s="37"/>
      <c r="T196" s="37"/>
      <c r="V196"/>
      <c r="X196"/>
    </row>
    <row r="197" spans="1:24" ht="15" customHeight="1" thickBot="1" x14ac:dyDescent="0.35">
      <c r="A197" s="38">
        <v>43484.624305555553</v>
      </c>
      <c r="B197" s="39">
        <v>141425</v>
      </c>
      <c r="C197" s="36" t="s">
        <v>112</v>
      </c>
      <c r="D197" s="17">
        <v>9200000000000</v>
      </c>
      <c r="E197" s="16" t="s">
        <v>132</v>
      </c>
      <c r="F197" s="17">
        <v>1</v>
      </c>
      <c r="G197" s="18">
        <v>11.99</v>
      </c>
      <c r="H197" s="17">
        <v>5.9950000000000001</v>
      </c>
      <c r="I197" s="18">
        <v>11.99</v>
      </c>
      <c r="J197" s="18">
        <v>5.9950000000000001</v>
      </c>
      <c r="K197" s="37" t="str">
        <f t="shared" si="5"/>
        <v>Inexpensive</v>
      </c>
      <c r="L197" s="37"/>
      <c r="N197" s="37"/>
      <c r="O197" s="37"/>
      <c r="P197" s="37"/>
      <c r="Q197" s="37"/>
      <c r="R197" s="37"/>
      <c r="S197" s="37"/>
      <c r="T197" s="37"/>
      <c r="V197"/>
      <c r="X197"/>
    </row>
    <row r="198" spans="1:24" ht="15" customHeight="1" thickBot="1" x14ac:dyDescent="0.35">
      <c r="A198" s="38">
        <v>43477.539583333331</v>
      </c>
      <c r="B198" s="39">
        <v>141426</v>
      </c>
      <c r="C198" s="36" t="s">
        <v>123</v>
      </c>
      <c r="D198" s="17">
        <v>4420000000000</v>
      </c>
      <c r="E198" s="16" t="s">
        <v>132</v>
      </c>
      <c r="F198" s="17">
        <v>1</v>
      </c>
      <c r="G198" s="18">
        <v>600</v>
      </c>
      <c r="H198" s="17">
        <v>198</v>
      </c>
      <c r="I198" s="18">
        <v>600</v>
      </c>
      <c r="J198" s="18">
        <v>402</v>
      </c>
      <c r="K198" s="37" t="str">
        <f t="shared" si="5"/>
        <v>Inexpensive</v>
      </c>
      <c r="L198" s="37"/>
      <c r="N198" s="37"/>
      <c r="O198" s="37"/>
      <c r="P198" s="37"/>
      <c r="Q198" s="37"/>
      <c r="R198" s="37"/>
      <c r="S198" s="37"/>
      <c r="T198" s="37"/>
      <c r="V198"/>
      <c r="X198"/>
    </row>
    <row r="199" spans="1:24" ht="15" customHeight="1" thickBot="1" x14ac:dyDescent="0.35">
      <c r="A199" s="38">
        <v>43481.613888888889</v>
      </c>
      <c r="B199" s="39">
        <v>141427</v>
      </c>
      <c r="C199" s="36" t="s">
        <v>116</v>
      </c>
      <c r="D199" s="17">
        <v>5770000000000</v>
      </c>
      <c r="E199" s="16" t="s">
        <v>130</v>
      </c>
      <c r="F199" s="17">
        <v>1</v>
      </c>
      <c r="G199" s="18">
        <v>11.95</v>
      </c>
      <c r="H199" s="17">
        <v>5.9749999999999996</v>
      </c>
      <c r="I199" s="18">
        <v>11.95</v>
      </c>
      <c r="J199" s="18">
        <v>5.9749999999999996</v>
      </c>
      <c r="K199" s="37" t="str">
        <f t="shared" si="5"/>
        <v>Inexpensive</v>
      </c>
      <c r="L199" s="37"/>
      <c r="N199" s="37"/>
      <c r="O199" s="37"/>
      <c r="P199" s="37"/>
      <c r="Q199" s="37"/>
      <c r="R199" s="37"/>
      <c r="S199" s="37"/>
      <c r="T199" s="37"/>
      <c r="V199"/>
      <c r="X199"/>
    </row>
    <row r="200" spans="1:24" ht="15" customHeight="1" thickBot="1" x14ac:dyDescent="0.35">
      <c r="A200" s="38">
        <v>43487.42083333333</v>
      </c>
      <c r="B200" s="39">
        <v>141428</v>
      </c>
      <c r="C200" s="36" t="s">
        <v>122</v>
      </c>
      <c r="D200" s="17">
        <v>6240000000000</v>
      </c>
      <c r="E200" s="16" t="s">
        <v>130</v>
      </c>
      <c r="F200" s="17">
        <v>1</v>
      </c>
      <c r="G200" s="18">
        <v>3.84</v>
      </c>
      <c r="H200" s="17">
        <v>1.92</v>
      </c>
      <c r="I200" s="18">
        <v>3.84</v>
      </c>
      <c r="J200" s="18">
        <v>1.92</v>
      </c>
      <c r="K200" s="37" t="str">
        <f t="shared" si="5"/>
        <v>Inexpensive</v>
      </c>
      <c r="L200" s="37"/>
      <c r="N200" s="37"/>
      <c r="O200" s="37"/>
      <c r="P200" s="37"/>
      <c r="Q200" s="37"/>
      <c r="R200" s="37"/>
      <c r="S200" s="37"/>
      <c r="T200" s="37"/>
      <c r="V200"/>
      <c r="X200"/>
    </row>
    <row r="201" spans="1:24" ht="15" customHeight="1" thickBot="1" x14ac:dyDescent="0.35">
      <c r="A201" s="38">
        <v>43486.25277777778</v>
      </c>
      <c r="B201" s="39">
        <v>141429</v>
      </c>
      <c r="C201" s="36" t="s">
        <v>118</v>
      </c>
      <c r="D201" s="17">
        <v>4020000000000</v>
      </c>
      <c r="E201" s="16" t="s">
        <v>132</v>
      </c>
      <c r="F201" s="17">
        <v>1</v>
      </c>
      <c r="G201" s="18">
        <v>150</v>
      </c>
      <c r="H201" s="17">
        <v>97.5</v>
      </c>
      <c r="I201" s="18">
        <v>150</v>
      </c>
      <c r="J201" s="18">
        <v>52.5</v>
      </c>
      <c r="K201" s="37" t="str">
        <f t="shared" si="5"/>
        <v>Inexpensive</v>
      </c>
      <c r="L201" s="37"/>
      <c r="N201" s="37"/>
      <c r="O201" s="37"/>
      <c r="P201" s="37"/>
      <c r="Q201" s="37"/>
      <c r="R201" s="37"/>
      <c r="S201" s="37"/>
      <c r="T201" s="37"/>
      <c r="V201"/>
      <c r="X201"/>
    </row>
    <row r="202" spans="1:24" ht="15" customHeight="1" thickBot="1" x14ac:dyDescent="0.35">
      <c r="A202" s="38">
        <v>43488.900694444441</v>
      </c>
      <c r="B202" s="39">
        <v>141430</v>
      </c>
      <c r="C202" s="36" t="s">
        <v>125</v>
      </c>
      <c r="D202" s="17">
        <v>9160000000000</v>
      </c>
      <c r="E202" s="16" t="s">
        <v>130</v>
      </c>
      <c r="F202" s="17">
        <v>1</v>
      </c>
      <c r="G202" s="18">
        <v>379.99</v>
      </c>
      <c r="H202" s="17">
        <v>125.3967</v>
      </c>
      <c r="I202" s="18">
        <v>379.99</v>
      </c>
      <c r="J202" s="18">
        <v>254.5933</v>
      </c>
      <c r="K202" s="37" t="str">
        <f t="shared" si="5"/>
        <v>Inexpensive</v>
      </c>
      <c r="L202" s="37"/>
      <c r="N202" s="37"/>
      <c r="O202" s="37"/>
      <c r="P202" s="37"/>
      <c r="Q202" s="37"/>
      <c r="R202" s="37"/>
      <c r="S202" s="37"/>
      <c r="T202" s="37"/>
      <c r="V202"/>
      <c r="X202"/>
    </row>
    <row r="203" spans="1:24" ht="15" customHeight="1" thickBot="1" x14ac:dyDescent="0.35">
      <c r="A203" s="38">
        <v>43469.302777777775</v>
      </c>
      <c r="B203" s="39">
        <v>141431</v>
      </c>
      <c r="C203" s="36" t="s">
        <v>116</v>
      </c>
      <c r="D203" s="17">
        <v>5290000000000</v>
      </c>
      <c r="E203" s="16" t="s">
        <v>132</v>
      </c>
      <c r="F203" s="17">
        <v>1</v>
      </c>
      <c r="G203" s="18">
        <v>11.95</v>
      </c>
      <c r="H203" s="17">
        <v>5.9749999999999996</v>
      </c>
      <c r="I203" s="18">
        <v>11.95</v>
      </c>
      <c r="J203" s="18">
        <v>5.9749999999999996</v>
      </c>
      <c r="K203" s="37" t="str">
        <f t="shared" si="5"/>
        <v>Inexpensive</v>
      </c>
      <c r="L203" s="37"/>
      <c r="N203" s="37"/>
      <c r="O203" s="37"/>
      <c r="P203" s="37"/>
      <c r="Q203" s="37"/>
      <c r="R203" s="37"/>
      <c r="S203" s="37"/>
      <c r="T203" s="37"/>
      <c r="V203"/>
      <c r="X203"/>
    </row>
    <row r="204" spans="1:24" ht="15" customHeight="1" thickBot="1" x14ac:dyDescent="0.35">
      <c r="A204" s="38">
        <v>43483.943055555559</v>
      </c>
      <c r="B204" s="39">
        <v>141432</v>
      </c>
      <c r="C204" s="36" t="s">
        <v>116</v>
      </c>
      <c r="D204" s="17">
        <v>6230000000000</v>
      </c>
      <c r="E204" s="16" t="s">
        <v>131</v>
      </c>
      <c r="F204" s="17">
        <v>1</v>
      </c>
      <c r="G204" s="18">
        <v>11.95</v>
      </c>
      <c r="H204" s="17">
        <v>5.9749999999999996</v>
      </c>
      <c r="I204" s="18">
        <v>11.95</v>
      </c>
      <c r="J204" s="18">
        <v>5.9749999999999996</v>
      </c>
      <c r="K204" s="37" t="str">
        <f t="shared" si="5"/>
        <v>Inexpensive</v>
      </c>
      <c r="L204" s="37"/>
      <c r="N204" s="37"/>
      <c r="O204" s="37"/>
      <c r="P204" s="37"/>
      <c r="Q204" s="37"/>
      <c r="R204" s="37"/>
      <c r="S204" s="37"/>
      <c r="T204" s="37"/>
      <c r="V204"/>
      <c r="X204"/>
    </row>
    <row r="205" spans="1:24" ht="15" customHeight="1" thickBot="1" x14ac:dyDescent="0.35">
      <c r="A205" s="38">
        <v>43480.838888888888</v>
      </c>
      <c r="B205" s="39">
        <v>141433</v>
      </c>
      <c r="C205" s="36" t="s">
        <v>123</v>
      </c>
      <c r="D205" s="17">
        <v>9620000000000</v>
      </c>
      <c r="E205" s="16" t="s">
        <v>131</v>
      </c>
      <c r="F205" s="17">
        <v>1</v>
      </c>
      <c r="G205" s="18">
        <v>600</v>
      </c>
      <c r="H205" s="17">
        <v>198</v>
      </c>
      <c r="I205" s="18">
        <v>600</v>
      </c>
      <c r="J205" s="18">
        <v>402</v>
      </c>
      <c r="K205" s="37" t="str">
        <f t="shared" si="5"/>
        <v>Inexpensive</v>
      </c>
      <c r="L205" s="37"/>
      <c r="N205" s="37"/>
      <c r="O205" s="37"/>
      <c r="P205" s="37"/>
      <c r="Q205" s="37"/>
      <c r="R205" s="37"/>
      <c r="S205" s="37"/>
      <c r="T205" s="37"/>
      <c r="V205"/>
      <c r="X205"/>
    </row>
    <row r="206" spans="1:24" ht="15" customHeight="1" thickBot="1" x14ac:dyDescent="0.35">
      <c r="A206" s="38">
        <v>43478.793749999997</v>
      </c>
      <c r="B206" s="39">
        <v>141434</v>
      </c>
      <c r="C206" s="36" t="s">
        <v>115</v>
      </c>
      <c r="D206" s="17">
        <v>4960000000000</v>
      </c>
      <c r="E206" s="16" t="s">
        <v>130</v>
      </c>
      <c r="F206" s="17">
        <v>1</v>
      </c>
      <c r="G206" s="18">
        <v>389.99</v>
      </c>
      <c r="H206" s="17">
        <v>128.69669999999999</v>
      </c>
      <c r="I206" s="18">
        <v>389.99</v>
      </c>
      <c r="J206" s="18">
        <v>261.29329999999999</v>
      </c>
      <c r="K206" s="37" t="str">
        <f t="shared" si="5"/>
        <v>Inexpensive</v>
      </c>
      <c r="L206" s="37"/>
      <c r="N206" s="37"/>
      <c r="O206" s="37"/>
      <c r="P206" s="37"/>
      <c r="Q206" s="37"/>
      <c r="R206" s="37"/>
      <c r="S206" s="37"/>
      <c r="T206" s="37"/>
      <c r="V206"/>
      <c r="X206"/>
    </row>
    <row r="207" spans="1:24" ht="15" customHeight="1" thickBot="1" x14ac:dyDescent="0.35">
      <c r="A207" s="38">
        <v>43480.454861111109</v>
      </c>
      <c r="B207" s="39">
        <v>141435</v>
      </c>
      <c r="C207" s="36" t="s">
        <v>116</v>
      </c>
      <c r="D207" s="17">
        <v>8990000000000</v>
      </c>
      <c r="E207" s="16" t="s">
        <v>130</v>
      </c>
      <c r="F207" s="17">
        <v>1</v>
      </c>
      <c r="G207" s="18">
        <v>11.95</v>
      </c>
      <c r="H207" s="17">
        <v>5.9749999999999996</v>
      </c>
      <c r="I207" s="18">
        <v>11.95</v>
      </c>
      <c r="J207" s="18">
        <v>5.9749999999999996</v>
      </c>
      <c r="K207" s="37" t="str">
        <f t="shared" si="5"/>
        <v>Inexpensive</v>
      </c>
      <c r="L207" s="37"/>
      <c r="N207" s="37"/>
      <c r="O207" s="37"/>
      <c r="P207" s="37"/>
      <c r="Q207" s="37"/>
      <c r="R207" s="37"/>
      <c r="S207" s="37"/>
      <c r="T207" s="37"/>
      <c r="V207"/>
      <c r="X207"/>
    </row>
    <row r="208" spans="1:24" ht="15" customHeight="1" thickBot="1" x14ac:dyDescent="0.35">
      <c r="A208" s="38">
        <v>43468.332638888889</v>
      </c>
      <c r="B208" s="39">
        <v>141436</v>
      </c>
      <c r="C208" s="36" t="s">
        <v>117</v>
      </c>
      <c r="D208" s="17">
        <v>4500000000000</v>
      </c>
      <c r="E208" s="16" t="s">
        <v>131</v>
      </c>
      <c r="F208" s="17">
        <v>1</v>
      </c>
      <c r="G208" s="18">
        <v>99.99</v>
      </c>
      <c r="H208" s="17">
        <v>49.994999999999997</v>
      </c>
      <c r="I208" s="18">
        <v>99.99</v>
      </c>
      <c r="J208" s="18">
        <v>49.994999999999997</v>
      </c>
      <c r="K208" s="37" t="str">
        <f t="shared" si="5"/>
        <v>Inexpensive</v>
      </c>
      <c r="L208" s="37"/>
      <c r="N208" s="37"/>
      <c r="O208" s="37"/>
      <c r="P208" s="37"/>
      <c r="Q208" s="37"/>
      <c r="R208" s="37"/>
      <c r="S208" s="37"/>
      <c r="T208" s="37"/>
      <c r="V208"/>
      <c r="X208"/>
    </row>
    <row r="209" spans="1:24" ht="15" customHeight="1" thickBot="1" x14ac:dyDescent="0.35">
      <c r="A209" s="38">
        <v>43475.652777777781</v>
      </c>
      <c r="B209" s="39">
        <v>141437</v>
      </c>
      <c r="C209" s="36" t="s">
        <v>110</v>
      </c>
      <c r="D209" s="17">
        <v>1280000000000</v>
      </c>
      <c r="E209" s="16" t="s">
        <v>131</v>
      </c>
      <c r="F209" s="17">
        <v>1</v>
      </c>
      <c r="G209" s="18">
        <v>700</v>
      </c>
      <c r="H209" s="17">
        <v>231</v>
      </c>
      <c r="I209" s="18">
        <v>700</v>
      </c>
      <c r="J209" s="18">
        <v>469</v>
      </c>
      <c r="K209" s="37" t="str">
        <f t="shared" si="5"/>
        <v>Expensive</v>
      </c>
      <c r="L209" s="37"/>
      <c r="N209" s="37"/>
      <c r="O209" s="37"/>
      <c r="P209" s="37"/>
      <c r="Q209" s="37"/>
      <c r="R209" s="37"/>
      <c r="S209" s="37"/>
      <c r="T209" s="37"/>
      <c r="V209"/>
      <c r="X209"/>
    </row>
    <row r="210" spans="1:24" ht="15" customHeight="1" thickBot="1" x14ac:dyDescent="0.35">
      <c r="A210" s="38">
        <v>43494.73333333333</v>
      </c>
      <c r="B210" s="39">
        <v>141438</v>
      </c>
      <c r="C210" s="36" t="s">
        <v>112</v>
      </c>
      <c r="D210" s="17">
        <v>8920000000000</v>
      </c>
      <c r="E210" s="16" t="s">
        <v>131</v>
      </c>
      <c r="F210" s="17">
        <v>2</v>
      </c>
      <c r="G210" s="18">
        <v>11.99</v>
      </c>
      <c r="H210" s="17">
        <v>5.9950000000000001</v>
      </c>
      <c r="I210" s="18">
        <v>23.98</v>
      </c>
      <c r="J210" s="18">
        <v>11.99</v>
      </c>
      <c r="K210" s="37" t="str">
        <f t="shared" si="5"/>
        <v>Inexpensive</v>
      </c>
      <c r="L210" s="37"/>
      <c r="N210" s="37"/>
      <c r="O210" s="37"/>
      <c r="P210" s="37"/>
      <c r="Q210" s="37"/>
      <c r="R210" s="37"/>
      <c r="S210" s="37"/>
      <c r="T210" s="37"/>
      <c r="V210"/>
      <c r="X210"/>
    </row>
    <row r="211" spans="1:24" ht="15" customHeight="1" thickBot="1" x14ac:dyDescent="0.35">
      <c r="A211" s="38">
        <v>43474.867361111108</v>
      </c>
      <c r="B211" s="39">
        <v>141439</v>
      </c>
      <c r="C211" s="36" t="s">
        <v>120</v>
      </c>
      <c r="D211" s="17">
        <v>1920000000000</v>
      </c>
      <c r="E211" s="16" t="s">
        <v>131</v>
      </c>
      <c r="F211" s="17">
        <v>1</v>
      </c>
      <c r="G211" s="18">
        <v>300</v>
      </c>
      <c r="H211" s="17">
        <v>99</v>
      </c>
      <c r="I211" s="18">
        <v>300</v>
      </c>
      <c r="J211" s="18">
        <v>201</v>
      </c>
      <c r="K211" s="37" t="str">
        <f t="shared" si="5"/>
        <v>Inexpensive</v>
      </c>
      <c r="L211" s="37"/>
      <c r="N211" s="37"/>
      <c r="O211" s="37"/>
      <c r="P211" s="37"/>
      <c r="Q211" s="37"/>
      <c r="R211" s="37"/>
      <c r="S211" s="37"/>
      <c r="T211" s="37"/>
      <c r="V211"/>
      <c r="X211"/>
    </row>
    <row r="212" spans="1:24" ht="15" customHeight="1" thickBot="1" x14ac:dyDescent="0.35">
      <c r="A212" s="38">
        <v>43496.965277777781</v>
      </c>
      <c r="B212" s="39">
        <v>141440</v>
      </c>
      <c r="C212" s="36" t="s">
        <v>123</v>
      </c>
      <c r="D212" s="17">
        <v>2090000000000</v>
      </c>
      <c r="E212" s="16" t="s">
        <v>130</v>
      </c>
      <c r="F212" s="17">
        <v>1</v>
      </c>
      <c r="G212" s="18">
        <v>600</v>
      </c>
      <c r="H212" s="17">
        <v>198</v>
      </c>
      <c r="I212" s="18">
        <v>600</v>
      </c>
      <c r="J212" s="18">
        <v>402</v>
      </c>
      <c r="K212" s="37" t="str">
        <f t="shared" si="5"/>
        <v>Inexpensive</v>
      </c>
      <c r="L212" s="37"/>
      <c r="N212" s="37"/>
      <c r="O212" s="37"/>
      <c r="P212" s="37"/>
      <c r="Q212" s="37"/>
      <c r="R212" s="37"/>
      <c r="S212" s="37"/>
      <c r="T212" s="37"/>
      <c r="V212"/>
      <c r="X212"/>
    </row>
    <row r="213" spans="1:24" ht="15" customHeight="1" thickBot="1" x14ac:dyDescent="0.35">
      <c r="A213" s="38">
        <v>43485.797222222223</v>
      </c>
      <c r="B213" s="39">
        <v>141441</v>
      </c>
      <c r="C213" s="36" t="s">
        <v>122</v>
      </c>
      <c r="D213" s="17">
        <v>9300000000000</v>
      </c>
      <c r="E213" s="16" t="s">
        <v>132</v>
      </c>
      <c r="F213" s="17">
        <v>1</v>
      </c>
      <c r="G213" s="18">
        <v>3.84</v>
      </c>
      <c r="H213" s="17">
        <v>1.92</v>
      </c>
      <c r="I213" s="18">
        <v>3.84</v>
      </c>
      <c r="J213" s="18">
        <v>1.92</v>
      </c>
      <c r="K213" s="37" t="str">
        <f t="shared" si="5"/>
        <v>Inexpensive</v>
      </c>
      <c r="L213" s="37"/>
      <c r="N213" s="37"/>
      <c r="O213" s="37"/>
      <c r="P213" s="37"/>
      <c r="Q213" s="37"/>
      <c r="R213" s="37"/>
      <c r="S213" s="37"/>
      <c r="T213" s="37"/>
      <c r="V213"/>
      <c r="X213"/>
    </row>
    <row r="214" spans="1:24" ht="15" customHeight="1" thickBot="1" x14ac:dyDescent="0.35">
      <c r="A214" s="38">
        <v>43471.435416666667</v>
      </c>
      <c r="B214" s="39">
        <v>141442</v>
      </c>
      <c r="C214" s="36" t="s">
        <v>123</v>
      </c>
      <c r="D214" s="17">
        <v>5280000000000</v>
      </c>
      <c r="E214" s="16" t="s">
        <v>132</v>
      </c>
      <c r="F214" s="17">
        <v>1</v>
      </c>
      <c r="G214" s="18">
        <v>600</v>
      </c>
      <c r="H214" s="17">
        <v>198</v>
      </c>
      <c r="I214" s="18">
        <v>600</v>
      </c>
      <c r="J214" s="18">
        <v>402</v>
      </c>
      <c r="K214" s="37" t="str">
        <f t="shared" si="5"/>
        <v>Inexpensive</v>
      </c>
      <c r="L214" s="37"/>
      <c r="N214" s="37"/>
      <c r="O214" s="37"/>
      <c r="P214" s="37"/>
      <c r="Q214" s="37"/>
      <c r="R214" s="37"/>
      <c r="S214" s="37"/>
      <c r="T214" s="37"/>
      <c r="V214"/>
      <c r="X214"/>
    </row>
    <row r="215" spans="1:24" ht="15" customHeight="1" thickBot="1" x14ac:dyDescent="0.35">
      <c r="A215" s="38">
        <v>43480.806944444441</v>
      </c>
      <c r="B215" s="39">
        <v>141443</v>
      </c>
      <c r="C215" s="36" t="s">
        <v>111</v>
      </c>
      <c r="D215" s="17">
        <v>7210000000000</v>
      </c>
      <c r="E215" s="16" t="s">
        <v>130</v>
      </c>
      <c r="F215" s="17">
        <v>1</v>
      </c>
      <c r="G215" s="18">
        <v>14.95</v>
      </c>
      <c r="H215" s="17">
        <v>7.4749999999999996</v>
      </c>
      <c r="I215" s="18">
        <v>14.95</v>
      </c>
      <c r="J215" s="18">
        <v>7.4749999999999996</v>
      </c>
      <c r="K215" s="37" t="str">
        <f t="shared" si="5"/>
        <v>Inexpensive</v>
      </c>
      <c r="L215" s="37"/>
      <c r="N215" s="37"/>
      <c r="O215" s="37"/>
      <c r="P215" s="37"/>
      <c r="Q215" s="37"/>
      <c r="R215" s="37"/>
      <c r="S215" s="37"/>
      <c r="T215" s="37"/>
      <c r="V215"/>
      <c r="X215"/>
    </row>
    <row r="216" spans="1:24" ht="15" customHeight="1" thickBot="1" x14ac:dyDescent="0.35">
      <c r="A216" s="38">
        <v>43487.955555555556</v>
      </c>
      <c r="B216" s="39">
        <v>141444</v>
      </c>
      <c r="C216" s="36" t="s">
        <v>114</v>
      </c>
      <c r="D216" s="17">
        <v>4170000000000</v>
      </c>
      <c r="E216" s="16" t="s">
        <v>132</v>
      </c>
      <c r="F216" s="17">
        <v>1</v>
      </c>
      <c r="G216" s="18">
        <v>2.99</v>
      </c>
      <c r="H216" s="17">
        <v>1.4950000000000001</v>
      </c>
      <c r="I216" s="18">
        <v>2.99</v>
      </c>
      <c r="J216" s="18">
        <v>1.4950000000000001</v>
      </c>
      <c r="K216" s="37" t="str">
        <f t="shared" si="5"/>
        <v>Inexpensive</v>
      </c>
      <c r="L216" s="37"/>
      <c r="N216" s="37"/>
      <c r="O216" s="37"/>
      <c r="P216" s="37"/>
      <c r="Q216" s="37"/>
      <c r="R216" s="37"/>
      <c r="S216" s="37"/>
      <c r="T216" s="37"/>
      <c r="V216"/>
      <c r="X216"/>
    </row>
    <row r="217" spans="1:24" ht="15" customHeight="1" thickBot="1" x14ac:dyDescent="0.35">
      <c r="A217" s="38">
        <v>43488.900694444441</v>
      </c>
      <c r="B217" s="39">
        <v>141445</v>
      </c>
      <c r="C217" s="36" t="s">
        <v>116</v>
      </c>
      <c r="D217" s="17">
        <v>9610000000000</v>
      </c>
      <c r="E217" s="16" t="s">
        <v>132</v>
      </c>
      <c r="F217" s="17">
        <v>1</v>
      </c>
      <c r="G217" s="18">
        <v>11.95</v>
      </c>
      <c r="H217" s="17">
        <v>5.9749999999999996</v>
      </c>
      <c r="I217" s="18">
        <v>11.95</v>
      </c>
      <c r="J217" s="18">
        <v>5.9749999999999996</v>
      </c>
      <c r="K217" s="37" t="str">
        <f t="shared" si="5"/>
        <v>Inexpensive</v>
      </c>
      <c r="L217" s="37"/>
      <c r="N217" s="37"/>
      <c r="O217" s="37"/>
      <c r="P217" s="37"/>
      <c r="Q217" s="37"/>
      <c r="R217" s="37"/>
      <c r="S217" s="37"/>
      <c r="T217" s="37"/>
      <c r="V217"/>
      <c r="X217"/>
    </row>
    <row r="218" spans="1:24" ht="15" customHeight="1" thickBot="1" x14ac:dyDescent="0.35">
      <c r="A218" s="38">
        <v>43481.835416666669</v>
      </c>
      <c r="B218" s="39">
        <v>141446</v>
      </c>
      <c r="C218" s="36" t="s">
        <v>117</v>
      </c>
      <c r="D218" s="17">
        <v>2960000000000</v>
      </c>
      <c r="E218" s="16" t="s">
        <v>130</v>
      </c>
      <c r="F218" s="17">
        <v>1</v>
      </c>
      <c r="G218" s="18">
        <v>99.99</v>
      </c>
      <c r="H218" s="17">
        <v>49.994999999999997</v>
      </c>
      <c r="I218" s="18">
        <v>99.99</v>
      </c>
      <c r="J218" s="18">
        <v>49.994999999999997</v>
      </c>
      <c r="K218" s="37" t="str">
        <f t="shared" si="5"/>
        <v>Inexpensive</v>
      </c>
      <c r="L218" s="37"/>
      <c r="N218" s="37"/>
      <c r="O218" s="37"/>
      <c r="P218" s="37"/>
      <c r="Q218" s="37"/>
      <c r="R218" s="37"/>
      <c r="S218" s="37"/>
      <c r="T218" s="37"/>
      <c r="V218"/>
      <c r="X218"/>
    </row>
    <row r="219" spans="1:24" ht="15" customHeight="1" thickBot="1" x14ac:dyDescent="0.35">
      <c r="A219" s="38">
        <v>43480.884722222225</v>
      </c>
      <c r="B219" s="39">
        <v>141447</v>
      </c>
      <c r="C219" s="36" t="s">
        <v>114</v>
      </c>
      <c r="D219" s="17">
        <v>1230000000000</v>
      </c>
      <c r="E219" s="16" t="s">
        <v>131</v>
      </c>
      <c r="F219" s="17">
        <v>1</v>
      </c>
      <c r="G219" s="18">
        <v>2.99</v>
      </c>
      <c r="H219" s="17">
        <v>1.4950000000000001</v>
      </c>
      <c r="I219" s="18">
        <v>2.99</v>
      </c>
      <c r="J219" s="18">
        <v>1.4950000000000001</v>
      </c>
      <c r="K219" s="37" t="str">
        <f t="shared" si="5"/>
        <v>Inexpensive</v>
      </c>
      <c r="L219" s="37"/>
      <c r="N219" s="37"/>
      <c r="O219" s="37"/>
      <c r="P219" s="37"/>
      <c r="Q219" s="37"/>
      <c r="R219" s="37"/>
      <c r="S219" s="37"/>
      <c r="T219" s="37"/>
      <c r="V219"/>
      <c r="X219"/>
    </row>
    <row r="220" spans="1:24" ht="15" customHeight="1" thickBot="1" x14ac:dyDescent="0.35">
      <c r="A220" s="38">
        <v>43472.659722222219</v>
      </c>
      <c r="B220" s="39">
        <v>141448</v>
      </c>
      <c r="C220" s="36" t="s">
        <v>117</v>
      </c>
      <c r="D220" s="17">
        <v>6200000000000</v>
      </c>
      <c r="E220" s="16" t="s">
        <v>132</v>
      </c>
      <c r="F220" s="17">
        <v>1</v>
      </c>
      <c r="G220" s="18">
        <v>99.99</v>
      </c>
      <c r="H220" s="17">
        <v>49.994999999999997</v>
      </c>
      <c r="I220" s="18">
        <v>99.99</v>
      </c>
      <c r="J220" s="18">
        <v>49.994999999999997</v>
      </c>
      <c r="K220" s="37" t="str">
        <f t="shared" si="5"/>
        <v>Inexpensive</v>
      </c>
      <c r="L220" s="37"/>
      <c r="N220" s="37"/>
      <c r="O220" s="37"/>
      <c r="P220" s="37"/>
      <c r="Q220" s="37"/>
      <c r="R220" s="37"/>
      <c r="S220" s="37"/>
      <c r="T220" s="37"/>
      <c r="V220"/>
      <c r="X220"/>
    </row>
    <row r="221" spans="1:24" ht="15" customHeight="1" thickBot="1" x14ac:dyDescent="0.35">
      <c r="A221" s="38">
        <v>43490.65347222222</v>
      </c>
      <c r="B221" s="39">
        <v>141449</v>
      </c>
      <c r="C221" s="36" t="s">
        <v>116</v>
      </c>
      <c r="D221" s="17">
        <v>5270000000000</v>
      </c>
      <c r="E221" s="16" t="s">
        <v>131</v>
      </c>
      <c r="F221" s="17">
        <v>1</v>
      </c>
      <c r="G221" s="18">
        <v>11.95</v>
      </c>
      <c r="H221" s="17">
        <v>5.9749999999999996</v>
      </c>
      <c r="I221" s="18">
        <v>11.95</v>
      </c>
      <c r="J221" s="18">
        <v>5.9749999999999996</v>
      </c>
      <c r="K221" s="37" t="str">
        <f t="shared" si="5"/>
        <v>Inexpensive</v>
      </c>
      <c r="L221" s="37"/>
      <c r="N221" s="37"/>
      <c r="O221" s="37"/>
      <c r="P221" s="37"/>
      <c r="Q221" s="37"/>
      <c r="R221" s="37"/>
      <c r="S221" s="37"/>
      <c r="T221" s="37"/>
      <c r="V221"/>
      <c r="X221"/>
    </row>
    <row r="222" spans="1:24" ht="15" customHeight="1" thickBot="1" x14ac:dyDescent="0.35">
      <c r="A222" s="38">
        <v>43477.469444444447</v>
      </c>
      <c r="B222" s="40">
        <v>141450</v>
      </c>
      <c r="C222" s="36" t="s">
        <v>117</v>
      </c>
      <c r="D222" s="17">
        <v>3330000000000</v>
      </c>
      <c r="E222" s="16" t="s">
        <v>131</v>
      </c>
      <c r="F222" s="17">
        <v>1</v>
      </c>
      <c r="G222" s="18">
        <v>99.99</v>
      </c>
      <c r="H222" s="17">
        <v>49.994999999999997</v>
      </c>
      <c r="I222" s="18">
        <v>99.99</v>
      </c>
      <c r="J222" s="18">
        <v>49.994999999999997</v>
      </c>
      <c r="K222" s="37" t="str">
        <f t="shared" si="5"/>
        <v>Inexpensive</v>
      </c>
      <c r="L222" s="37"/>
      <c r="N222" s="37"/>
      <c r="O222" s="37"/>
      <c r="P222" s="37"/>
      <c r="Q222" s="37"/>
      <c r="R222" s="37"/>
      <c r="S222" s="37"/>
      <c r="T222" s="37"/>
      <c r="V222"/>
      <c r="X222"/>
    </row>
    <row r="223" spans="1:24" ht="15" customHeight="1" thickBot="1" x14ac:dyDescent="0.35">
      <c r="A223" s="38">
        <v>43477.469444444447</v>
      </c>
      <c r="B223" s="40">
        <v>141450</v>
      </c>
      <c r="C223" s="36" t="s">
        <v>123</v>
      </c>
      <c r="D223" s="17">
        <v>5820000000000</v>
      </c>
      <c r="E223" s="16" t="s">
        <v>131</v>
      </c>
      <c r="F223" s="17">
        <v>1</v>
      </c>
      <c r="G223" s="18">
        <v>600</v>
      </c>
      <c r="H223" s="17">
        <v>198</v>
      </c>
      <c r="I223" s="18">
        <v>600</v>
      </c>
      <c r="J223" s="18">
        <v>402</v>
      </c>
      <c r="K223" s="37" t="str">
        <f t="shared" si="5"/>
        <v>Inexpensive</v>
      </c>
      <c r="L223" s="37"/>
      <c r="N223" s="37"/>
      <c r="O223" s="37"/>
      <c r="P223" s="37"/>
      <c r="Q223" s="37"/>
      <c r="R223" s="37"/>
      <c r="S223" s="37"/>
      <c r="T223" s="37"/>
      <c r="V223"/>
      <c r="X223"/>
    </row>
    <row r="224" spans="1:24" ht="15" customHeight="1" thickBot="1" x14ac:dyDescent="0.35">
      <c r="A224" s="38">
        <v>43483.750694444447</v>
      </c>
      <c r="B224" s="39">
        <v>141451</v>
      </c>
      <c r="C224" s="36" t="s">
        <v>122</v>
      </c>
      <c r="D224" s="17">
        <v>6590000000000</v>
      </c>
      <c r="E224" s="16" t="s">
        <v>131</v>
      </c>
      <c r="F224" s="17">
        <v>1</v>
      </c>
      <c r="G224" s="18">
        <v>3.84</v>
      </c>
      <c r="H224" s="17">
        <v>1.92</v>
      </c>
      <c r="I224" s="18">
        <v>3.84</v>
      </c>
      <c r="J224" s="18">
        <v>1.92</v>
      </c>
      <c r="K224" s="37" t="str">
        <f t="shared" si="5"/>
        <v>Inexpensive</v>
      </c>
      <c r="L224" s="37"/>
      <c r="N224" s="37"/>
      <c r="O224" s="37"/>
      <c r="P224" s="37"/>
      <c r="Q224" s="37"/>
      <c r="R224" s="37"/>
      <c r="S224" s="37"/>
      <c r="T224" s="37"/>
      <c r="V224"/>
      <c r="X224"/>
    </row>
    <row r="225" spans="1:24" ht="15" customHeight="1" thickBot="1" x14ac:dyDescent="0.35">
      <c r="A225" s="38">
        <v>43481.567361111112</v>
      </c>
      <c r="B225" s="39">
        <v>141452</v>
      </c>
      <c r="C225" s="36" t="s">
        <v>117</v>
      </c>
      <c r="D225" s="17">
        <v>2930000000000</v>
      </c>
      <c r="E225" s="16" t="s">
        <v>130</v>
      </c>
      <c r="F225" s="17">
        <v>1</v>
      </c>
      <c r="G225" s="18">
        <v>99.99</v>
      </c>
      <c r="H225" s="17">
        <v>49.994999999999997</v>
      </c>
      <c r="I225" s="18">
        <v>99.99</v>
      </c>
      <c r="J225" s="18">
        <v>49.994999999999997</v>
      </c>
      <c r="K225" s="37" t="str">
        <f t="shared" si="5"/>
        <v>Inexpensive</v>
      </c>
      <c r="L225" s="37"/>
      <c r="N225" s="37"/>
      <c r="O225" s="37"/>
      <c r="P225" s="37"/>
      <c r="Q225" s="37"/>
      <c r="R225" s="37"/>
      <c r="S225" s="37"/>
      <c r="T225" s="37"/>
      <c r="V225"/>
      <c r="X225"/>
    </row>
    <row r="226" spans="1:24" ht="15" customHeight="1" thickBot="1" x14ac:dyDescent="0.35">
      <c r="A226" s="38">
        <v>43471.54791666667</v>
      </c>
      <c r="B226" s="39">
        <v>141453</v>
      </c>
      <c r="C226" s="36" t="s">
        <v>119</v>
      </c>
      <c r="D226" s="17">
        <v>6770000000000</v>
      </c>
      <c r="E226" s="16" t="s">
        <v>131</v>
      </c>
      <c r="F226" s="17">
        <v>1</v>
      </c>
      <c r="G226" s="18">
        <v>1700</v>
      </c>
      <c r="H226" s="17">
        <v>561</v>
      </c>
      <c r="I226" s="18">
        <v>1700</v>
      </c>
      <c r="J226" s="18">
        <v>1139</v>
      </c>
      <c r="K226" s="37" t="str">
        <f t="shared" si="5"/>
        <v>Expensive</v>
      </c>
      <c r="L226" s="37"/>
      <c r="N226" s="37"/>
      <c r="O226" s="37"/>
      <c r="P226" s="37"/>
      <c r="Q226" s="37"/>
      <c r="R226" s="37"/>
      <c r="S226" s="37"/>
      <c r="T226" s="37"/>
      <c r="V226"/>
      <c r="X226"/>
    </row>
    <row r="227" spans="1:24" ht="15" customHeight="1" thickBot="1" x14ac:dyDescent="0.35">
      <c r="A227" s="38">
        <v>43477.904861111114</v>
      </c>
      <c r="B227" s="39">
        <v>141454</v>
      </c>
      <c r="C227" s="36" t="s">
        <v>117</v>
      </c>
      <c r="D227" s="17">
        <v>5700000000000</v>
      </c>
      <c r="E227" s="16" t="s">
        <v>132</v>
      </c>
      <c r="F227" s="17">
        <v>1</v>
      </c>
      <c r="G227" s="18">
        <v>99.99</v>
      </c>
      <c r="H227" s="17">
        <v>49.994999999999997</v>
      </c>
      <c r="I227" s="18">
        <v>99.99</v>
      </c>
      <c r="J227" s="18">
        <v>49.994999999999997</v>
      </c>
      <c r="K227" s="37" t="str">
        <f t="shared" si="5"/>
        <v>Inexpensive</v>
      </c>
      <c r="L227" s="37"/>
      <c r="N227" s="37"/>
      <c r="O227" s="37"/>
      <c r="P227" s="37"/>
      <c r="Q227" s="37"/>
      <c r="R227" s="37"/>
      <c r="S227" s="37"/>
      <c r="T227" s="37"/>
      <c r="V227"/>
      <c r="X227"/>
    </row>
    <row r="228" spans="1:24" ht="15" customHeight="1" thickBot="1" x14ac:dyDescent="0.35">
      <c r="A228" s="38">
        <v>43471.393055555556</v>
      </c>
      <c r="B228" s="39">
        <v>141455</v>
      </c>
      <c r="C228" s="36" t="s">
        <v>118</v>
      </c>
      <c r="D228" s="17">
        <v>8730000000000</v>
      </c>
      <c r="E228" s="16" t="s">
        <v>131</v>
      </c>
      <c r="F228" s="17">
        <v>1</v>
      </c>
      <c r="G228" s="18">
        <v>150</v>
      </c>
      <c r="H228" s="17">
        <v>97.5</v>
      </c>
      <c r="I228" s="18">
        <v>150</v>
      </c>
      <c r="J228" s="18">
        <v>52.5</v>
      </c>
      <c r="K228" s="37" t="str">
        <f t="shared" si="5"/>
        <v>Inexpensive</v>
      </c>
      <c r="L228" s="37"/>
      <c r="N228" s="37"/>
      <c r="O228" s="37"/>
      <c r="P228" s="37"/>
      <c r="Q228" s="37"/>
      <c r="R228" s="37"/>
      <c r="S228" s="37"/>
      <c r="T228" s="37"/>
      <c r="V228"/>
      <c r="X228"/>
    </row>
    <row r="229" spans="1:24" ht="15" customHeight="1" thickBot="1" x14ac:dyDescent="0.35">
      <c r="A229" s="38">
        <v>43470.561111111114</v>
      </c>
      <c r="B229" s="39">
        <v>141456</v>
      </c>
      <c r="C229" s="36" t="s">
        <v>114</v>
      </c>
      <c r="D229" s="17">
        <v>6260000000000</v>
      </c>
      <c r="E229" s="16" t="s">
        <v>130</v>
      </c>
      <c r="F229" s="17">
        <v>1</v>
      </c>
      <c r="G229" s="18">
        <v>2.99</v>
      </c>
      <c r="H229" s="17">
        <v>1.4950000000000001</v>
      </c>
      <c r="I229" s="18">
        <v>2.99</v>
      </c>
      <c r="J229" s="18">
        <v>1.4950000000000001</v>
      </c>
      <c r="K229" s="37" t="str">
        <f t="shared" si="5"/>
        <v>Inexpensive</v>
      </c>
      <c r="L229" s="37"/>
      <c r="N229" s="37"/>
      <c r="O229" s="37"/>
      <c r="P229" s="37"/>
      <c r="Q229" s="37"/>
      <c r="R229" s="37"/>
      <c r="S229" s="37"/>
      <c r="T229" s="37"/>
      <c r="V229"/>
      <c r="X229"/>
    </row>
    <row r="230" spans="1:24" ht="15" customHeight="1" thickBot="1" x14ac:dyDescent="0.35">
      <c r="A230" s="38">
        <v>43474.924305555556</v>
      </c>
      <c r="B230" s="40">
        <v>141457</v>
      </c>
      <c r="C230" s="36" t="s">
        <v>118</v>
      </c>
      <c r="D230" s="17">
        <v>3010000000000</v>
      </c>
      <c r="E230" s="16" t="s">
        <v>130</v>
      </c>
      <c r="F230" s="17">
        <v>1</v>
      </c>
      <c r="G230" s="18">
        <v>150</v>
      </c>
      <c r="H230" s="17">
        <v>97.5</v>
      </c>
      <c r="I230" s="18">
        <v>150</v>
      </c>
      <c r="J230" s="18">
        <v>52.5</v>
      </c>
      <c r="K230" s="37" t="str">
        <f t="shared" si="5"/>
        <v>Inexpensive</v>
      </c>
      <c r="L230" s="37"/>
      <c r="N230" s="37"/>
      <c r="O230" s="37"/>
      <c r="P230" s="37"/>
      <c r="Q230" s="37"/>
      <c r="R230" s="37"/>
      <c r="S230" s="37"/>
      <c r="T230" s="37"/>
      <c r="V230"/>
      <c r="X230"/>
    </row>
    <row r="231" spans="1:24" ht="15" customHeight="1" thickBot="1" x14ac:dyDescent="0.35">
      <c r="A231" s="38">
        <v>43474.924305555556</v>
      </c>
      <c r="B231" s="40">
        <v>141457</v>
      </c>
      <c r="C231" s="36" t="s">
        <v>110</v>
      </c>
      <c r="D231" s="17">
        <v>4610000000000</v>
      </c>
      <c r="E231" s="16" t="s">
        <v>130</v>
      </c>
      <c r="F231" s="17">
        <v>1</v>
      </c>
      <c r="G231" s="18">
        <v>700</v>
      </c>
      <c r="H231" s="17">
        <v>231</v>
      </c>
      <c r="I231" s="18">
        <v>700</v>
      </c>
      <c r="J231" s="18">
        <v>469</v>
      </c>
      <c r="K231" s="37" t="str">
        <f t="shared" si="5"/>
        <v>Expensive</v>
      </c>
      <c r="L231" s="37"/>
      <c r="N231" s="37"/>
      <c r="O231" s="37"/>
      <c r="P231" s="37"/>
      <c r="Q231" s="37"/>
      <c r="R231" s="37"/>
      <c r="S231" s="37"/>
      <c r="T231" s="37"/>
      <c r="V231"/>
      <c r="X231"/>
    </row>
    <row r="232" spans="1:24" ht="15" customHeight="1" thickBot="1" x14ac:dyDescent="0.35">
      <c r="A232" s="38">
        <v>43494.05</v>
      </c>
      <c r="B232" s="39">
        <v>141458</v>
      </c>
      <c r="C232" s="36" t="s">
        <v>110</v>
      </c>
      <c r="D232" s="17">
        <v>7030000000000</v>
      </c>
      <c r="E232" s="16" t="s">
        <v>132</v>
      </c>
      <c r="F232" s="17">
        <v>1</v>
      </c>
      <c r="G232" s="18">
        <v>700</v>
      </c>
      <c r="H232" s="17">
        <v>231</v>
      </c>
      <c r="I232" s="18">
        <v>700</v>
      </c>
      <c r="J232" s="18">
        <v>469</v>
      </c>
      <c r="K232" s="37" t="str">
        <f t="shared" si="5"/>
        <v>Expensive</v>
      </c>
      <c r="L232" s="37"/>
      <c r="N232" s="37"/>
      <c r="O232" s="37"/>
      <c r="P232" s="37"/>
      <c r="Q232" s="37"/>
      <c r="R232" s="37"/>
      <c r="S232" s="37"/>
      <c r="T232" s="37"/>
      <c r="V232"/>
      <c r="X232"/>
    </row>
    <row r="233" spans="1:24" ht="15" customHeight="1" thickBot="1" x14ac:dyDescent="0.35">
      <c r="A233" s="38">
        <v>43472.555555555555</v>
      </c>
      <c r="B233" s="39">
        <v>141459</v>
      </c>
      <c r="C233" s="36" t="s">
        <v>114</v>
      </c>
      <c r="D233" s="17">
        <v>7670000000000</v>
      </c>
      <c r="E233" s="16" t="s">
        <v>132</v>
      </c>
      <c r="F233" s="17">
        <v>1</v>
      </c>
      <c r="G233" s="18">
        <v>2.99</v>
      </c>
      <c r="H233" s="17">
        <v>1.4950000000000001</v>
      </c>
      <c r="I233" s="18">
        <v>2.99</v>
      </c>
      <c r="J233" s="18">
        <v>1.4950000000000001</v>
      </c>
      <c r="K233" s="37" t="str">
        <f t="shared" si="5"/>
        <v>Inexpensive</v>
      </c>
      <c r="L233" s="37"/>
      <c r="N233" s="37"/>
      <c r="O233" s="37"/>
      <c r="P233" s="37"/>
      <c r="Q233" s="37"/>
      <c r="R233" s="37"/>
      <c r="S233" s="37"/>
      <c r="T233" s="37"/>
      <c r="V233"/>
      <c r="X233"/>
    </row>
    <row r="234" spans="1:24" ht="15" customHeight="1" thickBot="1" x14ac:dyDescent="0.35">
      <c r="A234" s="38">
        <v>43491.728472222225</v>
      </c>
      <c r="B234" s="39">
        <v>141460</v>
      </c>
      <c r="C234" s="36" t="s">
        <v>110</v>
      </c>
      <c r="D234" s="17">
        <v>4080000000000</v>
      </c>
      <c r="E234" s="16" t="s">
        <v>131</v>
      </c>
      <c r="F234" s="17">
        <v>1</v>
      </c>
      <c r="G234" s="18">
        <v>700</v>
      </c>
      <c r="H234" s="17">
        <v>231</v>
      </c>
      <c r="I234" s="18">
        <v>700</v>
      </c>
      <c r="J234" s="18">
        <v>469</v>
      </c>
      <c r="K234" s="37" t="str">
        <f t="shared" si="5"/>
        <v>Expensive</v>
      </c>
      <c r="L234" s="37"/>
      <c r="N234" s="37"/>
      <c r="O234" s="37"/>
      <c r="P234" s="37"/>
      <c r="Q234" s="37"/>
      <c r="R234" s="37"/>
      <c r="S234" s="37"/>
      <c r="T234" s="37"/>
      <c r="V234"/>
      <c r="X234"/>
    </row>
    <row r="235" spans="1:24" ht="15" customHeight="1" thickBot="1" x14ac:dyDescent="0.35">
      <c r="A235" s="38">
        <v>43467.44027777778</v>
      </c>
      <c r="B235" s="39">
        <v>141461</v>
      </c>
      <c r="C235" s="36" t="s">
        <v>111</v>
      </c>
      <c r="D235" s="17">
        <v>8360000000000</v>
      </c>
      <c r="E235" s="16" t="s">
        <v>132</v>
      </c>
      <c r="F235" s="17">
        <v>1</v>
      </c>
      <c r="G235" s="18">
        <v>14.95</v>
      </c>
      <c r="H235" s="17">
        <v>7.4749999999999996</v>
      </c>
      <c r="I235" s="18">
        <v>14.95</v>
      </c>
      <c r="J235" s="18">
        <v>7.4749999999999996</v>
      </c>
      <c r="K235" s="37" t="str">
        <f t="shared" si="5"/>
        <v>Inexpensive</v>
      </c>
      <c r="L235" s="37"/>
      <c r="N235" s="37"/>
      <c r="O235" s="37"/>
      <c r="P235" s="37"/>
      <c r="Q235" s="37"/>
      <c r="R235" s="37"/>
      <c r="S235" s="37"/>
      <c r="T235" s="37"/>
      <c r="V235"/>
      <c r="X235"/>
    </row>
    <row r="236" spans="1:24" ht="15" customHeight="1" thickBot="1" x14ac:dyDescent="0.35">
      <c r="A236" s="38">
        <v>43495.981944444444</v>
      </c>
      <c r="B236" s="39">
        <v>141462</v>
      </c>
      <c r="C236" s="36" t="s">
        <v>112</v>
      </c>
      <c r="D236" s="17">
        <v>3980000000000</v>
      </c>
      <c r="E236" s="16" t="s">
        <v>130</v>
      </c>
      <c r="F236" s="17">
        <v>1</v>
      </c>
      <c r="G236" s="18">
        <v>11.99</v>
      </c>
      <c r="H236" s="17">
        <v>5.9950000000000001</v>
      </c>
      <c r="I236" s="18">
        <v>11.99</v>
      </c>
      <c r="J236" s="18">
        <v>5.9950000000000001</v>
      </c>
      <c r="K236" s="37" t="str">
        <f t="shared" si="5"/>
        <v>Inexpensive</v>
      </c>
      <c r="L236" s="37"/>
      <c r="N236" s="37"/>
      <c r="O236" s="37"/>
      <c r="P236" s="37"/>
      <c r="Q236" s="37"/>
      <c r="R236" s="37"/>
      <c r="S236" s="37"/>
      <c r="T236" s="37"/>
      <c r="V236"/>
      <c r="X236"/>
    </row>
    <row r="237" spans="1:24" ht="15" customHeight="1" thickBot="1" x14ac:dyDescent="0.35">
      <c r="A237" s="38">
        <v>43487.759722222225</v>
      </c>
      <c r="B237" s="39">
        <v>141463</v>
      </c>
      <c r="C237" s="36" t="s">
        <v>118</v>
      </c>
      <c r="D237" s="17">
        <v>1150000000000</v>
      </c>
      <c r="E237" s="16" t="s">
        <v>132</v>
      </c>
      <c r="F237" s="17">
        <v>1</v>
      </c>
      <c r="G237" s="18">
        <v>150</v>
      </c>
      <c r="H237" s="17">
        <v>97.5</v>
      </c>
      <c r="I237" s="18">
        <v>150</v>
      </c>
      <c r="J237" s="18">
        <v>52.5</v>
      </c>
      <c r="K237" s="37" t="str">
        <f t="shared" si="5"/>
        <v>Inexpensive</v>
      </c>
      <c r="L237" s="37"/>
      <c r="N237" s="37"/>
      <c r="O237" s="37"/>
      <c r="P237" s="37"/>
      <c r="Q237" s="37"/>
      <c r="R237" s="37"/>
      <c r="S237" s="37"/>
      <c r="T237" s="37"/>
      <c r="V237"/>
      <c r="X237"/>
    </row>
    <row r="238" spans="1:24" ht="15" customHeight="1" thickBot="1" x14ac:dyDescent="0.35">
      <c r="A238" s="38">
        <v>43496.043749999997</v>
      </c>
      <c r="B238" s="39">
        <v>141464</v>
      </c>
      <c r="C238" s="36" t="s">
        <v>122</v>
      </c>
      <c r="D238" s="17">
        <v>7430000000000</v>
      </c>
      <c r="E238" s="16" t="s">
        <v>130</v>
      </c>
      <c r="F238" s="17">
        <v>2</v>
      </c>
      <c r="G238" s="18">
        <v>3.84</v>
      </c>
      <c r="H238" s="17">
        <v>1.92</v>
      </c>
      <c r="I238" s="18">
        <v>7.68</v>
      </c>
      <c r="J238" s="18">
        <v>3.84</v>
      </c>
      <c r="K238" s="37" t="str">
        <f t="shared" si="5"/>
        <v>Inexpensive</v>
      </c>
      <c r="L238" s="37"/>
      <c r="N238" s="37"/>
      <c r="O238" s="37"/>
      <c r="P238" s="37"/>
      <c r="Q238" s="37"/>
      <c r="R238" s="37"/>
      <c r="S238" s="37"/>
      <c r="T238" s="37"/>
      <c r="V238"/>
      <c r="X238"/>
    </row>
    <row r="239" spans="1:24" ht="15" customHeight="1" thickBot="1" x14ac:dyDescent="0.35">
      <c r="A239" s="38">
        <v>43495.474999999999</v>
      </c>
      <c r="B239" s="39">
        <v>141465</v>
      </c>
      <c r="C239" s="36" t="s">
        <v>111</v>
      </c>
      <c r="D239" s="17">
        <v>2500000000000</v>
      </c>
      <c r="E239" s="16" t="s">
        <v>131</v>
      </c>
      <c r="F239" s="17">
        <v>1</v>
      </c>
      <c r="G239" s="18">
        <v>14.95</v>
      </c>
      <c r="H239" s="17">
        <v>7.4749999999999996</v>
      </c>
      <c r="I239" s="18">
        <v>14.95</v>
      </c>
      <c r="J239" s="18">
        <v>7.4749999999999996</v>
      </c>
      <c r="K239" s="37" t="str">
        <f t="shared" si="5"/>
        <v>Inexpensive</v>
      </c>
      <c r="L239" s="37"/>
      <c r="N239" s="37"/>
      <c r="O239" s="37"/>
      <c r="P239" s="37"/>
      <c r="Q239" s="37"/>
      <c r="R239" s="37"/>
      <c r="S239" s="37"/>
      <c r="T239" s="37"/>
      <c r="V239"/>
      <c r="X239"/>
    </row>
    <row r="240" spans="1:24" ht="15" customHeight="1" thickBot="1" x14ac:dyDescent="0.35">
      <c r="A240" s="38">
        <v>43489.67291666667</v>
      </c>
      <c r="B240" s="39">
        <v>141466</v>
      </c>
      <c r="C240" s="36" t="s">
        <v>114</v>
      </c>
      <c r="D240" s="17">
        <v>8720000000000</v>
      </c>
      <c r="E240" s="16" t="s">
        <v>131</v>
      </c>
      <c r="F240" s="17">
        <v>2</v>
      </c>
      <c r="G240" s="18">
        <v>2.99</v>
      </c>
      <c r="H240" s="17">
        <v>1.4950000000000001</v>
      </c>
      <c r="I240" s="18">
        <v>5.98</v>
      </c>
      <c r="J240" s="18">
        <v>2.99</v>
      </c>
      <c r="K240" s="37" t="str">
        <f t="shared" si="5"/>
        <v>Inexpensive</v>
      </c>
      <c r="L240" s="37"/>
      <c r="N240" s="37"/>
      <c r="O240" s="37"/>
      <c r="P240" s="37"/>
      <c r="Q240" s="37"/>
      <c r="R240" s="37"/>
      <c r="S240" s="37"/>
      <c r="T240" s="37"/>
      <c r="V240"/>
      <c r="X240"/>
    </row>
    <row r="241" spans="1:24" ht="15" customHeight="1" thickBot="1" x14ac:dyDescent="0.35">
      <c r="A241" s="38">
        <v>43487.824999999997</v>
      </c>
      <c r="B241" s="39">
        <v>141467</v>
      </c>
      <c r="C241" s="36" t="s">
        <v>117</v>
      </c>
      <c r="D241" s="17">
        <v>9600000000000</v>
      </c>
      <c r="E241" s="16" t="s">
        <v>131</v>
      </c>
      <c r="F241" s="17">
        <v>1</v>
      </c>
      <c r="G241" s="18">
        <v>99.99</v>
      </c>
      <c r="H241" s="17">
        <v>49.994999999999997</v>
      </c>
      <c r="I241" s="18">
        <v>99.99</v>
      </c>
      <c r="J241" s="18">
        <v>49.994999999999997</v>
      </c>
      <c r="K241" s="37" t="str">
        <f t="shared" si="5"/>
        <v>Inexpensive</v>
      </c>
      <c r="L241" s="37"/>
      <c r="N241" s="37"/>
      <c r="O241" s="37"/>
      <c r="P241" s="37"/>
      <c r="Q241" s="37"/>
      <c r="R241" s="37"/>
      <c r="S241" s="37"/>
      <c r="T241" s="37"/>
      <c r="V241"/>
      <c r="X241"/>
    </row>
    <row r="242" spans="1:24" ht="15" customHeight="1" thickBot="1" x14ac:dyDescent="0.35">
      <c r="A242" s="38">
        <v>43472.63958333333</v>
      </c>
      <c r="B242" s="39">
        <v>141468</v>
      </c>
      <c r="C242" s="36" t="s">
        <v>120</v>
      </c>
      <c r="D242" s="17">
        <v>7290000000000</v>
      </c>
      <c r="E242" s="16" t="s">
        <v>130</v>
      </c>
      <c r="F242" s="17">
        <v>1</v>
      </c>
      <c r="G242" s="18">
        <v>300</v>
      </c>
      <c r="H242" s="17">
        <v>99</v>
      </c>
      <c r="I242" s="18">
        <v>300</v>
      </c>
      <c r="J242" s="18">
        <v>201</v>
      </c>
      <c r="K242" s="37" t="str">
        <f t="shared" si="5"/>
        <v>Inexpensive</v>
      </c>
      <c r="L242" s="37"/>
      <c r="N242" s="37"/>
      <c r="O242" s="37"/>
      <c r="P242" s="37"/>
      <c r="Q242" s="37"/>
      <c r="R242" s="37"/>
      <c r="S242" s="37"/>
      <c r="T242" s="37"/>
      <c r="V242"/>
      <c r="X242"/>
    </row>
    <row r="243" spans="1:24" ht="15" customHeight="1" thickBot="1" x14ac:dyDescent="0.35">
      <c r="A243" s="38">
        <v>43467.322222222225</v>
      </c>
      <c r="B243" s="39">
        <v>141469</v>
      </c>
      <c r="C243" s="36" t="s">
        <v>120</v>
      </c>
      <c r="D243" s="17">
        <v>5360000000000</v>
      </c>
      <c r="E243" s="16" t="s">
        <v>132</v>
      </c>
      <c r="F243" s="17">
        <v>1</v>
      </c>
      <c r="G243" s="18">
        <v>300</v>
      </c>
      <c r="H243" s="17">
        <v>99</v>
      </c>
      <c r="I243" s="18">
        <v>300</v>
      </c>
      <c r="J243" s="18">
        <v>201</v>
      </c>
      <c r="K243" s="37" t="str">
        <f t="shared" si="5"/>
        <v>Inexpensive</v>
      </c>
      <c r="L243" s="37"/>
      <c r="N243" s="37"/>
      <c r="O243" s="37"/>
      <c r="P243" s="37"/>
      <c r="Q243" s="37"/>
      <c r="R243" s="37"/>
      <c r="S243" s="37"/>
      <c r="T243" s="37"/>
      <c r="V243"/>
      <c r="X243"/>
    </row>
    <row r="244" spans="1:24" ht="15" customHeight="1" thickBot="1" x14ac:dyDescent="0.35">
      <c r="A244" s="38">
        <v>43474.728472222225</v>
      </c>
      <c r="B244" s="39">
        <v>141470</v>
      </c>
      <c r="C244" s="36" t="s">
        <v>114</v>
      </c>
      <c r="D244" s="17">
        <v>8470000000000</v>
      </c>
      <c r="E244" s="16" t="s">
        <v>130</v>
      </c>
      <c r="F244" s="17">
        <v>1</v>
      </c>
      <c r="G244" s="18">
        <v>2.99</v>
      </c>
      <c r="H244" s="17">
        <v>1.4950000000000001</v>
      </c>
      <c r="I244" s="18">
        <v>2.99</v>
      </c>
      <c r="J244" s="18">
        <v>1.4950000000000001</v>
      </c>
      <c r="K244" s="37" t="str">
        <f t="shared" si="5"/>
        <v>Inexpensive</v>
      </c>
      <c r="L244" s="37"/>
      <c r="N244" s="37"/>
      <c r="O244" s="37"/>
      <c r="P244" s="37"/>
      <c r="Q244" s="37"/>
      <c r="R244" s="37"/>
      <c r="S244" s="37"/>
      <c r="T244" s="37"/>
      <c r="V244"/>
      <c r="X244"/>
    </row>
    <row r="245" spans="1:24" ht="15" customHeight="1" thickBot="1" x14ac:dyDescent="0.35">
      <c r="A245" s="38">
        <v>43482.597916666666</v>
      </c>
      <c r="B245" s="39">
        <v>141471</v>
      </c>
      <c r="C245" s="36" t="s">
        <v>118</v>
      </c>
      <c r="D245" s="17">
        <v>2700000000000</v>
      </c>
      <c r="E245" s="16" t="s">
        <v>131</v>
      </c>
      <c r="F245" s="17">
        <v>1</v>
      </c>
      <c r="G245" s="18">
        <v>150</v>
      </c>
      <c r="H245" s="17">
        <v>97.5</v>
      </c>
      <c r="I245" s="18">
        <v>150</v>
      </c>
      <c r="J245" s="18">
        <v>52.5</v>
      </c>
      <c r="K245" s="37" t="str">
        <f t="shared" si="5"/>
        <v>Inexpensive</v>
      </c>
      <c r="L245" s="37"/>
      <c r="N245" s="37"/>
      <c r="O245" s="37"/>
      <c r="P245" s="37"/>
      <c r="Q245" s="37"/>
      <c r="R245" s="37"/>
      <c r="S245" s="37"/>
      <c r="T245" s="37"/>
      <c r="V245"/>
      <c r="X245"/>
    </row>
    <row r="246" spans="1:24" ht="15" customHeight="1" thickBot="1" x14ac:dyDescent="0.35">
      <c r="A246" s="38">
        <v>43492.295138888891</v>
      </c>
      <c r="B246" s="39">
        <v>141472</v>
      </c>
      <c r="C246" s="36" t="s">
        <v>110</v>
      </c>
      <c r="D246" s="17">
        <v>8070000000000</v>
      </c>
      <c r="E246" s="16" t="s">
        <v>130</v>
      </c>
      <c r="F246" s="17">
        <v>1</v>
      </c>
      <c r="G246" s="18">
        <v>700</v>
      </c>
      <c r="H246" s="17">
        <v>231</v>
      </c>
      <c r="I246" s="18">
        <v>700</v>
      </c>
      <c r="J246" s="18">
        <v>469</v>
      </c>
      <c r="K246" s="37" t="str">
        <f t="shared" si="5"/>
        <v>Expensive</v>
      </c>
      <c r="L246" s="37"/>
      <c r="N246" s="37"/>
      <c r="O246" s="37"/>
      <c r="P246" s="37"/>
      <c r="Q246" s="37"/>
      <c r="R246" s="37"/>
      <c r="S246" s="37"/>
      <c r="T246" s="37"/>
      <c r="V246"/>
      <c r="X246"/>
    </row>
    <row r="247" spans="1:24" ht="15" customHeight="1" thickBot="1" x14ac:dyDescent="0.35">
      <c r="A247" s="38">
        <v>43476.7</v>
      </c>
      <c r="B247" s="39">
        <v>141473</v>
      </c>
      <c r="C247" s="36" t="s">
        <v>110</v>
      </c>
      <c r="D247" s="17">
        <v>7220000000000</v>
      </c>
      <c r="E247" s="16" t="s">
        <v>132</v>
      </c>
      <c r="F247" s="17">
        <v>1</v>
      </c>
      <c r="G247" s="18">
        <v>700</v>
      </c>
      <c r="H247" s="17">
        <v>231</v>
      </c>
      <c r="I247" s="18">
        <v>700</v>
      </c>
      <c r="J247" s="18">
        <v>469</v>
      </c>
      <c r="K247" s="37" t="str">
        <f t="shared" si="5"/>
        <v>Expensive</v>
      </c>
      <c r="L247" s="37"/>
      <c r="N247" s="37"/>
      <c r="O247" s="37"/>
      <c r="P247" s="37"/>
      <c r="Q247" s="37"/>
      <c r="R247" s="37"/>
      <c r="S247" s="37"/>
      <c r="T247" s="37"/>
      <c r="V247"/>
      <c r="X247"/>
    </row>
    <row r="248" spans="1:24" ht="15" customHeight="1" thickBot="1" x14ac:dyDescent="0.35">
      <c r="A248" s="38">
        <v>43482.956944444442</v>
      </c>
      <c r="B248" s="39">
        <v>141474</v>
      </c>
      <c r="C248" s="36" t="s">
        <v>118</v>
      </c>
      <c r="D248" s="17">
        <v>2970000000000</v>
      </c>
      <c r="E248" s="16" t="s">
        <v>130</v>
      </c>
      <c r="F248" s="17">
        <v>1</v>
      </c>
      <c r="G248" s="18">
        <v>150</v>
      </c>
      <c r="H248" s="17">
        <v>97.5</v>
      </c>
      <c r="I248" s="18">
        <v>150</v>
      </c>
      <c r="J248" s="18">
        <v>52.5</v>
      </c>
      <c r="K248" s="37" t="str">
        <f t="shared" si="5"/>
        <v>Inexpensive</v>
      </c>
      <c r="L248" s="37"/>
      <c r="N248" s="37"/>
      <c r="O248" s="37"/>
      <c r="P248" s="37"/>
      <c r="Q248" s="37"/>
      <c r="R248" s="37"/>
      <c r="S248" s="37"/>
      <c r="T248" s="37"/>
      <c r="V248"/>
      <c r="X248"/>
    </row>
    <row r="249" spans="1:24" ht="15" customHeight="1" thickBot="1" x14ac:dyDescent="0.35">
      <c r="A249" s="38">
        <v>43472.361805555556</v>
      </c>
      <c r="B249" s="39">
        <v>141475</v>
      </c>
      <c r="C249" s="36" t="s">
        <v>111</v>
      </c>
      <c r="D249" s="17">
        <v>1730000000000</v>
      </c>
      <c r="E249" s="16" t="s">
        <v>130</v>
      </c>
      <c r="F249" s="17">
        <v>1</v>
      </c>
      <c r="G249" s="18">
        <v>14.95</v>
      </c>
      <c r="H249" s="17">
        <v>7.4749999999999996</v>
      </c>
      <c r="I249" s="18">
        <v>14.95</v>
      </c>
      <c r="J249" s="18">
        <v>7.4749999999999996</v>
      </c>
      <c r="K249" s="37" t="str">
        <f t="shared" si="5"/>
        <v>Inexpensive</v>
      </c>
      <c r="L249" s="37"/>
      <c r="N249" s="37"/>
      <c r="O249" s="37"/>
      <c r="P249" s="37"/>
      <c r="Q249" s="37"/>
      <c r="R249" s="37"/>
      <c r="S249" s="37"/>
      <c r="T249" s="37"/>
      <c r="V249"/>
      <c r="X249"/>
    </row>
    <row r="250" spans="1:24" ht="15" customHeight="1" thickBot="1" x14ac:dyDescent="0.35">
      <c r="A250" s="38">
        <v>43471.651388888888</v>
      </c>
      <c r="B250" s="39">
        <v>141476</v>
      </c>
      <c r="C250" s="36" t="s">
        <v>110</v>
      </c>
      <c r="D250" s="17">
        <v>7800000000000</v>
      </c>
      <c r="E250" s="16" t="s">
        <v>131</v>
      </c>
      <c r="F250" s="17">
        <v>1</v>
      </c>
      <c r="G250" s="18">
        <v>700</v>
      </c>
      <c r="H250" s="17">
        <v>231</v>
      </c>
      <c r="I250" s="18">
        <v>700</v>
      </c>
      <c r="J250" s="18">
        <v>469</v>
      </c>
      <c r="K250" s="37" t="str">
        <f t="shared" si="5"/>
        <v>Expensive</v>
      </c>
      <c r="L250" s="37"/>
      <c r="N250" s="37"/>
      <c r="O250" s="37"/>
      <c r="P250" s="37"/>
      <c r="Q250" s="37"/>
      <c r="R250" s="37"/>
      <c r="S250" s="37"/>
      <c r="T250" s="37"/>
      <c r="V250"/>
      <c r="X250"/>
    </row>
    <row r="251" spans="1:24" ht="15" customHeight="1" thickBot="1" x14ac:dyDescent="0.35">
      <c r="A251" s="38">
        <v>43485.39166666667</v>
      </c>
      <c r="B251" s="39">
        <v>141477</v>
      </c>
      <c r="C251" s="36" t="s">
        <v>122</v>
      </c>
      <c r="D251" s="17">
        <v>9210000000000</v>
      </c>
      <c r="E251" s="16" t="s">
        <v>132</v>
      </c>
      <c r="F251" s="17">
        <v>1</v>
      </c>
      <c r="G251" s="18">
        <v>3.84</v>
      </c>
      <c r="H251" s="17">
        <v>1.92</v>
      </c>
      <c r="I251" s="18">
        <v>3.84</v>
      </c>
      <c r="J251" s="18">
        <v>1.92</v>
      </c>
      <c r="K251" s="37" t="str">
        <f t="shared" si="5"/>
        <v>Inexpensive</v>
      </c>
      <c r="L251" s="37"/>
      <c r="N251" s="37"/>
      <c r="O251" s="37"/>
      <c r="P251" s="37"/>
      <c r="Q251" s="37"/>
      <c r="R251" s="37"/>
      <c r="S251" s="37"/>
      <c r="T251" s="37"/>
      <c r="V251"/>
      <c r="X251"/>
    </row>
    <row r="252" spans="1:24" ht="15" customHeight="1" thickBot="1" x14ac:dyDescent="0.35">
      <c r="A252" s="38">
        <v>43491.563888888886</v>
      </c>
      <c r="B252" s="40">
        <v>141478</v>
      </c>
      <c r="C252" s="36" t="s">
        <v>118</v>
      </c>
      <c r="D252" s="17">
        <v>2110000000000</v>
      </c>
      <c r="E252" s="16" t="s">
        <v>132</v>
      </c>
      <c r="F252" s="17">
        <v>1</v>
      </c>
      <c r="G252" s="18">
        <v>150</v>
      </c>
      <c r="H252" s="17">
        <v>97.5</v>
      </c>
      <c r="I252" s="18">
        <v>150</v>
      </c>
      <c r="J252" s="18">
        <v>52.5</v>
      </c>
      <c r="K252" s="37" t="str">
        <f t="shared" si="5"/>
        <v>Inexpensive</v>
      </c>
      <c r="L252" s="37"/>
      <c r="N252" s="37"/>
      <c r="O252" s="37"/>
      <c r="P252" s="37"/>
      <c r="Q252" s="37"/>
      <c r="R252" s="37"/>
      <c r="S252" s="37"/>
      <c r="T252" s="37"/>
      <c r="V252"/>
      <c r="X252"/>
    </row>
    <row r="253" spans="1:24" ht="15" customHeight="1" thickBot="1" x14ac:dyDescent="0.35">
      <c r="A253" s="38">
        <v>43491.563888888886</v>
      </c>
      <c r="B253" s="40">
        <v>141478</v>
      </c>
      <c r="C253" s="36" t="s">
        <v>123</v>
      </c>
      <c r="D253" s="17">
        <v>6030000000000</v>
      </c>
      <c r="E253" s="16" t="s">
        <v>130</v>
      </c>
      <c r="F253" s="17">
        <v>1</v>
      </c>
      <c r="G253" s="18">
        <v>600</v>
      </c>
      <c r="H253" s="17">
        <v>198</v>
      </c>
      <c r="I253" s="18">
        <v>600</v>
      </c>
      <c r="J253" s="18">
        <v>402</v>
      </c>
      <c r="K253" s="37" t="str">
        <f t="shared" si="5"/>
        <v>Inexpensive</v>
      </c>
      <c r="L253" s="37"/>
      <c r="N253" s="37"/>
      <c r="O253" s="37"/>
      <c r="P253" s="37"/>
      <c r="Q253" s="37"/>
      <c r="R253" s="37"/>
      <c r="S253" s="37"/>
      <c r="T253" s="37"/>
      <c r="V253"/>
      <c r="X253"/>
    </row>
    <row r="254" spans="1:24" ht="15" customHeight="1" thickBot="1" x14ac:dyDescent="0.35">
      <c r="A254" s="38">
        <v>43477.808333333334</v>
      </c>
      <c r="B254" s="39">
        <v>141479</v>
      </c>
      <c r="C254" s="36" t="s">
        <v>117</v>
      </c>
      <c r="D254" s="17">
        <v>1650000000000</v>
      </c>
      <c r="E254" s="16" t="s">
        <v>130</v>
      </c>
      <c r="F254" s="17">
        <v>1</v>
      </c>
      <c r="G254" s="18">
        <v>99.99</v>
      </c>
      <c r="H254" s="17">
        <v>49.994999999999997</v>
      </c>
      <c r="I254" s="18">
        <v>99.99</v>
      </c>
      <c r="J254" s="18">
        <v>49.994999999999997</v>
      </c>
      <c r="K254" s="37" t="str">
        <f t="shared" si="5"/>
        <v>Inexpensive</v>
      </c>
      <c r="L254" s="37"/>
      <c r="N254" s="37"/>
      <c r="O254" s="37"/>
      <c r="P254" s="37"/>
      <c r="Q254" s="37"/>
      <c r="R254" s="37"/>
      <c r="S254" s="37"/>
      <c r="T254" s="37"/>
      <c r="V254"/>
      <c r="X254"/>
    </row>
    <row r="255" spans="1:24" ht="15" customHeight="1" thickBot="1" x14ac:dyDescent="0.35">
      <c r="A255" s="38">
        <v>43485.522222222222</v>
      </c>
      <c r="B255" s="39">
        <v>141480</v>
      </c>
      <c r="C255" s="36" t="s">
        <v>122</v>
      </c>
      <c r="D255" s="17">
        <v>2790000000000</v>
      </c>
      <c r="E255" s="16" t="s">
        <v>131</v>
      </c>
      <c r="F255" s="17">
        <v>2</v>
      </c>
      <c r="G255" s="18">
        <v>3.84</v>
      </c>
      <c r="H255" s="17">
        <v>1.92</v>
      </c>
      <c r="I255" s="18">
        <v>7.68</v>
      </c>
      <c r="J255" s="18">
        <v>3.84</v>
      </c>
      <c r="K255" s="37" t="str">
        <f t="shared" si="5"/>
        <v>Inexpensive</v>
      </c>
      <c r="L255" s="37"/>
      <c r="N255" s="37"/>
      <c r="O255" s="37"/>
      <c r="P255" s="37"/>
      <c r="Q255" s="37"/>
      <c r="R255" s="37"/>
      <c r="S255" s="37"/>
      <c r="T255" s="37"/>
      <c r="V255"/>
      <c r="X255"/>
    </row>
    <row r="256" spans="1:24" ht="15" customHeight="1" thickBot="1" x14ac:dyDescent="0.35">
      <c r="A256" s="38">
        <v>43491.929861111108</v>
      </c>
      <c r="B256" s="39">
        <v>141481</v>
      </c>
      <c r="C256" s="36" t="s">
        <v>122</v>
      </c>
      <c r="D256" s="17">
        <v>2590000000000</v>
      </c>
      <c r="E256" s="16" t="s">
        <v>130</v>
      </c>
      <c r="F256" s="17">
        <v>1</v>
      </c>
      <c r="G256" s="18">
        <v>3.84</v>
      </c>
      <c r="H256" s="17">
        <v>1.92</v>
      </c>
      <c r="I256" s="18">
        <v>3.84</v>
      </c>
      <c r="J256" s="18">
        <v>1.92</v>
      </c>
      <c r="K256" s="37" t="str">
        <f t="shared" si="5"/>
        <v>Inexpensive</v>
      </c>
      <c r="L256" s="37"/>
      <c r="N256" s="37"/>
      <c r="O256" s="37"/>
      <c r="P256" s="37"/>
      <c r="Q256" s="37"/>
      <c r="R256" s="37"/>
      <c r="S256" s="37"/>
      <c r="T256" s="37"/>
      <c r="V256"/>
      <c r="X256"/>
    </row>
    <row r="257" spans="1:24" ht="15" customHeight="1" thickBot="1" x14ac:dyDescent="0.35">
      <c r="A257" s="38">
        <v>43493.548611111109</v>
      </c>
      <c r="B257" s="39">
        <v>141482</v>
      </c>
      <c r="C257" s="36" t="s">
        <v>116</v>
      </c>
      <c r="D257" s="17">
        <v>8770000000000</v>
      </c>
      <c r="E257" s="16" t="s">
        <v>130</v>
      </c>
      <c r="F257" s="17">
        <v>1</v>
      </c>
      <c r="G257" s="18">
        <v>11.95</v>
      </c>
      <c r="H257" s="17">
        <v>5.9749999999999996</v>
      </c>
      <c r="I257" s="18">
        <v>11.95</v>
      </c>
      <c r="J257" s="18">
        <v>5.9749999999999996</v>
      </c>
      <c r="K257" s="37" t="str">
        <f t="shared" si="5"/>
        <v>Inexpensive</v>
      </c>
      <c r="L257" s="37"/>
      <c r="N257" s="37"/>
      <c r="O257" s="37"/>
      <c r="P257" s="37"/>
      <c r="Q257" s="37"/>
      <c r="R257" s="37"/>
      <c r="S257" s="37"/>
      <c r="T257" s="37"/>
      <c r="V257"/>
      <c r="X257"/>
    </row>
    <row r="258" spans="1:24" ht="15" customHeight="1" thickBot="1" x14ac:dyDescent="0.35">
      <c r="A258" s="38">
        <v>43486.664583333331</v>
      </c>
      <c r="B258" s="39">
        <v>141483</v>
      </c>
      <c r="C258" s="36" t="s">
        <v>120</v>
      </c>
      <c r="D258" s="17">
        <v>8760000000000</v>
      </c>
      <c r="E258" s="16" t="s">
        <v>131</v>
      </c>
      <c r="F258" s="17">
        <v>1</v>
      </c>
      <c r="G258" s="18">
        <v>300</v>
      </c>
      <c r="H258" s="17">
        <v>99</v>
      </c>
      <c r="I258" s="18">
        <v>300</v>
      </c>
      <c r="J258" s="18">
        <v>201</v>
      </c>
      <c r="K258" s="37" t="str">
        <f t="shared" si="5"/>
        <v>Inexpensive</v>
      </c>
      <c r="L258" s="37"/>
      <c r="N258" s="37"/>
      <c r="O258" s="37"/>
      <c r="P258" s="37"/>
      <c r="Q258" s="37"/>
      <c r="R258" s="37"/>
      <c r="S258" s="37"/>
      <c r="T258" s="37"/>
      <c r="V258"/>
      <c r="X258"/>
    </row>
    <row r="259" spans="1:24" ht="15" customHeight="1" thickBot="1" x14ac:dyDescent="0.35">
      <c r="A259" s="38">
        <v>43494.879166666666</v>
      </c>
      <c r="B259" s="39">
        <v>141484</v>
      </c>
      <c r="C259" s="36" t="s">
        <v>116</v>
      </c>
      <c r="D259" s="17">
        <v>1930000000000</v>
      </c>
      <c r="E259" s="16" t="s">
        <v>132</v>
      </c>
      <c r="F259" s="17">
        <v>1</v>
      </c>
      <c r="G259" s="18">
        <v>11.95</v>
      </c>
      <c r="H259" s="17">
        <v>5.9749999999999996</v>
      </c>
      <c r="I259" s="18">
        <v>11.95</v>
      </c>
      <c r="J259" s="18">
        <v>5.9749999999999996</v>
      </c>
      <c r="K259" s="37" t="str">
        <f t="shared" ref="K259:K322" si="6">IF(G259&gt;=700,"Expensive","Inexpensive")</f>
        <v>Inexpensive</v>
      </c>
      <c r="L259" s="37"/>
      <c r="N259" s="37"/>
      <c r="O259" s="37"/>
      <c r="P259" s="37"/>
      <c r="Q259" s="37"/>
      <c r="R259" s="37"/>
      <c r="S259" s="37"/>
      <c r="T259" s="37"/>
      <c r="V259"/>
      <c r="X259"/>
    </row>
    <row r="260" spans="1:24" ht="15" customHeight="1" thickBot="1" x14ac:dyDescent="0.35">
      <c r="A260" s="38">
        <v>43472.879166666666</v>
      </c>
      <c r="B260" s="39">
        <v>141485</v>
      </c>
      <c r="C260" s="36" t="s">
        <v>115</v>
      </c>
      <c r="D260" s="17">
        <v>8170000000000</v>
      </c>
      <c r="E260" s="16" t="s">
        <v>132</v>
      </c>
      <c r="F260" s="17">
        <v>1</v>
      </c>
      <c r="G260" s="18">
        <v>389.99</v>
      </c>
      <c r="H260" s="17">
        <v>128.69669999999999</v>
      </c>
      <c r="I260" s="18">
        <v>389.99</v>
      </c>
      <c r="J260" s="18">
        <v>261.29329999999999</v>
      </c>
      <c r="K260" s="37" t="str">
        <f t="shared" si="6"/>
        <v>Inexpensive</v>
      </c>
      <c r="L260" s="37"/>
      <c r="N260" s="37"/>
      <c r="O260" s="37"/>
      <c r="P260" s="37"/>
      <c r="Q260" s="37"/>
      <c r="R260" s="37"/>
      <c r="S260" s="37"/>
      <c r="T260" s="37"/>
      <c r="V260"/>
      <c r="X260"/>
    </row>
    <row r="261" spans="1:24" ht="15" customHeight="1" thickBot="1" x14ac:dyDescent="0.35">
      <c r="A261" s="38">
        <v>43479.561805555553</v>
      </c>
      <c r="B261" s="39">
        <v>141486</v>
      </c>
      <c r="C261" s="36" t="s">
        <v>116</v>
      </c>
      <c r="D261" s="17">
        <v>4870000000000</v>
      </c>
      <c r="E261" s="16" t="s">
        <v>131</v>
      </c>
      <c r="F261" s="17">
        <v>1</v>
      </c>
      <c r="G261" s="18">
        <v>11.95</v>
      </c>
      <c r="H261" s="17">
        <v>5.9749999999999996</v>
      </c>
      <c r="I261" s="18">
        <v>11.95</v>
      </c>
      <c r="J261" s="18">
        <v>5.9749999999999996</v>
      </c>
      <c r="K261" s="37" t="str">
        <f t="shared" si="6"/>
        <v>Inexpensive</v>
      </c>
      <c r="L261" s="37"/>
      <c r="N261" s="37"/>
      <c r="O261" s="37"/>
      <c r="P261" s="37"/>
      <c r="Q261" s="37"/>
      <c r="R261" s="37"/>
      <c r="S261" s="37"/>
      <c r="T261" s="37"/>
      <c r="V261"/>
      <c r="X261"/>
    </row>
    <row r="262" spans="1:24" ht="15" customHeight="1" thickBot="1" x14ac:dyDescent="0.35">
      <c r="A262" s="38">
        <v>43484.769444444442</v>
      </c>
      <c r="B262" s="39">
        <v>141487</v>
      </c>
      <c r="C262" s="36" t="s">
        <v>117</v>
      </c>
      <c r="D262" s="17">
        <v>1730000000000</v>
      </c>
      <c r="E262" s="16" t="s">
        <v>132</v>
      </c>
      <c r="F262" s="17">
        <v>1</v>
      </c>
      <c r="G262" s="18">
        <v>99.99</v>
      </c>
      <c r="H262" s="17">
        <v>49.994999999999997</v>
      </c>
      <c r="I262" s="18">
        <v>99.99</v>
      </c>
      <c r="J262" s="18">
        <v>49.994999999999997</v>
      </c>
      <c r="K262" s="37" t="str">
        <f t="shared" si="6"/>
        <v>Inexpensive</v>
      </c>
      <c r="L262" s="37"/>
      <c r="N262" s="37"/>
      <c r="O262" s="37"/>
      <c r="P262" s="37"/>
      <c r="Q262" s="37"/>
      <c r="R262" s="37"/>
      <c r="S262" s="37"/>
      <c r="T262" s="37"/>
      <c r="V262"/>
      <c r="X262"/>
    </row>
    <row r="263" spans="1:24" ht="15" customHeight="1" thickBot="1" x14ac:dyDescent="0.35">
      <c r="A263" s="38">
        <v>43478.606249999997</v>
      </c>
      <c r="B263" s="39">
        <v>141488</v>
      </c>
      <c r="C263" s="36" t="s">
        <v>117</v>
      </c>
      <c r="D263" s="17">
        <v>4250000000000</v>
      </c>
      <c r="E263" s="16" t="s">
        <v>131</v>
      </c>
      <c r="F263" s="17">
        <v>1</v>
      </c>
      <c r="G263" s="18">
        <v>99.99</v>
      </c>
      <c r="H263" s="17">
        <v>49.994999999999997</v>
      </c>
      <c r="I263" s="18">
        <v>99.99</v>
      </c>
      <c r="J263" s="18">
        <v>49.994999999999997</v>
      </c>
      <c r="K263" s="37" t="str">
        <f t="shared" si="6"/>
        <v>Inexpensive</v>
      </c>
      <c r="L263" s="37"/>
      <c r="N263" s="37"/>
      <c r="O263" s="37"/>
      <c r="P263" s="37"/>
      <c r="Q263" s="37"/>
      <c r="R263" s="37"/>
      <c r="S263" s="37"/>
      <c r="T263" s="37"/>
      <c r="V263"/>
      <c r="X263"/>
    </row>
    <row r="264" spans="1:24" ht="15" customHeight="1" thickBot="1" x14ac:dyDescent="0.35">
      <c r="A264" s="38">
        <v>43469.472916666666</v>
      </c>
      <c r="B264" s="39">
        <v>141489</v>
      </c>
      <c r="C264" s="36" t="s">
        <v>114</v>
      </c>
      <c r="D264" s="17">
        <v>9820000000000</v>
      </c>
      <c r="E264" s="16" t="s">
        <v>132</v>
      </c>
      <c r="F264" s="17">
        <v>2</v>
      </c>
      <c r="G264" s="18">
        <v>2.99</v>
      </c>
      <c r="H264" s="17">
        <v>1.4950000000000001</v>
      </c>
      <c r="I264" s="18">
        <v>5.98</v>
      </c>
      <c r="J264" s="18">
        <v>2.99</v>
      </c>
      <c r="K264" s="37" t="str">
        <f t="shared" si="6"/>
        <v>Inexpensive</v>
      </c>
      <c r="L264" s="37"/>
      <c r="N264" s="37"/>
      <c r="O264" s="37"/>
      <c r="P264" s="37"/>
      <c r="Q264" s="37"/>
      <c r="R264" s="37"/>
      <c r="S264" s="37"/>
      <c r="T264" s="37"/>
      <c r="V264"/>
      <c r="X264"/>
    </row>
    <row r="265" spans="1:24" ht="15" customHeight="1" thickBot="1" x14ac:dyDescent="0.35">
      <c r="A265" s="38">
        <v>43489.412499999999</v>
      </c>
      <c r="B265" s="39">
        <v>141490</v>
      </c>
      <c r="C265" s="36" t="s">
        <v>113</v>
      </c>
      <c r="D265" s="17">
        <v>6250000000000</v>
      </c>
      <c r="E265" s="16" t="s">
        <v>130</v>
      </c>
      <c r="F265" s="17">
        <v>1</v>
      </c>
      <c r="G265" s="18">
        <v>149.99</v>
      </c>
      <c r="H265" s="17">
        <v>97.493499999999997</v>
      </c>
      <c r="I265" s="18">
        <v>149.99</v>
      </c>
      <c r="J265" s="18">
        <v>52.496499999999997</v>
      </c>
      <c r="K265" s="37" t="str">
        <f t="shared" si="6"/>
        <v>Inexpensive</v>
      </c>
      <c r="L265" s="37"/>
      <c r="N265" s="37"/>
      <c r="O265" s="37"/>
      <c r="P265" s="37"/>
      <c r="Q265" s="37"/>
      <c r="R265" s="37"/>
      <c r="S265" s="37"/>
      <c r="T265" s="37"/>
      <c r="V265"/>
      <c r="X265"/>
    </row>
    <row r="266" spans="1:24" ht="15" customHeight="1" thickBot="1" x14ac:dyDescent="0.35">
      <c r="A266" s="38">
        <v>43490.465277777781</v>
      </c>
      <c r="B266" s="39">
        <v>141491</v>
      </c>
      <c r="C266" s="36" t="s">
        <v>117</v>
      </c>
      <c r="D266" s="17">
        <v>9630000000000</v>
      </c>
      <c r="E266" s="16" t="s">
        <v>130</v>
      </c>
      <c r="F266" s="17">
        <v>1</v>
      </c>
      <c r="G266" s="18">
        <v>99.99</v>
      </c>
      <c r="H266" s="17">
        <v>49.994999999999997</v>
      </c>
      <c r="I266" s="18">
        <v>99.99</v>
      </c>
      <c r="J266" s="18">
        <v>49.994999999999997</v>
      </c>
      <c r="K266" s="37" t="str">
        <f t="shared" si="6"/>
        <v>Inexpensive</v>
      </c>
      <c r="L266" s="37"/>
      <c r="N266" s="37"/>
      <c r="O266" s="37"/>
      <c r="P266" s="37"/>
      <c r="Q266" s="37"/>
      <c r="R266" s="37"/>
      <c r="S266" s="37"/>
      <c r="T266" s="37"/>
      <c r="V266"/>
      <c r="X266"/>
    </row>
    <row r="267" spans="1:24" ht="15" customHeight="1" thickBot="1" x14ac:dyDescent="0.35">
      <c r="A267" s="38">
        <v>43483.390972222223</v>
      </c>
      <c r="B267" s="39">
        <v>141492</v>
      </c>
      <c r="C267" s="36" t="s">
        <v>124</v>
      </c>
      <c r="D267" s="17">
        <v>3200000000000</v>
      </c>
      <c r="E267" s="16" t="s">
        <v>132</v>
      </c>
      <c r="F267" s="17">
        <v>1</v>
      </c>
      <c r="G267" s="18">
        <v>109.99</v>
      </c>
      <c r="H267" s="17">
        <v>71.493499999999997</v>
      </c>
      <c r="I267" s="18">
        <v>109.99</v>
      </c>
      <c r="J267" s="18">
        <v>38.496499999999997</v>
      </c>
      <c r="K267" s="37" t="str">
        <f t="shared" si="6"/>
        <v>Inexpensive</v>
      </c>
      <c r="L267" s="37"/>
      <c r="N267" s="37"/>
      <c r="O267" s="37"/>
      <c r="P267" s="37"/>
      <c r="Q267" s="37"/>
      <c r="R267" s="37"/>
      <c r="S267" s="37"/>
      <c r="T267" s="37"/>
      <c r="V267"/>
      <c r="X267"/>
    </row>
    <row r="268" spans="1:24" ht="15" customHeight="1" thickBot="1" x14ac:dyDescent="0.35">
      <c r="A268" s="38">
        <v>43467.476388888892</v>
      </c>
      <c r="B268" s="39">
        <v>141493</v>
      </c>
      <c r="C268" s="36" t="s">
        <v>125</v>
      </c>
      <c r="D268" s="17">
        <v>4920000000000</v>
      </c>
      <c r="E268" s="16" t="s">
        <v>132</v>
      </c>
      <c r="F268" s="17">
        <v>1</v>
      </c>
      <c r="G268" s="18">
        <v>379.99</v>
      </c>
      <c r="H268" s="17">
        <v>125.3967</v>
      </c>
      <c r="I268" s="18">
        <v>379.99</v>
      </c>
      <c r="J268" s="18">
        <v>254.5933</v>
      </c>
      <c r="K268" s="37" t="str">
        <f t="shared" si="6"/>
        <v>Inexpensive</v>
      </c>
      <c r="L268" s="37"/>
      <c r="N268" s="37"/>
      <c r="O268" s="37"/>
      <c r="P268" s="37"/>
      <c r="Q268" s="37"/>
      <c r="R268" s="37"/>
      <c r="S268" s="37"/>
      <c r="T268" s="37"/>
      <c r="V268"/>
      <c r="X268"/>
    </row>
    <row r="269" spans="1:24" ht="15" customHeight="1" thickBot="1" x14ac:dyDescent="0.35">
      <c r="A269" s="38">
        <v>43472.027777777781</v>
      </c>
      <c r="B269" s="39">
        <v>141494</v>
      </c>
      <c r="C269" s="36" t="s">
        <v>122</v>
      </c>
      <c r="D269" s="17">
        <v>1840000000000</v>
      </c>
      <c r="E269" s="16" t="s">
        <v>132</v>
      </c>
      <c r="F269" s="17">
        <v>2</v>
      </c>
      <c r="G269" s="18">
        <v>3.84</v>
      </c>
      <c r="H269" s="17">
        <v>1.92</v>
      </c>
      <c r="I269" s="18">
        <v>7.68</v>
      </c>
      <c r="J269" s="18">
        <v>3.84</v>
      </c>
      <c r="K269" s="37" t="str">
        <f t="shared" si="6"/>
        <v>Inexpensive</v>
      </c>
      <c r="L269" s="37"/>
      <c r="N269" s="37"/>
      <c r="O269" s="37"/>
      <c r="P269" s="37"/>
      <c r="Q269" s="37"/>
      <c r="R269" s="37"/>
      <c r="S269" s="37"/>
      <c r="T269" s="37"/>
      <c r="V269"/>
      <c r="X269"/>
    </row>
    <row r="270" spans="1:24" ht="15" customHeight="1" thickBot="1" x14ac:dyDescent="0.35">
      <c r="A270" s="38">
        <v>43484.751388888886</v>
      </c>
      <c r="B270" s="39">
        <v>141495</v>
      </c>
      <c r="C270" s="36" t="s">
        <v>119</v>
      </c>
      <c r="D270" s="17">
        <v>4210000000000</v>
      </c>
      <c r="E270" s="16" t="s">
        <v>130</v>
      </c>
      <c r="F270" s="17">
        <v>1</v>
      </c>
      <c r="G270" s="18">
        <v>1700</v>
      </c>
      <c r="H270" s="17">
        <v>561</v>
      </c>
      <c r="I270" s="18">
        <v>1700</v>
      </c>
      <c r="J270" s="18">
        <v>1139</v>
      </c>
      <c r="K270" s="37" t="str">
        <f t="shared" si="6"/>
        <v>Expensive</v>
      </c>
      <c r="L270" s="37"/>
      <c r="N270" s="37"/>
      <c r="O270" s="37"/>
      <c r="P270" s="37"/>
      <c r="Q270" s="37"/>
      <c r="R270" s="37"/>
      <c r="S270" s="37"/>
      <c r="T270" s="37"/>
      <c r="V270"/>
      <c r="X270"/>
    </row>
    <row r="271" spans="1:24" ht="15" customHeight="1" thickBot="1" x14ac:dyDescent="0.35">
      <c r="A271" s="38">
        <v>43496.681250000001</v>
      </c>
      <c r="B271" s="39">
        <v>141496</v>
      </c>
      <c r="C271" s="36" t="s">
        <v>112</v>
      </c>
      <c r="D271" s="17">
        <v>3590000000000</v>
      </c>
      <c r="E271" s="16" t="s">
        <v>132</v>
      </c>
      <c r="F271" s="17">
        <v>1</v>
      </c>
      <c r="G271" s="18">
        <v>11.99</v>
      </c>
      <c r="H271" s="17">
        <v>5.9950000000000001</v>
      </c>
      <c r="I271" s="18">
        <v>11.99</v>
      </c>
      <c r="J271" s="18">
        <v>5.9950000000000001</v>
      </c>
      <c r="K271" s="37" t="str">
        <f t="shared" si="6"/>
        <v>Inexpensive</v>
      </c>
      <c r="L271" s="37"/>
      <c r="N271" s="37"/>
      <c r="O271" s="37"/>
      <c r="P271" s="37"/>
      <c r="Q271" s="37"/>
      <c r="R271" s="37"/>
      <c r="S271" s="37"/>
      <c r="T271" s="37"/>
      <c r="V271"/>
      <c r="X271"/>
    </row>
    <row r="272" spans="1:24" ht="15" customHeight="1" thickBot="1" x14ac:dyDescent="0.35">
      <c r="A272" s="38">
        <v>43494.754861111112</v>
      </c>
      <c r="B272" s="39">
        <v>141497</v>
      </c>
      <c r="C272" s="36" t="s">
        <v>112</v>
      </c>
      <c r="D272" s="17">
        <v>7460000000000</v>
      </c>
      <c r="E272" s="16" t="s">
        <v>131</v>
      </c>
      <c r="F272" s="17">
        <v>1</v>
      </c>
      <c r="G272" s="18">
        <v>11.99</v>
      </c>
      <c r="H272" s="17">
        <v>5.9950000000000001</v>
      </c>
      <c r="I272" s="18">
        <v>11.99</v>
      </c>
      <c r="J272" s="18">
        <v>5.9950000000000001</v>
      </c>
      <c r="K272" s="37" t="str">
        <f t="shared" si="6"/>
        <v>Inexpensive</v>
      </c>
      <c r="L272" s="37"/>
      <c r="N272" s="37"/>
      <c r="O272" s="37"/>
      <c r="P272" s="37"/>
      <c r="Q272" s="37"/>
      <c r="R272" s="37"/>
      <c r="S272" s="37"/>
      <c r="T272" s="37"/>
      <c r="V272"/>
      <c r="X272"/>
    </row>
    <row r="273" spans="1:24" ht="15" customHeight="1" thickBot="1" x14ac:dyDescent="0.35">
      <c r="A273" s="38">
        <v>43473.313194444447</v>
      </c>
      <c r="B273" s="39">
        <v>141498</v>
      </c>
      <c r="C273" s="36" t="s">
        <v>122</v>
      </c>
      <c r="D273" s="17">
        <v>5180000000000</v>
      </c>
      <c r="E273" s="16" t="s">
        <v>131</v>
      </c>
      <c r="F273" s="17">
        <v>1</v>
      </c>
      <c r="G273" s="18">
        <v>3.84</v>
      </c>
      <c r="H273" s="17">
        <v>1.92</v>
      </c>
      <c r="I273" s="18">
        <v>3.84</v>
      </c>
      <c r="J273" s="18">
        <v>1.92</v>
      </c>
      <c r="K273" s="37" t="str">
        <f t="shared" si="6"/>
        <v>Inexpensive</v>
      </c>
      <c r="L273" s="37"/>
      <c r="N273" s="37"/>
      <c r="O273" s="37"/>
      <c r="P273" s="37"/>
      <c r="Q273" s="37"/>
      <c r="R273" s="37"/>
      <c r="S273" s="37"/>
      <c r="T273" s="37"/>
      <c r="V273"/>
      <c r="X273"/>
    </row>
    <row r="274" spans="1:24" ht="15" customHeight="1" thickBot="1" x14ac:dyDescent="0.35">
      <c r="A274" s="38">
        <v>43484.636805555558</v>
      </c>
      <c r="B274" s="39">
        <v>141499</v>
      </c>
      <c r="C274" s="36" t="s">
        <v>123</v>
      </c>
      <c r="D274" s="17">
        <v>3330000000000</v>
      </c>
      <c r="E274" s="16" t="s">
        <v>132</v>
      </c>
      <c r="F274" s="17">
        <v>1</v>
      </c>
      <c r="G274" s="18">
        <v>600</v>
      </c>
      <c r="H274" s="17">
        <v>198</v>
      </c>
      <c r="I274" s="18">
        <v>600</v>
      </c>
      <c r="J274" s="18">
        <v>402</v>
      </c>
      <c r="K274" s="37" t="str">
        <f t="shared" si="6"/>
        <v>Inexpensive</v>
      </c>
      <c r="L274" s="37"/>
      <c r="N274" s="37"/>
      <c r="O274" s="37"/>
      <c r="P274" s="37"/>
      <c r="Q274" s="37"/>
      <c r="R274" s="37"/>
      <c r="S274" s="37"/>
      <c r="T274" s="37"/>
      <c r="V274"/>
      <c r="X274"/>
    </row>
    <row r="275" spans="1:24" ht="15" customHeight="1" thickBot="1" x14ac:dyDescent="0.35">
      <c r="A275" s="38">
        <v>43477.49722222222</v>
      </c>
      <c r="B275" s="39">
        <v>141500</v>
      </c>
      <c r="C275" s="36" t="s">
        <v>123</v>
      </c>
      <c r="D275" s="17">
        <v>7330000000000</v>
      </c>
      <c r="E275" s="16" t="s">
        <v>131</v>
      </c>
      <c r="F275" s="17">
        <v>1</v>
      </c>
      <c r="G275" s="18">
        <v>600</v>
      </c>
      <c r="H275" s="17">
        <v>198</v>
      </c>
      <c r="I275" s="18">
        <v>600</v>
      </c>
      <c r="J275" s="18">
        <v>402</v>
      </c>
      <c r="K275" s="37" t="str">
        <f t="shared" si="6"/>
        <v>Inexpensive</v>
      </c>
      <c r="L275" s="37"/>
      <c r="N275" s="37"/>
      <c r="O275" s="37"/>
      <c r="P275" s="37"/>
      <c r="Q275" s="37"/>
      <c r="R275" s="37"/>
      <c r="S275" s="37"/>
      <c r="T275" s="37"/>
      <c r="V275"/>
      <c r="X275"/>
    </row>
    <row r="276" spans="1:24" ht="15" customHeight="1" thickBot="1" x14ac:dyDescent="0.35">
      <c r="A276" s="38">
        <v>43490.526388888888</v>
      </c>
      <c r="B276" s="39">
        <v>141501</v>
      </c>
      <c r="C276" s="36" t="s">
        <v>122</v>
      </c>
      <c r="D276" s="17">
        <v>6080000000000</v>
      </c>
      <c r="E276" s="16" t="s">
        <v>130</v>
      </c>
      <c r="F276" s="17">
        <v>1</v>
      </c>
      <c r="G276" s="18">
        <v>3.84</v>
      </c>
      <c r="H276" s="17">
        <v>1.92</v>
      </c>
      <c r="I276" s="18">
        <v>3.84</v>
      </c>
      <c r="J276" s="18">
        <v>1.92</v>
      </c>
      <c r="K276" s="37" t="str">
        <f t="shared" si="6"/>
        <v>Inexpensive</v>
      </c>
      <c r="L276" s="37"/>
      <c r="N276" s="37"/>
      <c r="O276" s="37"/>
      <c r="P276" s="37"/>
      <c r="Q276" s="37"/>
      <c r="R276" s="37"/>
      <c r="S276" s="37"/>
      <c r="T276" s="37"/>
      <c r="V276"/>
      <c r="X276"/>
    </row>
    <row r="277" spans="1:24" ht="15" customHeight="1" thickBot="1" x14ac:dyDescent="0.35">
      <c r="A277" s="38">
        <v>43473.838194444441</v>
      </c>
      <c r="B277" s="39">
        <v>141502</v>
      </c>
      <c r="C277" s="36" t="s">
        <v>122</v>
      </c>
      <c r="D277" s="17">
        <v>9400000000000</v>
      </c>
      <c r="E277" s="16" t="s">
        <v>132</v>
      </c>
      <c r="F277" s="17">
        <v>2</v>
      </c>
      <c r="G277" s="18">
        <v>3.84</v>
      </c>
      <c r="H277" s="17">
        <v>1.92</v>
      </c>
      <c r="I277" s="18">
        <v>7.68</v>
      </c>
      <c r="J277" s="18">
        <v>3.84</v>
      </c>
      <c r="K277" s="37" t="str">
        <f t="shared" si="6"/>
        <v>Inexpensive</v>
      </c>
      <c r="L277" s="37"/>
      <c r="N277" s="37"/>
      <c r="O277" s="37"/>
      <c r="P277" s="37"/>
      <c r="Q277" s="37"/>
      <c r="R277" s="37"/>
      <c r="S277" s="37"/>
      <c r="T277" s="37"/>
      <c r="V277"/>
      <c r="X277"/>
    </row>
    <row r="278" spans="1:24" ht="15" customHeight="1" thickBot="1" x14ac:dyDescent="0.35">
      <c r="A278" s="38">
        <v>43468.82916666667</v>
      </c>
      <c r="B278" s="39">
        <v>141503</v>
      </c>
      <c r="C278" s="36" t="s">
        <v>115</v>
      </c>
      <c r="D278" s="17">
        <v>5950000000000</v>
      </c>
      <c r="E278" s="16" t="s">
        <v>131</v>
      </c>
      <c r="F278" s="17">
        <v>1</v>
      </c>
      <c r="G278" s="18">
        <v>389.99</v>
      </c>
      <c r="H278" s="17">
        <v>128.69669999999999</v>
      </c>
      <c r="I278" s="18">
        <v>389.99</v>
      </c>
      <c r="J278" s="18">
        <v>261.29329999999999</v>
      </c>
      <c r="K278" s="37" t="str">
        <f t="shared" si="6"/>
        <v>Inexpensive</v>
      </c>
      <c r="L278" s="37"/>
      <c r="N278" s="37"/>
      <c r="O278" s="37"/>
      <c r="P278" s="37"/>
      <c r="Q278" s="37"/>
      <c r="R278" s="37"/>
      <c r="S278" s="37"/>
      <c r="T278" s="37"/>
      <c r="V278"/>
      <c r="X278"/>
    </row>
    <row r="279" spans="1:24" ht="15" customHeight="1" thickBot="1" x14ac:dyDescent="0.35">
      <c r="A279" s="38">
        <v>43478.567361111112</v>
      </c>
      <c r="B279" s="39">
        <v>141504</v>
      </c>
      <c r="C279" s="36" t="s">
        <v>110</v>
      </c>
      <c r="D279" s="17">
        <v>4040000000000</v>
      </c>
      <c r="E279" s="16" t="s">
        <v>130</v>
      </c>
      <c r="F279" s="17">
        <v>1</v>
      </c>
      <c r="G279" s="18">
        <v>700</v>
      </c>
      <c r="H279" s="17">
        <v>231</v>
      </c>
      <c r="I279" s="18">
        <v>700</v>
      </c>
      <c r="J279" s="18">
        <v>469</v>
      </c>
      <c r="K279" s="37" t="str">
        <f t="shared" si="6"/>
        <v>Expensive</v>
      </c>
      <c r="L279" s="37"/>
      <c r="N279" s="37"/>
      <c r="O279" s="37"/>
      <c r="P279" s="37"/>
      <c r="Q279" s="37"/>
      <c r="R279" s="37"/>
      <c r="S279" s="37"/>
      <c r="T279" s="37"/>
      <c r="V279"/>
      <c r="X279"/>
    </row>
    <row r="280" spans="1:24" ht="15" customHeight="1" thickBot="1" x14ac:dyDescent="0.35">
      <c r="A280" s="38">
        <v>43470.290972222225</v>
      </c>
      <c r="B280" s="39">
        <v>141505</v>
      </c>
      <c r="C280" s="36" t="s">
        <v>115</v>
      </c>
      <c r="D280" s="17">
        <v>8440000000000</v>
      </c>
      <c r="E280" s="16" t="s">
        <v>130</v>
      </c>
      <c r="F280" s="17">
        <v>1</v>
      </c>
      <c r="G280" s="18">
        <v>389.99</v>
      </c>
      <c r="H280" s="17">
        <v>128.69669999999999</v>
      </c>
      <c r="I280" s="18">
        <v>389.99</v>
      </c>
      <c r="J280" s="18">
        <v>261.29329999999999</v>
      </c>
      <c r="K280" s="37" t="str">
        <f t="shared" si="6"/>
        <v>Inexpensive</v>
      </c>
      <c r="L280" s="37"/>
      <c r="N280" s="37"/>
      <c r="O280" s="37"/>
      <c r="P280" s="37"/>
      <c r="Q280" s="37"/>
      <c r="R280" s="37"/>
      <c r="S280" s="37"/>
      <c r="T280" s="37"/>
      <c r="V280"/>
      <c r="X280"/>
    </row>
    <row r="281" spans="1:24" ht="15" customHeight="1" thickBot="1" x14ac:dyDescent="0.35">
      <c r="A281" s="38">
        <v>43489.793749999997</v>
      </c>
      <c r="B281" s="39">
        <v>141506</v>
      </c>
      <c r="C281" s="36" t="s">
        <v>123</v>
      </c>
      <c r="D281" s="17">
        <v>5460000000000</v>
      </c>
      <c r="E281" s="16" t="s">
        <v>130</v>
      </c>
      <c r="F281" s="17">
        <v>1</v>
      </c>
      <c r="G281" s="18">
        <v>600</v>
      </c>
      <c r="H281" s="17">
        <v>198</v>
      </c>
      <c r="I281" s="18">
        <v>600</v>
      </c>
      <c r="J281" s="18">
        <v>402</v>
      </c>
      <c r="K281" s="37" t="str">
        <f t="shared" si="6"/>
        <v>Inexpensive</v>
      </c>
      <c r="L281" s="37"/>
      <c r="N281" s="37"/>
      <c r="O281" s="37"/>
      <c r="P281" s="37"/>
      <c r="Q281" s="37"/>
      <c r="R281" s="37"/>
      <c r="S281" s="37"/>
      <c r="T281" s="37"/>
      <c r="V281"/>
      <c r="X281"/>
    </row>
    <row r="282" spans="1:24" ht="15" customHeight="1" thickBot="1" x14ac:dyDescent="0.35">
      <c r="A282" s="38">
        <v>43484.838194444441</v>
      </c>
      <c r="B282" s="39">
        <v>141507</v>
      </c>
      <c r="C282" s="36" t="s">
        <v>118</v>
      </c>
      <c r="D282" s="17">
        <v>5810000000000</v>
      </c>
      <c r="E282" s="16" t="s">
        <v>131</v>
      </c>
      <c r="F282" s="17">
        <v>1</v>
      </c>
      <c r="G282" s="18">
        <v>150</v>
      </c>
      <c r="H282" s="17">
        <v>97.5</v>
      </c>
      <c r="I282" s="18">
        <v>150</v>
      </c>
      <c r="J282" s="18">
        <v>52.5</v>
      </c>
      <c r="K282" s="37" t="str">
        <f t="shared" si="6"/>
        <v>Inexpensive</v>
      </c>
      <c r="L282" s="37"/>
      <c r="N282" s="37"/>
      <c r="O282" s="37"/>
      <c r="P282" s="37"/>
      <c r="Q282" s="37"/>
      <c r="R282" s="37"/>
      <c r="S282" s="37"/>
      <c r="T282" s="37"/>
      <c r="V282"/>
      <c r="X282"/>
    </row>
    <row r="283" spans="1:24" ht="15" customHeight="1" thickBot="1" x14ac:dyDescent="0.35">
      <c r="A283" s="38">
        <v>43483.799305555556</v>
      </c>
      <c r="B283" s="39">
        <v>141508</v>
      </c>
      <c r="C283" s="36" t="s">
        <v>116</v>
      </c>
      <c r="D283" s="17">
        <v>5100000000000</v>
      </c>
      <c r="E283" s="16" t="s">
        <v>130</v>
      </c>
      <c r="F283" s="17">
        <v>1</v>
      </c>
      <c r="G283" s="18">
        <v>11.95</v>
      </c>
      <c r="H283" s="17">
        <v>5.9749999999999996</v>
      </c>
      <c r="I283" s="18">
        <v>11.95</v>
      </c>
      <c r="J283" s="18">
        <v>5.9749999999999996</v>
      </c>
      <c r="K283" s="37" t="str">
        <f t="shared" si="6"/>
        <v>Inexpensive</v>
      </c>
      <c r="L283" s="37"/>
      <c r="N283" s="37"/>
      <c r="O283" s="37"/>
      <c r="P283" s="37"/>
      <c r="Q283" s="37"/>
      <c r="R283" s="37"/>
      <c r="S283" s="37"/>
      <c r="T283" s="37"/>
      <c r="V283"/>
      <c r="X283"/>
    </row>
    <row r="284" spans="1:24" ht="15" customHeight="1" thickBot="1" x14ac:dyDescent="0.35">
      <c r="A284" s="38">
        <v>43481.46597222222</v>
      </c>
      <c r="B284" s="39">
        <v>141509</v>
      </c>
      <c r="C284" s="36" t="s">
        <v>111</v>
      </c>
      <c r="D284" s="17">
        <v>5700000000000</v>
      </c>
      <c r="E284" s="16" t="s">
        <v>132</v>
      </c>
      <c r="F284" s="17">
        <v>1</v>
      </c>
      <c r="G284" s="18">
        <v>14.95</v>
      </c>
      <c r="H284" s="17">
        <v>7.4749999999999996</v>
      </c>
      <c r="I284" s="18">
        <v>14.95</v>
      </c>
      <c r="J284" s="18">
        <v>7.4749999999999996</v>
      </c>
      <c r="K284" s="37" t="str">
        <f t="shared" si="6"/>
        <v>Inexpensive</v>
      </c>
      <c r="L284" s="37"/>
      <c r="N284" s="37"/>
      <c r="O284" s="37"/>
      <c r="P284" s="37"/>
      <c r="Q284" s="37"/>
      <c r="R284" s="37"/>
      <c r="S284" s="37"/>
      <c r="T284" s="37"/>
      <c r="V284"/>
      <c r="X284"/>
    </row>
    <row r="285" spans="1:24" ht="15" customHeight="1" thickBot="1" x14ac:dyDescent="0.35">
      <c r="A285" s="38">
        <v>43481.605555555558</v>
      </c>
      <c r="B285" s="39">
        <v>141510</v>
      </c>
      <c r="C285" s="36" t="s">
        <v>112</v>
      </c>
      <c r="D285" s="17">
        <v>3950000000000</v>
      </c>
      <c r="E285" s="16" t="s">
        <v>130</v>
      </c>
      <c r="F285" s="17">
        <v>2</v>
      </c>
      <c r="G285" s="18">
        <v>11.99</v>
      </c>
      <c r="H285" s="17">
        <v>5.9950000000000001</v>
      </c>
      <c r="I285" s="18">
        <v>23.98</v>
      </c>
      <c r="J285" s="18">
        <v>11.99</v>
      </c>
      <c r="K285" s="37" t="str">
        <f t="shared" si="6"/>
        <v>Inexpensive</v>
      </c>
      <c r="L285" s="37"/>
      <c r="N285" s="37"/>
      <c r="O285" s="37"/>
      <c r="P285" s="37"/>
      <c r="Q285" s="37"/>
      <c r="R285" s="37"/>
      <c r="S285" s="37"/>
      <c r="T285" s="37"/>
      <c r="V285"/>
      <c r="X285"/>
    </row>
    <row r="286" spans="1:24" ht="15" customHeight="1" thickBot="1" x14ac:dyDescent="0.35">
      <c r="A286" s="38">
        <v>43479.706250000003</v>
      </c>
      <c r="B286" s="39">
        <v>141511</v>
      </c>
      <c r="C286" s="36" t="s">
        <v>115</v>
      </c>
      <c r="D286" s="17">
        <v>7950000000000</v>
      </c>
      <c r="E286" s="16" t="s">
        <v>132</v>
      </c>
      <c r="F286" s="17">
        <v>1</v>
      </c>
      <c r="G286" s="18">
        <v>389.99</v>
      </c>
      <c r="H286" s="17">
        <v>128.69669999999999</v>
      </c>
      <c r="I286" s="18">
        <v>389.99</v>
      </c>
      <c r="J286" s="18">
        <v>261.29329999999999</v>
      </c>
      <c r="K286" s="37" t="str">
        <f t="shared" si="6"/>
        <v>Inexpensive</v>
      </c>
      <c r="L286" s="37"/>
      <c r="N286" s="37"/>
      <c r="O286" s="37"/>
      <c r="P286" s="37"/>
      <c r="Q286" s="37"/>
      <c r="R286" s="37"/>
      <c r="S286" s="37"/>
      <c r="T286" s="37"/>
      <c r="V286"/>
      <c r="X286"/>
    </row>
    <row r="287" spans="1:24" ht="15" customHeight="1" thickBot="1" x14ac:dyDescent="0.35">
      <c r="A287" s="38">
        <v>43473.841666666667</v>
      </c>
      <c r="B287" s="39">
        <v>141512</v>
      </c>
      <c r="C287" s="36" t="s">
        <v>111</v>
      </c>
      <c r="D287" s="17">
        <v>9070000000000</v>
      </c>
      <c r="E287" s="16" t="s">
        <v>131</v>
      </c>
      <c r="F287" s="17">
        <v>1</v>
      </c>
      <c r="G287" s="18">
        <v>14.95</v>
      </c>
      <c r="H287" s="17">
        <v>7.4749999999999996</v>
      </c>
      <c r="I287" s="18">
        <v>14.95</v>
      </c>
      <c r="J287" s="18">
        <v>7.4749999999999996</v>
      </c>
      <c r="K287" s="37" t="str">
        <f t="shared" si="6"/>
        <v>Inexpensive</v>
      </c>
      <c r="L287" s="37"/>
      <c r="N287" s="37"/>
      <c r="O287" s="37"/>
      <c r="P287" s="37"/>
      <c r="Q287" s="37"/>
      <c r="R287" s="37"/>
      <c r="S287" s="37"/>
      <c r="T287" s="37"/>
      <c r="V287"/>
      <c r="X287"/>
    </row>
    <row r="288" spans="1:24" ht="15" customHeight="1" thickBot="1" x14ac:dyDescent="0.35">
      <c r="A288" s="38">
        <v>43483.931944444441</v>
      </c>
      <c r="B288" s="39">
        <v>141513</v>
      </c>
      <c r="C288" s="36" t="s">
        <v>118</v>
      </c>
      <c r="D288" s="17">
        <v>7960000000000</v>
      </c>
      <c r="E288" s="16" t="s">
        <v>130</v>
      </c>
      <c r="F288" s="17">
        <v>1</v>
      </c>
      <c r="G288" s="18">
        <v>150</v>
      </c>
      <c r="H288" s="17">
        <v>97.5</v>
      </c>
      <c r="I288" s="18">
        <v>150</v>
      </c>
      <c r="J288" s="18">
        <v>52.5</v>
      </c>
      <c r="K288" s="37" t="str">
        <f t="shared" si="6"/>
        <v>Inexpensive</v>
      </c>
      <c r="L288" s="37"/>
      <c r="N288" s="37"/>
      <c r="O288" s="37"/>
      <c r="P288" s="37"/>
      <c r="Q288" s="37"/>
      <c r="R288" s="37"/>
      <c r="S288" s="37"/>
      <c r="T288" s="37"/>
      <c r="V288"/>
      <c r="X288"/>
    </row>
    <row r="289" spans="1:24" ht="15" customHeight="1" thickBot="1" x14ac:dyDescent="0.35">
      <c r="A289" s="38">
        <v>43492.893055555556</v>
      </c>
      <c r="B289" s="39">
        <v>141514</v>
      </c>
      <c r="C289" s="36" t="s">
        <v>123</v>
      </c>
      <c r="D289" s="17">
        <v>8000000000000</v>
      </c>
      <c r="E289" s="16" t="s">
        <v>132</v>
      </c>
      <c r="F289" s="17">
        <v>1</v>
      </c>
      <c r="G289" s="18">
        <v>600</v>
      </c>
      <c r="H289" s="17">
        <v>198</v>
      </c>
      <c r="I289" s="18">
        <v>600</v>
      </c>
      <c r="J289" s="18">
        <v>402</v>
      </c>
      <c r="K289" s="37" t="str">
        <f t="shared" si="6"/>
        <v>Inexpensive</v>
      </c>
      <c r="L289" s="37"/>
      <c r="N289" s="37"/>
      <c r="O289" s="37"/>
      <c r="P289" s="37"/>
      <c r="Q289" s="37"/>
      <c r="R289" s="37"/>
      <c r="S289" s="37"/>
      <c r="T289" s="37"/>
      <c r="V289"/>
      <c r="X289"/>
    </row>
    <row r="290" spans="1:24" ht="15" customHeight="1" thickBot="1" x14ac:dyDescent="0.35">
      <c r="A290" s="38">
        <v>43477.69027777778</v>
      </c>
      <c r="B290" s="39">
        <v>141515</v>
      </c>
      <c r="C290" s="36" t="s">
        <v>125</v>
      </c>
      <c r="D290" s="17">
        <v>1060000000000</v>
      </c>
      <c r="E290" s="16" t="s">
        <v>131</v>
      </c>
      <c r="F290" s="17">
        <v>1</v>
      </c>
      <c r="G290" s="18">
        <v>379.99</v>
      </c>
      <c r="H290" s="17">
        <v>125.3967</v>
      </c>
      <c r="I290" s="18">
        <v>379.99</v>
      </c>
      <c r="J290" s="18">
        <v>254.5933</v>
      </c>
      <c r="K290" s="37" t="str">
        <f t="shared" si="6"/>
        <v>Inexpensive</v>
      </c>
      <c r="L290" s="37"/>
      <c r="N290" s="37"/>
      <c r="O290" s="37"/>
      <c r="P290" s="37"/>
      <c r="Q290" s="37"/>
      <c r="R290" s="37"/>
      <c r="S290" s="37"/>
      <c r="T290" s="37"/>
      <c r="V290"/>
      <c r="X290"/>
    </row>
    <row r="291" spans="1:24" ht="15" customHeight="1" thickBot="1" x14ac:dyDescent="0.35">
      <c r="A291" s="38">
        <v>43482.828472222223</v>
      </c>
      <c r="B291" s="39">
        <v>141516</v>
      </c>
      <c r="C291" s="36" t="s">
        <v>128</v>
      </c>
      <c r="D291" s="17">
        <v>1070000000000</v>
      </c>
      <c r="E291" s="16" t="s">
        <v>131</v>
      </c>
      <c r="F291" s="17">
        <v>1</v>
      </c>
      <c r="G291" s="18">
        <v>600</v>
      </c>
      <c r="H291" s="17">
        <v>198</v>
      </c>
      <c r="I291" s="18">
        <v>600</v>
      </c>
      <c r="J291" s="18">
        <v>402</v>
      </c>
      <c r="K291" s="37" t="str">
        <f t="shared" si="6"/>
        <v>Inexpensive</v>
      </c>
      <c r="L291" s="37"/>
      <c r="N291" s="37"/>
      <c r="O291" s="37"/>
      <c r="P291" s="37"/>
      <c r="Q291" s="37"/>
      <c r="R291" s="37"/>
      <c r="S291" s="37"/>
      <c r="T291" s="37"/>
      <c r="V291"/>
      <c r="X291"/>
    </row>
    <row r="292" spans="1:24" ht="15" customHeight="1" thickBot="1" x14ac:dyDescent="0.35">
      <c r="A292" s="38">
        <v>43478.593055555553</v>
      </c>
      <c r="B292" s="39">
        <v>141517</v>
      </c>
      <c r="C292" s="36" t="s">
        <v>110</v>
      </c>
      <c r="D292" s="17">
        <v>4640000000000</v>
      </c>
      <c r="E292" s="16" t="s">
        <v>132</v>
      </c>
      <c r="F292" s="17">
        <v>1</v>
      </c>
      <c r="G292" s="18">
        <v>700</v>
      </c>
      <c r="H292" s="17">
        <v>231</v>
      </c>
      <c r="I292" s="18">
        <v>700</v>
      </c>
      <c r="J292" s="18">
        <v>469</v>
      </c>
      <c r="K292" s="37" t="str">
        <f t="shared" si="6"/>
        <v>Expensive</v>
      </c>
      <c r="L292" s="37"/>
      <c r="N292" s="37"/>
      <c r="O292" s="37"/>
      <c r="P292" s="37"/>
      <c r="Q292" s="37"/>
      <c r="R292" s="37"/>
      <c r="S292" s="37"/>
      <c r="T292" s="37"/>
      <c r="V292"/>
      <c r="X292"/>
    </row>
    <row r="293" spans="1:24" ht="15" customHeight="1" thickBot="1" x14ac:dyDescent="0.35">
      <c r="A293" s="38">
        <v>43466.486805555556</v>
      </c>
      <c r="B293" s="39">
        <v>141518</v>
      </c>
      <c r="C293" s="36" t="s">
        <v>111</v>
      </c>
      <c r="D293" s="17">
        <v>3890000000000</v>
      </c>
      <c r="E293" s="16" t="s">
        <v>130</v>
      </c>
      <c r="F293" s="17">
        <v>1</v>
      </c>
      <c r="G293" s="18">
        <v>14.95</v>
      </c>
      <c r="H293" s="17">
        <v>7.4749999999999996</v>
      </c>
      <c r="I293" s="18">
        <v>14.95</v>
      </c>
      <c r="J293" s="18">
        <v>7.4749999999999996</v>
      </c>
      <c r="K293" s="37" t="str">
        <f t="shared" si="6"/>
        <v>Inexpensive</v>
      </c>
      <c r="L293" s="37"/>
      <c r="N293" s="37"/>
      <c r="O293" s="37"/>
      <c r="P293" s="37"/>
      <c r="Q293" s="37"/>
      <c r="R293" s="37"/>
      <c r="S293" s="37"/>
      <c r="T293" s="37"/>
      <c r="V293"/>
      <c r="X293"/>
    </row>
    <row r="294" spans="1:24" ht="15" customHeight="1" thickBot="1" x14ac:dyDescent="0.35">
      <c r="A294" s="38">
        <v>43483.719444444447</v>
      </c>
      <c r="B294" s="39">
        <v>141519</v>
      </c>
      <c r="C294" s="36" t="s">
        <v>111</v>
      </c>
      <c r="D294" s="17">
        <v>3530000000000</v>
      </c>
      <c r="E294" s="16" t="s">
        <v>132</v>
      </c>
      <c r="F294" s="17">
        <v>1</v>
      </c>
      <c r="G294" s="18">
        <v>14.95</v>
      </c>
      <c r="H294" s="17">
        <v>7.4749999999999996</v>
      </c>
      <c r="I294" s="18">
        <v>14.95</v>
      </c>
      <c r="J294" s="18">
        <v>7.4749999999999996</v>
      </c>
      <c r="K294" s="37" t="str">
        <f t="shared" si="6"/>
        <v>Inexpensive</v>
      </c>
      <c r="L294" s="37"/>
      <c r="N294" s="37"/>
      <c r="O294" s="37"/>
      <c r="P294" s="37"/>
      <c r="Q294" s="37"/>
      <c r="R294" s="37"/>
      <c r="S294" s="37"/>
      <c r="T294" s="37"/>
      <c r="V294"/>
      <c r="X294"/>
    </row>
    <row r="295" spans="1:24" ht="15" customHeight="1" thickBot="1" x14ac:dyDescent="0.35">
      <c r="A295" s="38">
        <v>43480.474999999999</v>
      </c>
      <c r="B295" s="39">
        <v>141520</v>
      </c>
      <c r="C295" s="36" t="s">
        <v>110</v>
      </c>
      <c r="D295" s="17">
        <v>7840000000000</v>
      </c>
      <c r="E295" s="16" t="s">
        <v>131</v>
      </c>
      <c r="F295" s="17">
        <v>1</v>
      </c>
      <c r="G295" s="18">
        <v>700</v>
      </c>
      <c r="H295" s="17">
        <v>231</v>
      </c>
      <c r="I295" s="18">
        <v>700</v>
      </c>
      <c r="J295" s="18">
        <v>469</v>
      </c>
      <c r="K295" s="37" t="str">
        <f t="shared" si="6"/>
        <v>Expensive</v>
      </c>
      <c r="L295" s="37"/>
      <c r="N295" s="37"/>
      <c r="O295" s="37"/>
      <c r="P295" s="37"/>
      <c r="Q295" s="37"/>
      <c r="R295" s="37"/>
      <c r="S295" s="37"/>
      <c r="T295" s="37"/>
      <c r="V295"/>
      <c r="X295"/>
    </row>
    <row r="296" spans="1:24" ht="15" customHeight="1" thickBot="1" x14ac:dyDescent="0.35">
      <c r="A296" s="38">
        <v>43471.47152777778</v>
      </c>
      <c r="B296" s="39">
        <v>141521</v>
      </c>
      <c r="C296" s="36" t="s">
        <v>112</v>
      </c>
      <c r="D296" s="17">
        <v>5190000000000</v>
      </c>
      <c r="E296" s="16" t="s">
        <v>132</v>
      </c>
      <c r="F296" s="17">
        <v>1</v>
      </c>
      <c r="G296" s="18">
        <v>11.99</v>
      </c>
      <c r="H296" s="17">
        <v>5.9950000000000001</v>
      </c>
      <c r="I296" s="18">
        <v>11.99</v>
      </c>
      <c r="J296" s="18">
        <v>5.9950000000000001</v>
      </c>
      <c r="K296" s="37" t="str">
        <f t="shared" si="6"/>
        <v>Inexpensive</v>
      </c>
      <c r="L296" s="37"/>
      <c r="N296" s="37"/>
      <c r="O296" s="37"/>
      <c r="P296" s="37"/>
      <c r="Q296" s="37"/>
      <c r="R296" s="37"/>
      <c r="S296" s="37"/>
      <c r="T296" s="37"/>
      <c r="V296"/>
      <c r="X296"/>
    </row>
    <row r="297" spans="1:24" ht="15" customHeight="1" thickBot="1" x14ac:dyDescent="0.35">
      <c r="A297" s="38">
        <v>43467.982638888891</v>
      </c>
      <c r="B297" s="39">
        <v>141522</v>
      </c>
      <c r="C297" s="36" t="s">
        <v>113</v>
      </c>
      <c r="D297" s="17">
        <v>5210000000000</v>
      </c>
      <c r="E297" s="16" t="s">
        <v>132</v>
      </c>
      <c r="F297" s="17">
        <v>1</v>
      </c>
      <c r="G297" s="18">
        <v>149.99</v>
      </c>
      <c r="H297" s="17">
        <v>97.493499999999997</v>
      </c>
      <c r="I297" s="18">
        <v>149.99</v>
      </c>
      <c r="J297" s="18">
        <v>52.496499999999997</v>
      </c>
      <c r="K297" s="37" t="str">
        <f t="shared" si="6"/>
        <v>Inexpensive</v>
      </c>
      <c r="L297" s="37"/>
      <c r="N297" s="37"/>
      <c r="O297" s="37"/>
      <c r="P297" s="37"/>
      <c r="Q297" s="37"/>
      <c r="R297" s="37"/>
      <c r="S297" s="37"/>
      <c r="T297" s="37"/>
      <c r="V297"/>
      <c r="X297"/>
    </row>
    <row r="298" spans="1:24" ht="15" customHeight="1" thickBot="1" x14ac:dyDescent="0.35">
      <c r="A298" s="38">
        <v>43467.553472222222</v>
      </c>
      <c r="B298" s="39">
        <v>141523</v>
      </c>
      <c r="C298" s="36" t="s">
        <v>123</v>
      </c>
      <c r="D298" s="17">
        <v>7610000000000</v>
      </c>
      <c r="E298" s="16" t="s">
        <v>131</v>
      </c>
      <c r="F298" s="17">
        <v>1</v>
      </c>
      <c r="G298" s="18">
        <v>600</v>
      </c>
      <c r="H298" s="17">
        <v>198</v>
      </c>
      <c r="I298" s="18">
        <v>600</v>
      </c>
      <c r="J298" s="18">
        <v>402</v>
      </c>
      <c r="K298" s="37" t="str">
        <f t="shared" si="6"/>
        <v>Inexpensive</v>
      </c>
      <c r="L298" s="37"/>
      <c r="N298" s="37"/>
      <c r="O298" s="37"/>
      <c r="P298" s="37"/>
      <c r="Q298" s="37"/>
      <c r="R298" s="37"/>
      <c r="S298" s="37"/>
      <c r="T298" s="37"/>
      <c r="V298"/>
      <c r="X298"/>
    </row>
    <row r="299" spans="1:24" ht="15" customHeight="1" thickBot="1" x14ac:dyDescent="0.35">
      <c r="A299" s="38">
        <v>43476.554166666669</v>
      </c>
      <c r="B299" s="39">
        <v>141524</v>
      </c>
      <c r="C299" s="36" t="s">
        <v>116</v>
      </c>
      <c r="D299" s="17">
        <v>3450000000000</v>
      </c>
      <c r="E299" s="16" t="s">
        <v>132</v>
      </c>
      <c r="F299" s="17">
        <v>1</v>
      </c>
      <c r="G299" s="18">
        <v>11.95</v>
      </c>
      <c r="H299" s="17">
        <v>5.9749999999999996</v>
      </c>
      <c r="I299" s="18">
        <v>11.95</v>
      </c>
      <c r="J299" s="18">
        <v>5.9749999999999996</v>
      </c>
      <c r="K299" s="37" t="str">
        <f t="shared" si="6"/>
        <v>Inexpensive</v>
      </c>
      <c r="L299" s="37"/>
      <c r="N299" s="37"/>
      <c r="O299" s="37"/>
      <c r="P299" s="37"/>
      <c r="Q299" s="37"/>
      <c r="R299" s="37"/>
      <c r="S299" s="37"/>
      <c r="T299" s="37"/>
      <c r="V299"/>
      <c r="X299"/>
    </row>
    <row r="300" spans="1:24" ht="15" customHeight="1" thickBot="1" x14ac:dyDescent="0.35">
      <c r="A300" s="38">
        <v>43472.188194444447</v>
      </c>
      <c r="B300" s="39">
        <v>141525</v>
      </c>
      <c r="C300" s="36" t="s">
        <v>114</v>
      </c>
      <c r="D300" s="17">
        <v>9560000000000</v>
      </c>
      <c r="E300" s="16" t="s">
        <v>131</v>
      </c>
      <c r="F300" s="17">
        <v>2</v>
      </c>
      <c r="G300" s="18">
        <v>2.99</v>
      </c>
      <c r="H300" s="17">
        <v>1.4950000000000001</v>
      </c>
      <c r="I300" s="18">
        <v>5.98</v>
      </c>
      <c r="J300" s="18">
        <v>2.99</v>
      </c>
      <c r="K300" s="37" t="str">
        <f t="shared" si="6"/>
        <v>Inexpensive</v>
      </c>
      <c r="L300" s="37"/>
      <c r="N300" s="37"/>
      <c r="O300" s="37"/>
      <c r="P300" s="37"/>
      <c r="Q300" s="37"/>
      <c r="R300" s="37"/>
      <c r="S300" s="37"/>
      <c r="T300" s="37"/>
      <c r="V300"/>
      <c r="X300"/>
    </row>
    <row r="301" spans="1:24" ht="15" customHeight="1" thickBot="1" x14ac:dyDescent="0.35">
      <c r="A301" s="38">
        <v>43486.925000000003</v>
      </c>
      <c r="B301" s="39">
        <v>141526</v>
      </c>
      <c r="C301" s="36" t="s">
        <v>122</v>
      </c>
      <c r="D301" s="17">
        <v>3600000000000</v>
      </c>
      <c r="E301" s="16" t="s">
        <v>131</v>
      </c>
      <c r="F301" s="17">
        <v>2</v>
      </c>
      <c r="G301" s="18">
        <v>3.84</v>
      </c>
      <c r="H301" s="17">
        <v>1.92</v>
      </c>
      <c r="I301" s="18">
        <v>7.68</v>
      </c>
      <c r="J301" s="18">
        <v>3.84</v>
      </c>
      <c r="K301" s="37" t="str">
        <f t="shared" si="6"/>
        <v>Inexpensive</v>
      </c>
      <c r="L301" s="37"/>
      <c r="N301" s="37"/>
      <c r="O301" s="37"/>
      <c r="P301" s="37"/>
      <c r="Q301" s="37"/>
      <c r="R301" s="37"/>
      <c r="S301" s="37"/>
      <c r="T301" s="37"/>
      <c r="V301"/>
      <c r="X301"/>
    </row>
    <row r="302" spans="1:24" ht="15" customHeight="1" thickBot="1" x14ac:dyDescent="0.35">
      <c r="A302" s="38">
        <v>43490.786111111112</v>
      </c>
      <c r="B302" s="39">
        <v>141527</v>
      </c>
      <c r="C302" s="36" t="s">
        <v>118</v>
      </c>
      <c r="D302" s="17">
        <v>4900000000000</v>
      </c>
      <c r="E302" s="16" t="s">
        <v>132</v>
      </c>
      <c r="F302" s="17">
        <v>1</v>
      </c>
      <c r="G302" s="18">
        <v>150</v>
      </c>
      <c r="H302" s="17">
        <v>97.5</v>
      </c>
      <c r="I302" s="18">
        <v>150</v>
      </c>
      <c r="J302" s="18">
        <v>52.5</v>
      </c>
      <c r="K302" s="37" t="str">
        <f t="shared" si="6"/>
        <v>Inexpensive</v>
      </c>
      <c r="L302" s="37"/>
      <c r="N302" s="37"/>
      <c r="O302" s="37"/>
      <c r="P302" s="37"/>
      <c r="Q302" s="37"/>
      <c r="R302" s="37"/>
      <c r="S302" s="37"/>
      <c r="T302" s="37"/>
      <c r="V302"/>
      <c r="X302"/>
    </row>
    <row r="303" spans="1:24" ht="15" customHeight="1" thickBot="1" x14ac:dyDescent="0.35">
      <c r="A303" s="38">
        <v>43476.092361111114</v>
      </c>
      <c r="B303" s="39">
        <v>141528</v>
      </c>
      <c r="C303" s="36" t="s">
        <v>114</v>
      </c>
      <c r="D303" s="17">
        <v>4110000000000</v>
      </c>
      <c r="E303" s="16" t="s">
        <v>130</v>
      </c>
      <c r="F303" s="17">
        <v>3</v>
      </c>
      <c r="G303" s="18">
        <v>2.99</v>
      </c>
      <c r="H303" s="17">
        <v>1.4950000000000001</v>
      </c>
      <c r="I303" s="18">
        <v>8.9700000000000006</v>
      </c>
      <c r="J303" s="18">
        <v>4.4850000000000003</v>
      </c>
      <c r="K303" s="37" t="str">
        <f t="shared" si="6"/>
        <v>Inexpensive</v>
      </c>
      <c r="L303" s="37"/>
      <c r="N303" s="37"/>
      <c r="O303" s="37"/>
      <c r="P303" s="37"/>
      <c r="Q303" s="37"/>
      <c r="R303" s="37"/>
      <c r="S303" s="37"/>
      <c r="T303" s="37"/>
      <c r="V303"/>
      <c r="X303"/>
    </row>
    <row r="304" spans="1:24" ht="15" customHeight="1" thickBot="1" x14ac:dyDescent="0.35">
      <c r="A304" s="38">
        <v>43478.538194444445</v>
      </c>
      <c r="B304" s="39">
        <v>141529</v>
      </c>
      <c r="C304" s="36" t="s">
        <v>117</v>
      </c>
      <c r="D304" s="17">
        <v>10000000000000</v>
      </c>
      <c r="E304" s="16" t="s">
        <v>132</v>
      </c>
      <c r="F304" s="17">
        <v>1</v>
      </c>
      <c r="G304" s="18">
        <v>99.99</v>
      </c>
      <c r="H304" s="17">
        <v>49.994999999999997</v>
      </c>
      <c r="I304" s="18">
        <v>99.99</v>
      </c>
      <c r="J304" s="18">
        <v>49.994999999999997</v>
      </c>
      <c r="K304" s="37" t="str">
        <f t="shared" si="6"/>
        <v>Inexpensive</v>
      </c>
      <c r="L304" s="37"/>
      <c r="N304" s="37"/>
      <c r="O304" s="37"/>
      <c r="P304" s="37"/>
      <c r="Q304" s="37"/>
      <c r="R304" s="37"/>
      <c r="S304" s="37"/>
      <c r="T304" s="37"/>
      <c r="V304"/>
      <c r="X304"/>
    </row>
    <row r="305" spans="1:24" ht="15" customHeight="1" thickBot="1" x14ac:dyDescent="0.35">
      <c r="A305" s="38">
        <v>43484.759027777778</v>
      </c>
      <c r="B305" s="39">
        <v>141530</v>
      </c>
      <c r="C305" s="36" t="s">
        <v>114</v>
      </c>
      <c r="D305" s="17">
        <v>6850000000000</v>
      </c>
      <c r="E305" s="16" t="s">
        <v>132</v>
      </c>
      <c r="F305" s="17">
        <v>1</v>
      </c>
      <c r="G305" s="18">
        <v>2.99</v>
      </c>
      <c r="H305" s="17">
        <v>1.4950000000000001</v>
      </c>
      <c r="I305" s="18">
        <v>2.99</v>
      </c>
      <c r="J305" s="18">
        <v>1.4950000000000001</v>
      </c>
      <c r="K305" s="37" t="str">
        <f t="shared" si="6"/>
        <v>Inexpensive</v>
      </c>
      <c r="L305" s="37"/>
      <c r="N305" s="37"/>
      <c r="O305" s="37"/>
      <c r="P305" s="37"/>
      <c r="Q305" s="37"/>
      <c r="R305" s="37"/>
      <c r="S305" s="37"/>
      <c r="T305" s="37"/>
      <c r="V305"/>
      <c r="X305"/>
    </row>
    <row r="306" spans="1:24" ht="15" customHeight="1" thickBot="1" x14ac:dyDescent="0.35">
      <c r="A306" s="38">
        <v>43480.752083333333</v>
      </c>
      <c r="B306" s="39">
        <v>141531</v>
      </c>
      <c r="C306" s="36" t="s">
        <v>120</v>
      </c>
      <c r="D306" s="17">
        <v>1150000000000</v>
      </c>
      <c r="E306" s="16" t="s">
        <v>130</v>
      </c>
      <c r="F306" s="17">
        <v>1</v>
      </c>
      <c r="G306" s="18">
        <v>300</v>
      </c>
      <c r="H306" s="17">
        <v>99</v>
      </c>
      <c r="I306" s="18">
        <v>300</v>
      </c>
      <c r="J306" s="18">
        <v>201</v>
      </c>
      <c r="K306" s="37" t="str">
        <f t="shared" si="6"/>
        <v>Inexpensive</v>
      </c>
      <c r="L306" s="37"/>
      <c r="N306" s="37"/>
      <c r="O306" s="37"/>
      <c r="P306" s="37"/>
      <c r="Q306" s="37"/>
      <c r="R306" s="37"/>
      <c r="S306" s="37"/>
      <c r="T306" s="37"/>
      <c r="V306"/>
      <c r="X306"/>
    </row>
    <row r="307" spans="1:24" ht="15" customHeight="1" thickBot="1" x14ac:dyDescent="0.35">
      <c r="A307" s="38">
        <v>43477.363888888889</v>
      </c>
      <c r="B307" s="39">
        <v>141532</v>
      </c>
      <c r="C307" s="36" t="s">
        <v>111</v>
      </c>
      <c r="D307" s="17">
        <v>8990000000000</v>
      </c>
      <c r="E307" s="16" t="s">
        <v>131</v>
      </c>
      <c r="F307" s="17">
        <v>1</v>
      </c>
      <c r="G307" s="18">
        <v>14.95</v>
      </c>
      <c r="H307" s="17">
        <v>7.4749999999999996</v>
      </c>
      <c r="I307" s="18">
        <v>14.95</v>
      </c>
      <c r="J307" s="18">
        <v>7.4749999999999996</v>
      </c>
      <c r="K307" s="37" t="str">
        <f t="shared" si="6"/>
        <v>Inexpensive</v>
      </c>
      <c r="L307" s="37"/>
      <c r="N307" s="37"/>
      <c r="O307" s="37"/>
      <c r="P307" s="37"/>
      <c r="Q307" s="37"/>
      <c r="R307" s="37"/>
      <c r="S307" s="37"/>
      <c r="T307" s="37"/>
      <c r="V307"/>
      <c r="X307"/>
    </row>
    <row r="308" spans="1:24" ht="15" customHeight="1" thickBot="1" x14ac:dyDescent="0.35">
      <c r="A308" s="38">
        <v>43466.56527777778</v>
      </c>
      <c r="B308" s="39">
        <v>141533</v>
      </c>
      <c r="C308" s="36" t="s">
        <v>125</v>
      </c>
      <c r="D308" s="17">
        <v>2640000000000</v>
      </c>
      <c r="E308" s="16" t="s">
        <v>130</v>
      </c>
      <c r="F308" s="17">
        <v>1</v>
      </c>
      <c r="G308" s="18">
        <v>379.99</v>
      </c>
      <c r="H308" s="17">
        <v>125.3967</v>
      </c>
      <c r="I308" s="18">
        <v>379.99</v>
      </c>
      <c r="J308" s="18">
        <v>254.5933</v>
      </c>
      <c r="K308" s="37" t="str">
        <f t="shared" si="6"/>
        <v>Inexpensive</v>
      </c>
      <c r="L308" s="37"/>
      <c r="N308" s="37"/>
      <c r="O308" s="37"/>
      <c r="P308" s="37"/>
      <c r="Q308" s="37"/>
      <c r="R308" s="37"/>
      <c r="S308" s="37"/>
      <c r="T308" s="37"/>
      <c r="V308"/>
      <c r="X308"/>
    </row>
    <row r="309" spans="1:24" ht="15" customHeight="1" thickBot="1" x14ac:dyDescent="0.35">
      <c r="A309" s="38">
        <v>43470.418055555558</v>
      </c>
      <c r="B309" s="39">
        <v>141534</v>
      </c>
      <c r="C309" s="36" t="s">
        <v>117</v>
      </c>
      <c r="D309" s="17">
        <v>4700000000000</v>
      </c>
      <c r="E309" s="16" t="s">
        <v>131</v>
      </c>
      <c r="F309" s="17">
        <v>1</v>
      </c>
      <c r="G309" s="18">
        <v>99.99</v>
      </c>
      <c r="H309" s="17">
        <v>49.994999999999997</v>
      </c>
      <c r="I309" s="18">
        <v>99.99</v>
      </c>
      <c r="J309" s="18">
        <v>49.994999999999997</v>
      </c>
      <c r="K309" s="37" t="str">
        <f t="shared" si="6"/>
        <v>Inexpensive</v>
      </c>
      <c r="L309" s="37"/>
      <c r="N309" s="37"/>
      <c r="O309" s="37"/>
      <c r="P309" s="37"/>
      <c r="Q309" s="37"/>
      <c r="R309" s="37"/>
      <c r="S309" s="37"/>
      <c r="T309" s="37"/>
      <c r="V309"/>
      <c r="X309"/>
    </row>
    <row r="310" spans="1:24" ht="15" customHeight="1" thickBot="1" x14ac:dyDescent="0.35">
      <c r="A310" s="38">
        <v>43468.457638888889</v>
      </c>
      <c r="B310" s="39">
        <v>141535</v>
      </c>
      <c r="C310" s="36" t="s">
        <v>112</v>
      </c>
      <c r="D310" s="17">
        <v>7290000000000</v>
      </c>
      <c r="E310" s="16" t="s">
        <v>131</v>
      </c>
      <c r="F310" s="17">
        <v>1</v>
      </c>
      <c r="G310" s="18">
        <v>11.99</v>
      </c>
      <c r="H310" s="17">
        <v>5.9950000000000001</v>
      </c>
      <c r="I310" s="18">
        <v>11.99</v>
      </c>
      <c r="J310" s="18">
        <v>5.9950000000000001</v>
      </c>
      <c r="K310" s="37" t="str">
        <f t="shared" si="6"/>
        <v>Inexpensive</v>
      </c>
      <c r="L310" s="37"/>
      <c r="N310" s="37"/>
      <c r="O310" s="37"/>
      <c r="P310" s="37"/>
      <c r="Q310" s="37"/>
      <c r="R310" s="37"/>
      <c r="S310" s="37"/>
      <c r="T310" s="37"/>
      <c r="V310"/>
      <c r="X310"/>
    </row>
    <row r="311" spans="1:24" ht="15" customHeight="1" thickBot="1" x14ac:dyDescent="0.35">
      <c r="A311" s="38">
        <v>43495.690972222219</v>
      </c>
      <c r="B311" s="39">
        <v>141536</v>
      </c>
      <c r="C311" s="36" t="s">
        <v>114</v>
      </c>
      <c r="D311" s="17">
        <v>9710000000000</v>
      </c>
      <c r="E311" s="16" t="s">
        <v>131</v>
      </c>
      <c r="F311" s="17">
        <v>1</v>
      </c>
      <c r="G311" s="18">
        <v>2.99</v>
      </c>
      <c r="H311" s="17">
        <v>1.4950000000000001</v>
      </c>
      <c r="I311" s="18">
        <v>2.99</v>
      </c>
      <c r="J311" s="18">
        <v>1.4950000000000001</v>
      </c>
      <c r="K311" s="37" t="str">
        <f t="shared" si="6"/>
        <v>Inexpensive</v>
      </c>
      <c r="L311" s="37"/>
      <c r="N311" s="37"/>
      <c r="O311" s="37"/>
      <c r="P311" s="37"/>
      <c r="Q311" s="37"/>
      <c r="R311" s="37"/>
      <c r="S311" s="37"/>
      <c r="T311" s="37"/>
      <c r="V311"/>
      <c r="X311"/>
    </row>
    <row r="312" spans="1:24" ht="15" customHeight="1" thickBot="1" x14ac:dyDescent="0.35">
      <c r="A312" s="38">
        <v>43471.400694444441</v>
      </c>
      <c r="B312" s="39">
        <v>141537</v>
      </c>
      <c r="C312" s="36" t="s">
        <v>111</v>
      </c>
      <c r="D312" s="17">
        <v>7850000000000</v>
      </c>
      <c r="E312" s="16" t="s">
        <v>130</v>
      </c>
      <c r="F312" s="17">
        <v>1</v>
      </c>
      <c r="G312" s="18">
        <v>14.95</v>
      </c>
      <c r="H312" s="17">
        <v>7.4749999999999996</v>
      </c>
      <c r="I312" s="18">
        <v>14.95</v>
      </c>
      <c r="J312" s="18">
        <v>7.4749999999999996</v>
      </c>
      <c r="K312" s="37" t="str">
        <f t="shared" si="6"/>
        <v>Inexpensive</v>
      </c>
      <c r="L312" s="37"/>
      <c r="N312" s="37"/>
      <c r="O312" s="37"/>
      <c r="P312" s="37"/>
      <c r="Q312" s="37"/>
      <c r="R312" s="37"/>
      <c r="S312" s="37"/>
      <c r="T312" s="37"/>
      <c r="V312"/>
      <c r="X312"/>
    </row>
    <row r="313" spans="1:24" ht="15" customHeight="1" thickBot="1" x14ac:dyDescent="0.35">
      <c r="A313" s="38">
        <v>43477.651388888888</v>
      </c>
      <c r="B313" s="39">
        <v>141538</v>
      </c>
      <c r="C313" s="36" t="s">
        <v>113</v>
      </c>
      <c r="D313" s="17">
        <v>7800000000000</v>
      </c>
      <c r="E313" s="16" t="s">
        <v>131</v>
      </c>
      <c r="F313" s="17">
        <v>1</v>
      </c>
      <c r="G313" s="18">
        <v>149.99</v>
      </c>
      <c r="H313" s="17">
        <v>97.493499999999997</v>
      </c>
      <c r="I313" s="18">
        <v>149.99</v>
      </c>
      <c r="J313" s="18">
        <v>52.496499999999997</v>
      </c>
      <c r="K313" s="37" t="str">
        <f t="shared" si="6"/>
        <v>Inexpensive</v>
      </c>
      <c r="L313" s="37"/>
      <c r="N313" s="37"/>
      <c r="O313" s="37"/>
      <c r="P313" s="37"/>
      <c r="Q313" s="37"/>
      <c r="R313" s="37"/>
      <c r="S313" s="37"/>
      <c r="T313" s="37"/>
      <c r="V313"/>
      <c r="X313"/>
    </row>
    <row r="314" spans="1:24" ht="15" customHeight="1" thickBot="1" x14ac:dyDescent="0.35">
      <c r="A314" s="38">
        <v>43481.640277777777</v>
      </c>
      <c r="B314" s="39">
        <v>141539</v>
      </c>
      <c r="C314" s="36" t="s">
        <v>113</v>
      </c>
      <c r="D314" s="17">
        <v>2480000000000</v>
      </c>
      <c r="E314" s="16" t="s">
        <v>130</v>
      </c>
      <c r="F314" s="17">
        <v>1</v>
      </c>
      <c r="G314" s="18">
        <v>149.99</v>
      </c>
      <c r="H314" s="17">
        <v>97.493499999999997</v>
      </c>
      <c r="I314" s="18">
        <v>149.99</v>
      </c>
      <c r="J314" s="18">
        <v>52.496499999999997</v>
      </c>
      <c r="K314" s="37" t="str">
        <f t="shared" si="6"/>
        <v>Inexpensive</v>
      </c>
      <c r="L314" s="37"/>
      <c r="N314" s="37"/>
      <c r="O314" s="37"/>
      <c r="P314" s="37"/>
      <c r="Q314" s="37"/>
      <c r="R314" s="37"/>
      <c r="S314" s="37"/>
      <c r="T314" s="37"/>
      <c r="V314"/>
      <c r="X314"/>
    </row>
    <row r="315" spans="1:24" ht="15" customHeight="1" thickBot="1" x14ac:dyDescent="0.35">
      <c r="A315" s="38">
        <v>43475.588194444441</v>
      </c>
      <c r="B315" s="39">
        <v>141540</v>
      </c>
      <c r="C315" s="36" t="s">
        <v>118</v>
      </c>
      <c r="D315" s="17">
        <v>9730000000000</v>
      </c>
      <c r="E315" s="16" t="s">
        <v>131</v>
      </c>
      <c r="F315" s="17">
        <v>1</v>
      </c>
      <c r="G315" s="18">
        <v>150</v>
      </c>
      <c r="H315" s="17">
        <v>97.5</v>
      </c>
      <c r="I315" s="18">
        <v>150</v>
      </c>
      <c r="J315" s="18">
        <v>52.5</v>
      </c>
      <c r="K315" s="37" t="str">
        <f t="shared" si="6"/>
        <v>Inexpensive</v>
      </c>
      <c r="L315" s="37"/>
      <c r="N315" s="37"/>
      <c r="O315" s="37"/>
      <c r="P315" s="37"/>
      <c r="Q315" s="37"/>
      <c r="R315" s="37"/>
      <c r="S315" s="37"/>
      <c r="T315" s="37"/>
      <c r="V315"/>
      <c r="X315"/>
    </row>
    <row r="316" spans="1:24" ht="15" customHeight="1" thickBot="1" x14ac:dyDescent="0.35">
      <c r="A316" s="38">
        <v>43492.943749999999</v>
      </c>
      <c r="B316" s="39">
        <v>141541</v>
      </c>
      <c r="C316" s="36" t="s">
        <v>114</v>
      </c>
      <c r="D316" s="17">
        <v>7480000000000</v>
      </c>
      <c r="E316" s="16" t="s">
        <v>130</v>
      </c>
      <c r="F316" s="17">
        <v>1</v>
      </c>
      <c r="G316" s="18">
        <v>2.99</v>
      </c>
      <c r="H316" s="17">
        <v>1.4950000000000001</v>
      </c>
      <c r="I316" s="18">
        <v>2.99</v>
      </c>
      <c r="J316" s="18">
        <v>1.4950000000000001</v>
      </c>
      <c r="K316" s="37" t="str">
        <f t="shared" si="6"/>
        <v>Inexpensive</v>
      </c>
      <c r="L316" s="37"/>
      <c r="N316" s="37"/>
      <c r="O316" s="37"/>
      <c r="P316" s="37"/>
      <c r="Q316" s="37"/>
      <c r="R316" s="37"/>
      <c r="S316" s="37"/>
      <c r="T316" s="37"/>
      <c r="V316"/>
      <c r="X316"/>
    </row>
    <row r="317" spans="1:24" ht="15" customHeight="1" thickBot="1" x14ac:dyDescent="0.35">
      <c r="A317" s="38">
        <v>43485.772916666669</v>
      </c>
      <c r="B317" s="39">
        <v>141542</v>
      </c>
      <c r="C317" s="36" t="s">
        <v>122</v>
      </c>
      <c r="D317" s="17">
        <v>2240000000000</v>
      </c>
      <c r="E317" s="16" t="s">
        <v>130</v>
      </c>
      <c r="F317" s="17">
        <v>1</v>
      </c>
      <c r="G317" s="18">
        <v>3.84</v>
      </c>
      <c r="H317" s="17">
        <v>1.92</v>
      </c>
      <c r="I317" s="18">
        <v>3.84</v>
      </c>
      <c r="J317" s="18">
        <v>1.92</v>
      </c>
      <c r="K317" s="37" t="str">
        <f t="shared" si="6"/>
        <v>Inexpensive</v>
      </c>
      <c r="L317" s="37"/>
      <c r="N317" s="37"/>
      <c r="O317" s="37"/>
      <c r="P317" s="37"/>
      <c r="Q317" s="37"/>
      <c r="R317" s="37"/>
      <c r="S317" s="37"/>
      <c r="T317" s="37"/>
      <c r="V317"/>
      <c r="X317"/>
    </row>
    <row r="318" spans="1:24" ht="15" customHeight="1" thickBot="1" x14ac:dyDescent="0.35">
      <c r="A318" s="38">
        <v>43490.45</v>
      </c>
      <c r="B318" s="39">
        <v>141543</v>
      </c>
      <c r="C318" s="36" t="s">
        <v>111</v>
      </c>
      <c r="D318" s="17">
        <v>3490000000000</v>
      </c>
      <c r="E318" s="16" t="s">
        <v>132</v>
      </c>
      <c r="F318" s="17">
        <v>1</v>
      </c>
      <c r="G318" s="18">
        <v>14.95</v>
      </c>
      <c r="H318" s="17">
        <v>7.4749999999999996</v>
      </c>
      <c r="I318" s="18">
        <v>14.95</v>
      </c>
      <c r="J318" s="18">
        <v>7.4749999999999996</v>
      </c>
      <c r="K318" s="37" t="str">
        <f t="shared" si="6"/>
        <v>Inexpensive</v>
      </c>
      <c r="L318" s="37"/>
      <c r="N318" s="37"/>
      <c r="O318" s="37"/>
      <c r="P318" s="37"/>
      <c r="Q318" s="37"/>
      <c r="R318" s="37"/>
      <c r="S318" s="37"/>
      <c r="T318" s="37"/>
      <c r="V318"/>
      <c r="X318"/>
    </row>
    <row r="319" spans="1:24" ht="15" customHeight="1" thickBot="1" x14ac:dyDescent="0.35">
      <c r="A319" s="38">
        <v>43468.772222222222</v>
      </c>
      <c r="B319" s="39">
        <v>141544</v>
      </c>
      <c r="C319" s="36" t="s">
        <v>111</v>
      </c>
      <c r="D319" s="17">
        <v>9150000000000</v>
      </c>
      <c r="E319" s="16" t="s">
        <v>131</v>
      </c>
      <c r="F319" s="17">
        <v>1</v>
      </c>
      <c r="G319" s="18">
        <v>14.95</v>
      </c>
      <c r="H319" s="17">
        <v>7.4749999999999996</v>
      </c>
      <c r="I319" s="18">
        <v>14.95</v>
      </c>
      <c r="J319" s="18">
        <v>7.4749999999999996</v>
      </c>
      <c r="K319" s="37" t="str">
        <f t="shared" si="6"/>
        <v>Inexpensive</v>
      </c>
      <c r="L319" s="37"/>
      <c r="N319" s="37"/>
      <c r="O319" s="37"/>
      <c r="P319" s="37"/>
      <c r="Q319" s="37"/>
      <c r="R319" s="37"/>
      <c r="S319" s="37"/>
      <c r="T319" s="37"/>
      <c r="V319"/>
      <c r="X319"/>
    </row>
    <row r="320" spans="1:24" ht="15" customHeight="1" thickBot="1" x14ac:dyDescent="0.35">
      <c r="A320" s="38">
        <v>43481.845138888886</v>
      </c>
      <c r="B320" s="39">
        <v>141545</v>
      </c>
      <c r="C320" s="36" t="s">
        <v>123</v>
      </c>
      <c r="D320" s="17">
        <v>9480000000000</v>
      </c>
      <c r="E320" s="16" t="s">
        <v>130</v>
      </c>
      <c r="F320" s="17">
        <v>1</v>
      </c>
      <c r="G320" s="18">
        <v>600</v>
      </c>
      <c r="H320" s="17">
        <v>198</v>
      </c>
      <c r="I320" s="18">
        <v>600</v>
      </c>
      <c r="J320" s="18">
        <v>402</v>
      </c>
      <c r="K320" s="37" t="str">
        <f t="shared" si="6"/>
        <v>Inexpensive</v>
      </c>
      <c r="L320" s="37"/>
      <c r="N320" s="37"/>
      <c r="O320" s="37"/>
      <c r="P320" s="37"/>
      <c r="Q320" s="37"/>
      <c r="R320" s="37"/>
      <c r="S320" s="37"/>
      <c r="T320" s="37"/>
      <c r="V320"/>
      <c r="X320"/>
    </row>
    <row r="321" spans="1:24" ht="15" customHeight="1" thickBot="1" x14ac:dyDescent="0.35">
      <c r="A321" s="38">
        <v>43487.11041666667</v>
      </c>
      <c r="B321" s="39">
        <v>141546</v>
      </c>
      <c r="C321" s="36" t="s">
        <v>124</v>
      </c>
      <c r="D321" s="17">
        <v>3050000000000</v>
      </c>
      <c r="E321" s="16" t="s">
        <v>131</v>
      </c>
      <c r="F321" s="17">
        <v>1</v>
      </c>
      <c r="G321" s="18">
        <v>109.99</v>
      </c>
      <c r="H321" s="17">
        <v>71.493499999999997</v>
      </c>
      <c r="I321" s="18">
        <v>109.99</v>
      </c>
      <c r="J321" s="18">
        <v>38.496499999999997</v>
      </c>
      <c r="K321" s="37" t="str">
        <f t="shared" si="6"/>
        <v>Inexpensive</v>
      </c>
      <c r="L321" s="37"/>
      <c r="N321" s="37"/>
      <c r="O321" s="37"/>
      <c r="P321" s="37"/>
      <c r="Q321" s="37"/>
      <c r="R321" s="37"/>
      <c r="S321" s="37"/>
      <c r="T321" s="37"/>
      <c r="V321"/>
      <c r="X321"/>
    </row>
    <row r="322" spans="1:24" ht="15" customHeight="1" thickBot="1" x14ac:dyDescent="0.35">
      <c r="A322" s="38">
        <v>43477.43472222222</v>
      </c>
      <c r="B322" s="39">
        <v>141547</v>
      </c>
      <c r="C322" s="36" t="s">
        <v>116</v>
      </c>
      <c r="D322" s="17">
        <v>3410000000000</v>
      </c>
      <c r="E322" s="16" t="s">
        <v>131</v>
      </c>
      <c r="F322" s="17">
        <v>2</v>
      </c>
      <c r="G322" s="18">
        <v>11.95</v>
      </c>
      <c r="H322" s="17">
        <v>5.9749999999999996</v>
      </c>
      <c r="I322" s="18">
        <v>23.9</v>
      </c>
      <c r="J322" s="18">
        <v>11.95</v>
      </c>
      <c r="K322" s="37" t="str">
        <f t="shared" si="6"/>
        <v>Inexpensive</v>
      </c>
      <c r="L322" s="37"/>
      <c r="N322" s="37"/>
      <c r="O322" s="37"/>
      <c r="P322" s="37"/>
      <c r="Q322" s="37"/>
      <c r="R322" s="37"/>
      <c r="S322" s="37"/>
      <c r="T322" s="37"/>
      <c r="V322"/>
      <c r="X322"/>
    </row>
    <row r="323" spans="1:24" ht="15" customHeight="1" thickBot="1" x14ac:dyDescent="0.35">
      <c r="A323" s="38">
        <v>43476.958333333336</v>
      </c>
      <c r="B323" s="39">
        <v>141548</v>
      </c>
      <c r="C323" s="36" t="s">
        <v>111</v>
      </c>
      <c r="D323" s="17">
        <v>9830000000000</v>
      </c>
      <c r="E323" s="16" t="s">
        <v>130</v>
      </c>
      <c r="F323" s="17">
        <v>1</v>
      </c>
      <c r="G323" s="18">
        <v>14.95</v>
      </c>
      <c r="H323" s="17">
        <v>7.4749999999999996</v>
      </c>
      <c r="I323" s="18">
        <v>14.95</v>
      </c>
      <c r="J323" s="18">
        <v>7.4749999999999996</v>
      </c>
      <c r="K323" s="37" t="str">
        <f t="shared" ref="K323:K386" si="7">IF(G323&gt;=700,"Expensive","Inexpensive")</f>
        <v>Inexpensive</v>
      </c>
      <c r="L323" s="37"/>
      <c r="N323" s="37"/>
      <c r="O323" s="37"/>
      <c r="P323" s="37"/>
      <c r="Q323" s="37"/>
      <c r="R323" s="37"/>
      <c r="S323" s="37"/>
      <c r="T323" s="37"/>
      <c r="V323"/>
      <c r="X323"/>
    </row>
    <row r="324" spans="1:24" ht="15" customHeight="1" thickBot="1" x14ac:dyDescent="0.35">
      <c r="A324" s="38">
        <v>43480.453472222223</v>
      </c>
      <c r="B324" s="39">
        <v>141549</v>
      </c>
      <c r="C324" s="36" t="s">
        <v>113</v>
      </c>
      <c r="D324" s="17">
        <v>8770000000000</v>
      </c>
      <c r="E324" s="16" t="s">
        <v>132</v>
      </c>
      <c r="F324" s="17">
        <v>1</v>
      </c>
      <c r="G324" s="18">
        <v>149.99</v>
      </c>
      <c r="H324" s="17">
        <v>97.493499999999997</v>
      </c>
      <c r="I324" s="18">
        <v>149.99</v>
      </c>
      <c r="J324" s="18">
        <v>52.496499999999997</v>
      </c>
      <c r="K324" s="37" t="str">
        <f t="shared" si="7"/>
        <v>Inexpensive</v>
      </c>
      <c r="L324" s="37"/>
      <c r="N324" s="37"/>
      <c r="O324" s="37"/>
      <c r="P324" s="37"/>
      <c r="Q324" s="37"/>
      <c r="R324" s="37"/>
      <c r="S324" s="37"/>
      <c r="T324" s="37"/>
      <c r="V324"/>
      <c r="X324"/>
    </row>
    <row r="325" spans="1:24" ht="15" customHeight="1" thickBot="1" x14ac:dyDescent="0.35">
      <c r="A325" s="38">
        <v>43496.456944444442</v>
      </c>
      <c r="B325" s="40">
        <v>141550</v>
      </c>
      <c r="C325" s="36" t="s">
        <v>118</v>
      </c>
      <c r="D325" s="17">
        <v>2850000000000</v>
      </c>
      <c r="E325" s="16" t="s">
        <v>130</v>
      </c>
      <c r="F325" s="17">
        <v>2</v>
      </c>
      <c r="G325" s="18">
        <v>150</v>
      </c>
      <c r="H325" s="17">
        <v>97.5</v>
      </c>
      <c r="I325" s="18">
        <v>300</v>
      </c>
      <c r="J325" s="18">
        <v>105</v>
      </c>
      <c r="K325" s="37" t="str">
        <f t="shared" si="7"/>
        <v>Inexpensive</v>
      </c>
      <c r="L325" s="37"/>
      <c r="N325" s="37"/>
      <c r="O325" s="37"/>
      <c r="P325" s="37"/>
      <c r="Q325" s="37"/>
      <c r="R325" s="37"/>
      <c r="S325" s="37"/>
      <c r="T325" s="37"/>
      <c r="V325"/>
      <c r="X325"/>
    </row>
    <row r="326" spans="1:24" ht="15" customHeight="1" thickBot="1" x14ac:dyDescent="0.35">
      <c r="A326" s="38">
        <v>43496.456944444442</v>
      </c>
      <c r="B326" s="40">
        <v>141550</v>
      </c>
      <c r="C326" s="36" t="s">
        <v>110</v>
      </c>
      <c r="D326" s="17">
        <v>4590000000000</v>
      </c>
      <c r="E326" s="16" t="s">
        <v>130</v>
      </c>
      <c r="F326" s="17">
        <v>1</v>
      </c>
      <c r="G326" s="18">
        <v>700</v>
      </c>
      <c r="H326" s="17">
        <v>231</v>
      </c>
      <c r="I326" s="18">
        <v>700</v>
      </c>
      <c r="J326" s="18">
        <v>469</v>
      </c>
      <c r="K326" s="37" t="str">
        <f t="shared" si="7"/>
        <v>Expensive</v>
      </c>
      <c r="L326" s="37"/>
      <c r="N326" s="37"/>
      <c r="O326" s="37"/>
      <c r="P326" s="37"/>
      <c r="Q326" s="37"/>
      <c r="R326" s="37"/>
      <c r="S326" s="37"/>
      <c r="T326" s="37"/>
      <c r="V326"/>
      <c r="X326"/>
    </row>
    <row r="327" spans="1:24" ht="15" customHeight="1" thickBot="1" x14ac:dyDescent="0.35">
      <c r="A327" s="38">
        <v>43496.456944444442</v>
      </c>
      <c r="B327" s="40">
        <v>141550</v>
      </c>
      <c r="C327" s="36" t="s">
        <v>112</v>
      </c>
      <c r="D327" s="17">
        <v>1450000000000</v>
      </c>
      <c r="E327" s="16" t="s">
        <v>130</v>
      </c>
      <c r="F327" s="17">
        <v>1</v>
      </c>
      <c r="G327" s="18">
        <v>11.99</v>
      </c>
      <c r="H327" s="17">
        <v>5.9950000000000001</v>
      </c>
      <c r="I327" s="18">
        <v>11.99</v>
      </c>
      <c r="J327" s="18">
        <v>5.9950000000000001</v>
      </c>
      <c r="K327" s="37" t="str">
        <f t="shared" si="7"/>
        <v>Inexpensive</v>
      </c>
      <c r="L327" s="37"/>
      <c r="N327" s="37"/>
      <c r="O327" s="37"/>
      <c r="P327" s="37"/>
      <c r="Q327" s="37"/>
      <c r="R327" s="37"/>
      <c r="S327" s="37"/>
      <c r="T327" s="37"/>
      <c r="V327"/>
      <c r="X327"/>
    </row>
    <row r="328" spans="1:24" ht="15" customHeight="1" thickBot="1" x14ac:dyDescent="0.35">
      <c r="A328" s="38">
        <v>43484.693749999999</v>
      </c>
      <c r="B328" s="39">
        <v>141551</v>
      </c>
      <c r="C328" s="36" t="s">
        <v>111</v>
      </c>
      <c r="D328" s="17">
        <v>2360000000000</v>
      </c>
      <c r="E328" s="16" t="s">
        <v>132</v>
      </c>
      <c r="F328" s="17">
        <v>2</v>
      </c>
      <c r="G328" s="18">
        <v>14.95</v>
      </c>
      <c r="H328" s="17">
        <v>7.4749999999999996</v>
      </c>
      <c r="I328" s="18">
        <v>29.9</v>
      </c>
      <c r="J328" s="18">
        <v>14.95</v>
      </c>
      <c r="K328" s="37" t="str">
        <f t="shared" si="7"/>
        <v>Inexpensive</v>
      </c>
      <c r="L328" s="37"/>
      <c r="N328" s="37"/>
      <c r="O328" s="37"/>
      <c r="P328" s="37"/>
      <c r="Q328" s="37"/>
      <c r="R328" s="37"/>
      <c r="S328" s="37"/>
      <c r="T328" s="37"/>
      <c r="V328"/>
      <c r="X328"/>
    </row>
    <row r="329" spans="1:24" ht="15" customHeight="1" thickBot="1" x14ac:dyDescent="0.35">
      <c r="A329" s="38">
        <v>43475.444444444445</v>
      </c>
      <c r="B329" s="39">
        <v>141552</v>
      </c>
      <c r="C329" s="36" t="s">
        <v>117</v>
      </c>
      <c r="D329" s="17">
        <v>2850000000000</v>
      </c>
      <c r="E329" s="16" t="s">
        <v>130</v>
      </c>
      <c r="F329" s="17">
        <v>1</v>
      </c>
      <c r="G329" s="18">
        <v>99.99</v>
      </c>
      <c r="H329" s="17">
        <v>49.994999999999997</v>
      </c>
      <c r="I329" s="18">
        <v>99.99</v>
      </c>
      <c r="J329" s="18">
        <v>49.994999999999997</v>
      </c>
      <c r="K329" s="37" t="str">
        <f t="shared" si="7"/>
        <v>Inexpensive</v>
      </c>
      <c r="L329" s="37"/>
      <c r="N329" s="37"/>
      <c r="O329" s="37"/>
      <c r="P329" s="37"/>
      <c r="Q329" s="37"/>
      <c r="R329" s="37"/>
      <c r="S329" s="37"/>
      <c r="T329" s="37"/>
      <c r="V329"/>
      <c r="X329"/>
    </row>
    <row r="330" spans="1:24" ht="15" customHeight="1" thickBot="1" x14ac:dyDescent="0.35">
      <c r="A330" s="38">
        <v>43492.004861111112</v>
      </c>
      <c r="B330" s="39">
        <v>141553</v>
      </c>
      <c r="C330" s="36" t="s">
        <v>117</v>
      </c>
      <c r="D330" s="17">
        <v>5050000000000</v>
      </c>
      <c r="E330" s="16" t="s">
        <v>132</v>
      </c>
      <c r="F330" s="17">
        <v>1</v>
      </c>
      <c r="G330" s="18">
        <v>99.99</v>
      </c>
      <c r="H330" s="17">
        <v>49.994999999999997</v>
      </c>
      <c r="I330" s="18">
        <v>99.99</v>
      </c>
      <c r="J330" s="18">
        <v>49.994999999999997</v>
      </c>
      <c r="K330" s="37" t="str">
        <f t="shared" si="7"/>
        <v>Inexpensive</v>
      </c>
      <c r="L330" s="37"/>
      <c r="N330" s="37"/>
      <c r="O330" s="37"/>
      <c r="P330" s="37"/>
      <c r="Q330" s="37"/>
      <c r="R330" s="37"/>
      <c r="S330" s="37"/>
      <c r="T330" s="37"/>
      <c r="V330"/>
      <c r="X330"/>
    </row>
    <row r="331" spans="1:24" ht="15" customHeight="1" thickBot="1" x14ac:dyDescent="0.35">
      <c r="A331" s="38">
        <v>43469.539583333331</v>
      </c>
      <c r="B331" s="39">
        <v>141554</v>
      </c>
      <c r="C331" s="36" t="s">
        <v>116</v>
      </c>
      <c r="D331" s="17">
        <v>3720000000000</v>
      </c>
      <c r="E331" s="16" t="s">
        <v>130</v>
      </c>
      <c r="F331" s="17">
        <v>1</v>
      </c>
      <c r="G331" s="18">
        <v>11.95</v>
      </c>
      <c r="H331" s="17">
        <v>5.9749999999999996</v>
      </c>
      <c r="I331" s="18">
        <v>11.95</v>
      </c>
      <c r="J331" s="18">
        <v>5.9749999999999996</v>
      </c>
      <c r="K331" s="37" t="str">
        <f t="shared" si="7"/>
        <v>Inexpensive</v>
      </c>
      <c r="L331" s="37"/>
      <c r="N331" s="37"/>
      <c r="O331" s="37"/>
      <c r="P331" s="37"/>
      <c r="Q331" s="37"/>
      <c r="R331" s="37"/>
      <c r="S331" s="37"/>
      <c r="T331" s="37"/>
      <c r="V331"/>
      <c r="X331"/>
    </row>
    <row r="332" spans="1:24" ht="15" customHeight="1" thickBot="1" x14ac:dyDescent="0.35">
      <c r="A332" s="38">
        <v>43480.429166666669</v>
      </c>
      <c r="B332" s="39">
        <v>141555</v>
      </c>
      <c r="C332" s="36" t="s">
        <v>114</v>
      </c>
      <c r="D332" s="17">
        <v>4100000000000</v>
      </c>
      <c r="E332" s="16" t="s">
        <v>132</v>
      </c>
      <c r="F332" s="17">
        <v>3</v>
      </c>
      <c r="G332" s="18">
        <v>2.99</v>
      </c>
      <c r="H332" s="17">
        <v>1.4950000000000001</v>
      </c>
      <c r="I332" s="18">
        <v>8.9700000000000006</v>
      </c>
      <c r="J332" s="18">
        <v>4.4850000000000003</v>
      </c>
      <c r="K332" s="37" t="str">
        <f t="shared" si="7"/>
        <v>Inexpensive</v>
      </c>
      <c r="L332" s="37"/>
      <c r="N332" s="37"/>
      <c r="O332" s="37"/>
      <c r="P332" s="37"/>
      <c r="Q332" s="37"/>
      <c r="R332" s="37"/>
      <c r="S332" s="37"/>
      <c r="T332" s="37"/>
      <c r="V332"/>
      <c r="X332"/>
    </row>
    <row r="333" spans="1:24" ht="15" customHeight="1" thickBot="1" x14ac:dyDescent="0.35">
      <c r="A333" s="38">
        <v>43494.421527777777</v>
      </c>
      <c r="B333" s="39">
        <v>141556</v>
      </c>
      <c r="C333" s="36" t="s">
        <v>116</v>
      </c>
      <c r="D333" s="17">
        <v>1170000000000</v>
      </c>
      <c r="E333" s="16" t="s">
        <v>132</v>
      </c>
      <c r="F333" s="17">
        <v>1</v>
      </c>
      <c r="G333" s="18">
        <v>11.95</v>
      </c>
      <c r="H333" s="17">
        <v>5.9749999999999996</v>
      </c>
      <c r="I333" s="18">
        <v>11.95</v>
      </c>
      <c r="J333" s="18">
        <v>5.9749999999999996</v>
      </c>
      <c r="K333" s="37" t="str">
        <f t="shared" si="7"/>
        <v>Inexpensive</v>
      </c>
      <c r="L333" s="37"/>
      <c r="N333" s="37"/>
      <c r="O333" s="37"/>
      <c r="P333" s="37"/>
      <c r="Q333" s="37"/>
      <c r="R333" s="37"/>
      <c r="S333" s="37"/>
      <c r="T333" s="37"/>
      <c r="V333"/>
      <c r="X333"/>
    </row>
    <row r="334" spans="1:24" ht="15" customHeight="1" thickBot="1" x14ac:dyDescent="0.35">
      <c r="A334" s="38">
        <v>43488.95416666667</v>
      </c>
      <c r="B334" s="39">
        <v>141557</v>
      </c>
      <c r="C334" s="36" t="s">
        <v>111</v>
      </c>
      <c r="D334" s="17">
        <v>4640000000000</v>
      </c>
      <c r="E334" s="16" t="s">
        <v>131</v>
      </c>
      <c r="F334" s="17">
        <v>1</v>
      </c>
      <c r="G334" s="18">
        <v>14.95</v>
      </c>
      <c r="H334" s="17">
        <v>7.4749999999999996</v>
      </c>
      <c r="I334" s="18">
        <v>14.95</v>
      </c>
      <c r="J334" s="18">
        <v>7.4749999999999996</v>
      </c>
      <c r="K334" s="37" t="str">
        <f t="shared" si="7"/>
        <v>Inexpensive</v>
      </c>
      <c r="L334" s="37"/>
      <c r="N334" s="37"/>
      <c r="O334" s="37"/>
      <c r="P334" s="37"/>
      <c r="Q334" s="37"/>
      <c r="R334" s="37"/>
      <c r="S334" s="37"/>
      <c r="T334" s="37"/>
      <c r="V334"/>
      <c r="X334"/>
    </row>
    <row r="335" spans="1:24" ht="15" customHeight="1" thickBot="1" x14ac:dyDescent="0.35">
      <c r="A335" s="38">
        <v>43466.509722222225</v>
      </c>
      <c r="B335" s="39">
        <v>141558</v>
      </c>
      <c r="C335" s="36" t="s">
        <v>115</v>
      </c>
      <c r="D335" s="17">
        <v>2300000000000</v>
      </c>
      <c r="E335" s="16" t="s">
        <v>131</v>
      </c>
      <c r="F335" s="17">
        <v>1</v>
      </c>
      <c r="G335" s="18">
        <v>389.99</v>
      </c>
      <c r="H335" s="17">
        <v>128.69669999999999</v>
      </c>
      <c r="I335" s="18">
        <v>389.99</v>
      </c>
      <c r="J335" s="18">
        <v>261.29329999999999</v>
      </c>
      <c r="K335" s="37" t="str">
        <f t="shared" si="7"/>
        <v>Inexpensive</v>
      </c>
      <c r="L335" s="37"/>
      <c r="N335" s="37"/>
      <c r="O335" s="37"/>
      <c r="P335" s="37"/>
      <c r="Q335" s="37"/>
      <c r="R335" s="37"/>
      <c r="S335" s="37"/>
      <c r="T335" s="37"/>
      <c r="V335"/>
      <c r="X335"/>
    </row>
    <row r="336" spans="1:24" ht="15" customHeight="1" thickBot="1" x14ac:dyDescent="0.35">
      <c r="A336" s="38">
        <v>43491.922222222223</v>
      </c>
      <c r="B336" s="39">
        <v>141559</v>
      </c>
      <c r="C336" s="36" t="s">
        <v>112</v>
      </c>
      <c r="D336" s="17">
        <v>4730000000000</v>
      </c>
      <c r="E336" s="16" t="s">
        <v>132</v>
      </c>
      <c r="F336" s="17">
        <v>1</v>
      </c>
      <c r="G336" s="18">
        <v>11.99</v>
      </c>
      <c r="H336" s="17">
        <v>5.9950000000000001</v>
      </c>
      <c r="I336" s="18">
        <v>11.99</v>
      </c>
      <c r="J336" s="18">
        <v>5.9950000000000001</v>
      </c>
      <c r="K336" s="37" t="str">
        <f t="shared" si="7"/>
        <v>Inexpensive</v>
      </c>
      <c r="L336" s="37"/>
      <c r="N336" s="37"/>
      <c r="O336" s="37"/>
      <c r="P336" s="37"/>
      <c r="Q336" s="37"/>
      <c r="R336" s="37"/>
      <c r="S336" s="37"/>
      <c r="T336" s="37"/>
      <c r="V336"/>
      <c r="X336"/>
    </row>
    <row r="337" spans="1:24" ht="15" customHeight="1" thickBot="1" x14ac:dyDescent="0.35">
      <c r="A337" s="38">
        <v>43474.56527777778</v>
      </c>
      <c r="B337" s="39">
        <v>141560</v>
      </c>
      <c r="C337" s="36" t="s">
        <v>125</v>
      </c>
      <c r="D337" s="17">
        <v>3360000000000</v>
      </c>
      <c r="E337" s="16" t="s">
        <v>132</v>
      </c>
      <c r="F337" s="17">
        <v>1</v>
      </c>
      <c r="G337" s="18">
        <v>379.99</v>
      </c>
      <c r="H337" s="17">
        <v>125.3967</v>
      </c>
      <c r="I337" s="18">
        <v>379.99</v>
      </c>
      <c r="J337" s="18">
        <v>254.5933</v>
      </c>
      <c r="K337" s="37" t="str">
        <f t="shared" si="7"/>
        <v>Inexpensive</v>
      </c>
      <c r="L337" s="37"/>
      <c r="N337" s="37"/>
      <c r="O337" s="37"/>
      <c r="P337" s="37"/>
      <c r="Q337" s="37"/>
      <c r="R337" s="37"/>
      <c r="S337" s="37"/>
      <c r="T337" s="37"/>
      <c r="V337"/>
      <c r="X337"/>
    </row>
    <row r="338" spans="1:24" ht="15" customHeight="1" thickBot="1" x14ac:dyDescent="0.35">
      <c r="A338" s="38">
        <v>43474.72152777778</v>
      </c>
      <c r="B338" s="39">
        <v>141561</v>
      </c>
      <c r="C338" s="36" t="s">
        <v>112</v>
      </c>
      <c r="D338" s="17">
        <v>5750000000000</v>
      </c>
      <c r="E338" s="16" t="s">
        <v>131</v>
      </c>
      <c r="F338" s="17">
        <v>1</v>
      </c>
      <c r="G338" s="18">
        <v>11.99</v>
      </c>
      <c r="H338" s="17">
        <v>5.9950000000000001</v>
      </c>
      <c r="I338" s="18">
        <v>11.99</v>
      </c>
      <c r="J338" s="18">
        <v>5.9950000000000001</v>
      </c>
      <c r="K338" s="37" t="str">
        <f t="shared" si="7"/>
        <v>Inexpensive</v>
      </c>
      <c r="L338" s="37"/>
      <c r="N338" s="37"/>
      <c r="O338" s="37"/>
      <c r="P338" s="37"/>
      <c r="Q338" s="37"/>
      <c r="R338" s="37"/>
      <c r="S338" s="37"/>
      <c r="T338" s="37"/>
      <c r="V338"/>
      <c r="X338"/>
    </row>
    <row r="339" spans="1:24" ht="15" customHeight="1" thickBot="1" x14ac:dyDescent="0.35">
      <c r="A339" s="38">
        <v>43494.532638888886</v>
      </c>
      <c r="B339" s="39">
        <v>141562</v>
      </c>
      <c r="C339" s="36" t="s">
        <v>117</v>
      </c>
      <c r="D339" s="17">
        <v>4120000000000</v>
      </c>
      <c r="E339" s="16" t="s">
        <v>131</v>
      </c>
      <c r="F339" s="17">
        <v>1</v>
      </c>
      <c r="G339" s="18">
        <v>99.99</v>
      </c>
      <c r="H339" s="17">
        <v>49.994999999999997</v>
      </c>
      <c r="I339" s="18">
        <v>99.99</v>
      </c>
      <c r="J339" s="18">
        <v>49.994999999999997</v>
      </c>
      <c r="K339" s="37" t="str">
        <f t="shared" si="7"/>
        <v>Inexpensive</v>
      </c>
      <c r="L339" s="37"/>
      <c r="N339" s="37"/>
      <c r="O339" s="37"/>
      <c r="P339" s="37"/>
      <c r="Q339" s="37"/>
      <c r="R339" s="37"/>
      <c r="S339" s="37"/>
      <c r="T339" s="37"/>
      <c r="V339"/>
      <c r="X339"/>
    </row>
    <row r="340" spans="1:24" ht="15" customHeight="1" thickBot="1" x14ac:dyDescent="0.35">
      <c r="A340" s="38">
        <v>43480.661111111112</v>
      </c>
      <c r="B340" s="39">
        <v>141563</v>
      </c>
      <c r="C340" s="36" t="s">
        <v>116</v>
      </c>
      <c r="D340" s="17">
        <v>2690000000000</v>
      </c>
      <c r="E340" s="16" t="s">
        <v>131</v>
      </c>
      <c r="F340" s="17">
        <v>1</v>
      </c>
      <c r="G340" s="18">
        <v>11.95</v>
      </c>
      <c r="H340" s="17">
        <v>5.9749999999999996</v>
      </c>
      <c r="I340" s="18">
        <v>11.95</v>
      </c>
      <c r="J340" s="18">
        <v>5.9749999999999996</v>
      </c>
      <c r="K340" s="37" t="str">
        <f t="shared" si="7"/>
        <v>Inexpensive</v>
      </c>
      <c r="L340" s="37"/>
      <c r="N340" s="37"/>
      <c r="O340" s="37"/>
      <c r="P340" s="37"/>
      <c r="Q340" s="37"/>
      <c r="R340" s="37"/>
      <c r="S340" s="37"/>
      <c r="T340" s="37"/>
      <c r="V340"/>
      <c r="X340"/>
    </row>
    <row r="341" spans="1:24" ht="15" customHeight="1" thickBot="1" x14ac:dyDescent="0.35">
      <c r="A341" s="38">
        <v>43494.460416666669</v>
      </c>
      <c r="B341" s="39">
        <v>141564</v>
      </c>
      <c r="C341" s="36" t="s">
        <v>118</v>
      </c>
      <c r="D341" s="17">
        <v>4780000000000</v>
      </c>
      <c r="E341" s="16" t="s">
        <v>132</v>
      </c>
      <c r="F341" s="17">
        <v>1</v>
      </c>
      <c r="G341" s="18">
        <v>150</v>
      </c>
      <c r="H341" s="17">
        <v>97.5</v>
      </c>
      <c r="I341" s="18">
        <v>150</v>
      </c>
      <c r="J341" s="18">
        <v>52.5</v>
      </c>
      <c r="K341" s="37" t="str">
        <f t="shared" si="7"/>
        <v>Inexpensive</v>
      </c>
      <c r="L341" s="37"/>
      <c r="N341" s="37"/>
      <c r="O341" s="37"/>
      <c r="P341" s="37"/>
      <c r="Q341" s="37"/>
      <c r="R341" s="37"/>
      <c r="S341" s="37"/>
      <c r="T341" s="37"/>
      <c r="V341"/>
      <c r="X341"/>
    </row>
    <row r="342" spans="1:24" ht="15" customHeight="1" thickBot="1" x14ac:dyDescent="0.35">
      <c r="A342" s="38">
        <v>43478.253472222219</v>
      </c>
      <c r="B342" s="39">
        <v>141565</v>
      </c>
      <c r="C342" s="36" t="s">
        <v>112</v>
      </c>
      <c r="D342" s="17">
        <v>9970000000000</v>
      </c>
      <c r="E342" s="16" t="s">
        <v>130</v>
      </c>
      <c r="F342" s="17">
        <v>1</v>
      </c>
      <c r="G342" s="18">
        <v>11.99</v>
      </c>
      <c r="H342" s="17">
        <v>5.9950000000000001</v>
      </c>
      <c r="I342" s="18">
        <v>11.99</v>
      </c>
      <c r="J342" s="18">
        <v>5.9950000000000001</v>
      </c>
      <c r="K342" s="37" t="str">
        <f t="shared" si="7"/>
        <v>Inexpensive</v>
      </c>
      <c r="L342" s="37"/>
      <c r="N342" s="37"/>
      <c r="O342" s="37"/>
      <c r="P342" s="37"/>
      <c r="Q342" s="37"/>
      <c r="R342" s="37"/>
      <c r="S342" s="37"/>
      <c r="T342" s="37"/>
      <c r="V342"/>
      <c r="X342"/>
    </row>
    <row r="343" spans="1:24" ht="15" customHeight="1" thickBot="1" x14ac:dyDescent="0.35">
      <c r="A343" s="38">
        <v>43478.77847222222</v>
      </c>
      <c r="B343" s="39">
        <v>141566</v>
      </c>
      <c r="C343" s="36" t="s">
        <v>113</v>
      </c>
      <c r="D343" s="17">
        <v>4500000000000</v>
      </c>
      <c r="E343" s="16" t="s">
        <v>131</v>
      </c>
      <c r="F343" s="17">
        <v>1</v>
      </c>
      <c r="G343" s="18">
        <v>149.99</v>
      </c>
      <c r="H343" s="17">
        <v>97.493499999999997</v>
      </c>
      <c r="I343" s="18">
        <v>149.99</v>
      </c>
      <c r="J343" s="18">
        <v>52.496499999999997</v>
      </c>
      <c r="K343" s="37" t="str">
        <f t="shared" si="7"/>
        <v>Inexpensive</v>
      </c>
      <c r="L343" s="37"/>
      <c r="N343" s="37"/>
      <c r="O343" s="37"/>
      <c r="P343" s="37"/>
      <c r="Q343" s="37"/>
      <c r="R343" s="37"/>
      <c r="S343" s="37"/>
      <c r="T343" s="37"/>
      <c r="V343"/>
      <c r="X343"/>
    </row>
    <row r="344" spans="1:24" ht="15" customHeight="1" thickBot="1" x14ac:dyDescent="0.35">
      <c r="A344" s="38">
        <v>43474.859027777777</v>
      </c>
      <c r="B344" s="39">
        <v>141567</v>
      </c>
      <c r="C344" s="36" t="s">
        <v>111</v>
      </c>
      <c r="D344" s="17">
        <v>4130000000000</v>
      </c>
      <c r="E344" s="16" t="s">
        <v>130</v>
      </c>
      <c r="F344" s="17">
        <v>1</v>
      </c>
      <c r="G344" s="18">
        <v>14.95</v>
      </c>
      <c r="H344" s="17">
        <v>7.4749999999999996</v>
      </c>
      <c r="I344" s="18">
        <v>14.95</v>
      </c>
      <c r="J344" s="18">
        <v>7.4749999999999996</v>
      </c>
      <c r="K344" s="37" t="str">
        <f t="shared" si="7"/>
        <v>Inexpensive</v>
      </c>
      <c r="L344" s="37"/>
      <c r="N344" s="37"/>
      <c r="O344" s="37"/>
      <c r="P344" s="37"/>
      <c r="Q344" s="37"/>
      <c r="R344" s="37"/>
      <c r="S344" s="37"/>
      <c r="T344" s="37"/>
      <c r="V344"/>
      <c r="X344"/>
    </row>
    <row r="345" spans="1:24" ht="15" customHeight="1" thickBot="1" x14ac:dyDescent="0.35">
      <c r="A345" s="38">
        <v>43491.854166666664</v>
      </c>
      <c r="B345" s="39">
        <v>141568</v>
      </c>
      <c r="C345" s="36" t="s">
        <v>126</v>
      </c>
      <c r="D345" s="17">
        <v>6410000000000</v>
      </c>
      <c r="E345" s="16" t="s">
        <v>132</v>
      </c>
      <c r="F345" s="17">
        <v>1</v>
      </c>
      <c r="G345" s="18">
        <v>999.99</v>
      </c>
      <c r="H345" s="17">
        <v>329.99669999999998</v>
      </c>
      <c r="I345" s="18">
        <v>999.99</v>
      </c>
      <c r="J345" s="18">
        <v>669.99329999999998</v>
      </c>
      <c r="K345" s="37" t="str">
        <f t="shared" si="7"/>
        <v>Expensive</v>
      </c>
      <c r="L345" s="37"/>
      <c r="N345" s="37"/>
      <c r="O345" s="37"/>
      <c r="P345" s="37"/>
      <c r="Q345" s="37"/>
      <c r="R345" s="37"/>
      <c r="S345" s="37"/>
      <c r="T345" s="37"/>
      <c r="V345"/>
      <c r="X345"/>
    </row>
    <row r="346" spans="1:24" ht="15" customHeight="1" thickBot="1" x14ac:dyDescent="0.35">
      <c r="A346" s="38">
        <v>43476.46875</v>
      </c>
      <c r="B346" s="39">
        <v>141569</v>
      </c>
      <c r="C346" s="36" t="s">
        <v>119</v>
      </c>
      <c r="D346" s="17">
        <v>2630000000000</v>
      </c>
      <c r="E346" s="16" t="s">
        <v>132</v>
      </c>
      <c r="F346" s="17">
        <v>1</v>
      </c>
      <c r="G346" s="18">
        <v>1700</v>
      </c>
      <c r="H346" s="17">
        <v>561</v>
      </c>
      <c r="I346" s="18">
        <v>1700</v>
      </c>
      <c r="J346" s="18">
        <v>1139</v>
      </c>
      <c r="K346" s="37" t="str">
        <f t="shared" si="7"/>
        <v>Expensive</v>
      </c>
      <c r="L346" s="37"/>
      <c r="N346" s="37"/>
      <c r="O346" s="37"/>
      <c r="P346" s="37"/>
      <c r="Q346" s="37"/>
      <c r="R346" s="37"/>
      <c r="S346" s="37"/>
      <c r="T346" s="37"/>
      <c r="V346"/>
      <c r="X346"/>
    </row>
    <row r="347" spans="1:24" ht="15" customHeight="1" thickBot="1" x14ac:dyDescent="0.35">
      <c r="A347" s="38">
        <v>43476.700694444444</v>
      </c>
      <c r="B347" s="39">
        <v>141570</v>
      </c>
      <c r="C347" s="36" t="s">
        <v>116</v>
      </c>
      <c r="D347" s="17">
        <v>9180000000000</v>
      </c>
      <c r="E347" s="16" t="s">
        <v>130</v>
      </c>
      <c r="F347" s="17">
        <v>1</v>
      </c>
      <c r="G347" s="18">
        <v>11.95</v>
      </c>
      <c r="H347" s="17">
        <v>5.9749999999999996</v>
      </c>
      <c r="I347" s="18">
        <v>11.95</v>
      </c>
      <c r="J347" s="18">
        <v>5.9749999999999996</v>
      </c>
      <c r="K347" s="37" t="str">
        <f t="shared" si="7"/>
        <v>Inexpensive</v>
      </c>
      <c r="L347" s="37"/>
      <c r="N347" s="37"/>
      <c r="O347" s="37"/>
      <c r="P347" s="37"/>
      <c r="Q347" s="37"/>
      <c r="R347" s="37"/>
      <c r="S347" s="37"/>
      <c r="T347" s="37"/>
      <c r="V347"/>
      <c r="X347"/>
    </row>
    <row r="348" spans="1:24" ht="15" customHeight="1" thickBot="1" x14ac:dyDescent="0.35">
      <c r="A348" s="38">
        <v>43486.959027777775</v>
      </c>
      <c r="B348" s="39">
        <v>141571</v>
      </c>
      <c r="C348" s="36" t="s">
        <v>111</v>
      </c>
      <c r="D348" s="17">
        <v>3010000000000</v>
      </c>
      <c r="E348" s="16" t="s">
        <v>132</v>
      </c>
      <c r="F348" s="17">
        <v>1</v>
      </c>
      <c r="G348" s="18">
        <v>14.95</v>
      </c>
      <c r="H348" s="17">
        <v>7.4749999999999996</v>
      </c>
      <c r="I348" s="18">
        <v>14.95</v>
      </c>
      <c r="J348" s="18">
        <v>7.4749999999999996</v>
      </c>
      <c r="K348" s="37" t="str">
        <f t="shared" si="7"/>
        <v>Inexpensive</v>
      </c>
      <c r="L348" s="37"/>
      <c r="N348" s="37"/>
      <c r="O348" s="37"/>
      <c r="P348" s="37"/>
      <c r="Q348" s="37"/>
      <c r="R348" s="37"/>
      <c r="S348" s="37"/>
      <c r="T348" s="37"/>
      <c r="V348"/>
      <c r="X348"/>
    </row>
    <row r="349" spans="1:24" ht="15" customHeight="1" thickBot="1" x14ac:dyDescent="0.35">
      <c r="A349" s="38">
        <v>43478.993750000001</v>
      </c>
      <c r="B349" s="39">
        <v>141572</v>
      </c>
      <c r="C349" s="36" t="s">
        <v>114</v>
      </c>
      <c r="D349" s="17">
        <v>5140000000000</v>
      </c>
      <c r="E349" s="16" t="s">
        <v>131</v>
      </c>
      <c r="F349" s="17">
        <v>1</v>
      </c>
      <c r="G349" s="18">
        <v>2.99</v>
      </c>
      <c r="H349" s="17">
        <v>1.4950000000000001</v>
      </c>
      <c r="I349" s="18">
        <v>2.99</v>
      </c>
      <c r="J349" s="18">
        <v>1.4950000000000001</v>
      </c>
      <c r="K349" s="37" t="str">
        <f t="shared" si="7"/>
        <v>Inexpensive</v>
      </c>
      <c r="L349" s="37"/>
      <c r="N349" s="37"/>
      <c r="O349" s="37"/>
      <c r="P349" s="37"/>
      <c r="Q349" s="37"/>
      <c r="R349" s="37"/>
      <c r="S349" s="37"/>
      <c r="T349" s="37"/>
      <c r="V349"/>
      <c r="X349"/>
    </row>
    <row r="350" spans="1:24" ht="15" customHeight="1" thickBot="1" x14ac:dyDescent="0.35">
      <c r="A350" s="38">
        <v>43469.73541666667</v>
      </c>
      <c r="B350" s="39">
        <v>141573</v>
      </c>
      <c r="C350" s="36" t="s">
        <v>111</v>
      </c>
      <c r="D350" s="17">
        <v>5130000000000</v>
      </c>
      <c r="E350" s="16" t="s">
        <v>131</v>
      </c>
      <c r="F350" s="17">
        <v>1</v>
      </c>
      <c r="G350" s="18">
        <v>14.95</v>
      </c>
      <c r="H350" s="17">
        <v>7.4749999999999996</v>
      </c>
      <c r="I350" s="18">
        <v>14.95</v>
      </c>
      <c r="J350" s="18">
        <v>7.4749999999999996</v>
      </c>
      <c r="K350" s="37" t="str">
        <f t="shared" si="7"/>
        <v>Inexpensive</v>
      </c>
      <c r="L350" s="37"/>
      <c r="N350" s="37"/>
      <c r="O350" s="37"/>
      <c r="P350" s="37"/>
      <c r="Q350" s="37"/>
      <c r="R350" s="37"/>
      <c r="S350" s="37"/>
      <c r="T350" s="37"/>
      <c r="V350"/>
      <c r="X350"/>
    </row>
    <row r="351" spans="1:24" ht="15" customHeight="1" thickBot="1" x14ac:dyDescent="0.35">
      <c r="A351" s="38">
        <v>43484.705555555556</v>
      </c>
      <c r="B351" s="39">
        <v>141574</v>
      </c>
      <c r="C351" s="36" t="s">
        <v>111</v>
      </c>
      <c r="D351" s="17">
        <v>5270000000000</v>
      </c>
      <c r="E351" s="16" t="s">
        <v>130</v>
      </c>
      <c r="F351" s="17">
        <v>1</v>
      </c>
      <c r="G351" s="18">
        <v>14.95</v>
      </c>
      <c r="H351" s="17">
        <v>7.4749999999999996</v>
      </c>
      <c r="I351" s="18">
        <v>14.95</v>
      </c>
      <c r="J351" s="18">
        <v>7.4749999999999996</v>
      </c>
      <c r="K351" s="37" t="str">
        <f t="shared" si="7"/>
        <v>Inexpensive</v>
      </c>
      <c r="L351" s="37"/>
      <c r="N351" s="37"/>
      <c r="O351" s="37"/>
      <c r="P351" s="37"/>
      <c r="Q351" s="37"/>
      <c r="R351" s="37"/>
      <c r="S351" s="37"/>
      <c r="T351" s="37"/>
      <c r="V351"/>
      <c r="X351"/>
    </row>
    <row r="352" spans="1:24" ht="15" customHeight="1" thickBot="1" x14ac:dyDescent="0.35">
      <c r="A352" s="38">
        <v>43472.445833333331</v>
      </c>
      <c r="B352" s="39">
        <v>141575</v>
      </c>
      <c r="C352" s="36" t="s">
        <v>116</v>
      </c>
      <c r="D352" s="17">
        <v>3480000000000</v>
      </c>
      <c r="E352" s="16" t="s">
        <v>132</v>
      </c>
      <c r="F352" s="17">
        <v>1</v>
      </c>
      <c r="G352" s="18">
        <v>11.95</v>
      </c>
      <c r="H352" s="17">
        <v>5.9749999999999996</v>
      </c>
      <c r="I352" s="18">
        <v>11.95</v>
      </c>
      <c r="J352" s="18">
        <v>5.9749999999999996</v>
      </c>
      <c r="K352" s="37" t="str">
        <f t="shared" si="7"/>
        <v>Inexpensive</v>
      </c>
      <c r="L352" s="37"/>
      <c r="N352" s="37"/>
      <c r="O352" s="37"/>
      <c r="P352" s="37"/>
      <c r="Q352" s="37"/>
      <c r="R352" s="37"/>
      <c r="S352" s="37"/>
      <c r="T352" s="37"/>
      <c r="V352"/>
      <c r="X352"/>
    </row>
    <row r="353" spans="1:24" ht="15" customHeight="1" thickBot="1" x14ac:dyDescent="0.35">
      <c r="A353" s="38">
        <v>43470.847916666666</v>
      </c>
      <c r="B353" s="39">
        <v>141576</v>
      </c>
      <c r="C353" s="36" t="s">
        <v>118</v>
      </c>
      <c r="D353" s="17">
        <v>3520000000000</v>
      </c>
      <c r="E353" s="16" t="s">
        <v>131</v>
      </c>
      <c r="F353" s="17">
        <v>1</v>
      </c>
      <c r="G353" s="18">
        <v>150</v>
      </c>
      <c r="H353" s="17">
        <v>97.5</v>
      </c>
      <c r="I353" s="18">
        <v>150</v>
      </c>
      <c r="J353" s="18">
        <v>52.5</v>
      </c>
      <c r="K353" s="37" t="str">
        <f t="shared" si="7"/>
        <v>Inexpensive</v>
      </c>
      <c r="L353" s="37"/>
      <c r="N353" s="37"/>
      <c r="O353" s="37"/>
      <c r="P353" s="37"/>
      <c r="Q353" s="37"/>
      <c r="R353" s="37"/>
      <c r="S353" s="37"/>
      <c r="T353" s="37"/>
      <c r="V353"/>
      <c r="X353"/>
    </row>
    <row r="354" spans="1:24" ht="15" customHeight="1" thickBot="1" x14ac:dyDescent="0.35">
      <c r="A354" s="38">
        <v>43495.84652777778</v>
      </c>
      <c r="B354" s="39">
        <v>141577</v>
      </c>
      <c r="C354" s="36" t="s">
        <v>120</v>
      </c>
      <c r="D354" s="17">
        <v>9040000000000</v>
      </c>
      <c r="E354" s="16" t="s">
        <v>132</v>
      </c>
      <c r="F354" s="17">
        <v>1</v>
      </c>
      <c r="G354" s="18">
        <v>300</v>
      </c>
      <c r="H354" s="17">
        <v>99</v>
      </c>
      <c r="I354" s="18">
        <v>300</v>
      </c>
      <c r="J354" s="18">
        <v>201</v>
      </c>
      <c r="K354" s="37" t="str">
        <f t="shared" si="7"/>
        <v>Inexpensive</v>
      </c>
      <c r="L354" s="37"/>
      <c r="N354" s="37"/>
      <c r="O354" s="37"/>
      <c r="P354" s="37"/>
      <c r="Q354" s="37"/>
      <c r="R354" s="37"/>
      <c r="S354" s="37"/>
      <c r="T354" s="37"/>
      <c r="V354"/>
      <c r="X354"/>
    </row>
    <row r="355" spans="1:24" ht="15" customHeight="1" thickBot="1" x14ac:dyDescent="0.35">
      <c r="A355" s="38">
        <v>43489.243750000001</v>
      </c>
      <c r="B355" s="39">
        <v>141578</v>
      </c>
      <c r="C355" s="36" t="s">
        <v>117</v>
      </c>
      <c r="D355" s="17">
        <v>8290000000000</v>
      </c>
      <c r="E355" s="16" t="s">
        <v>130</v>
      </c>
      <c r="F355" s="17">
        <v>1</v>
      </c>
      <c r="G355" s="18">
        <v>99.99</v>
      </c>
      <c r="H355" s="17">
        <v>49.994999999999997</v>
      </c>
      <c r="I355" s="18">
        <v>99.99</v>
      </c>
      <c r="J355" s="18">
        <v>49.994999999999997</v>
      </c>
      <c r="K355" s="37" t="str">
        <f t="shared" si="7"/>
        <v>Inexpensive</v>
      </c>
      <c r="L355" s="37"/>
      <c r="N355" s="37"/>
      <c r="O355" s="37"/>
      <c r="P355" s="37"/>
      <c r="Q355" s="37"/>
      <c r="R355" s="37"/>
      <c r="S355" s="37"/>
      <c r="T355" s="37"/>
      <c r="V355"/>
      <c r="X355"/>
    </row>
    <row r="356" spans="1:24" ht="15" customHeight="1" thickBot="1" x14ac:dyDescent="0.35">
      <c r="A356" s="38">
        <v>43488.674305555556</v>
      </c>
      <c r="B356" s="39">
        <v>141579</v>
      </c>
      <c r="C356" s="36" t="s">
        <v>111</v>
      </c>
      <c r="D356" s="17">
        <v>6880000000000</v>
      </c>
      <c r="E356" s="16" t="s">
        <v>132</v>
      </c>
      <c r="F356" s="17">
        <v>1</v>
      </c>
      <c r="G356" s="18">
        <v>14.95</v>
      </c>
      <c r="H356" s="17">
        <v>7.4749999999999996</v>
      </c>
      <c r="I356" s="18">
        <v>14.95</v>
      </c>
      <c r="J356" s="18">
        <v>7.4749999999999996</v>
      </c>
      <c r="K356" s="37" t="str">
        <f t="shared" si="7"/>
        <v>Inexpensive</v>
      </c>
      <c r="L356" s="37"/>
      <c r="N356" s="37"/>
      <c r="O356" s="37"/>
      <c r="P356" s="37"/>
      <c r="Q356" s="37"/>
      <c r="R356" s="37"/>
      <c r="S356" s="37"/>
      <c r="T356" s="37"/>
      <c r="V356"/>
      <c r="X356"/>
    </row>
    <row r="357" spans="1:24" ht="15" customHeight="1" thickBot="1" x14ac:dyDescent="0.35">
      <c r="A357" s="38">
        <v>43493.459722222222</v>
      </c>
      <c r="B357" s="39">
        <v>141580</v>
      </c>
      <c r="C357" s="36" t="s">
        <v>122</v>
      </c>
      <c r="D357" s="17">
        <v>7620000000000</v>
      </c>
      <c r="E357" s="16" t="s">
        <v>132</v>
      </c>
      <c r="F357" s="17">
        <v>1</v>
      </c>
      <c r="G357" s="18">
        <v>3.84</v>
      </c>
      <c r="H357" s="17">
        <v>1.92</v>
      </c>
      <c r="I357" s="18">
        <v>3.84</v>
      </c>
      <c r="J357" s="18">
        <v>1.92</v>
      </c>
      <c r="K357" s="37" t="str">
        <f t="shared" si="7"/>
        <v>Inexpensive</v>
      </c>
      <c r="L357" s="37"/>
      <c r="N357" s="37"/>
      <c r="O357" s="37"/>
      <c r="P357" s="37"/>
      <c r="Q357" s="37"/>
      <c r="R357" s="37"/>
      <c r="S357" s="37"/>
      <c r="T357" s="37"/>
      <c r="V357"/>
      <c r="X357"/>
    </row>
    <row r="358" spans="1:24" ht="15" customHeight="1" thickBot="1" x14ac:dyDescent="0.35">
      <c r="A358" s="38">
        <v>43493.868055555555</v>
      </c>
      <c r="B358" s="39">
        <v>141581</v>
      </c>
      <c r="C358" s="36" t="s">
        <v>118</v>
      </c>
      <c r="D358" s="17">
        <v>8430000000000</v>
      </c>
      <c r="E358" s="16" t="s">
        <v>130</v>
      </c>
      <c r="F358" s="17">
        <v>1</v>
      </c>
      <c r="G358" s="18">
        <v>150</v>
      </c>
      <c r="H358" s="17">
        <v>97.5</v>
      </c>
      <c r="I358" s="18">
        <v>150</v>
      </c>
      <c r="J358" s="18">
        <v>52.5</v>
      </c>
      <c r="K358" s="37" t="str">
        <f t="shared" si="7"/>
        <v>Inexpensive</v>
      </c>
      <c r="L358" s="37"/>
      <c r="N358" s="37"/>
      <c r="O358" s="37"/>
      <c r="P358" s="37"/>
      <c r="Q358" s="37"/>
      <c r="R358" s="37"/>
      <c r="S358" s="37"/>
      <c r="T358" s="37"/>
      <c r="V358"/>
      <c r="X358"/>
    </row>
    <row r="359" spans="1:24" ht="15" customHeight="1" thickBot="1" x14ac:dyDescent="0.35">
      <c r="A359" s="38">
        <v>43480.072916666664</v>
      </c>
      <c r="B359" s="39">
        <v>141582</v>
      </c>
      <c r="C359" s="36" t="s">
        <v>110</v>
      </c>
      <c r="D359" s="17">
        <v>3910000000000</v>
      </c>
      <c r="E359" s="16" t="s">
        <v>132</v>
      </c>
      <c r="F359" s="17">
        <v>1</v>
      </c>
      <c r="G359" s="18">
        <v>700</v>
      </c>
      <c r="H359" s="17">
        <v>231</v>
      </c>
      <c r="I359" s="18">
        <v>700</v>
      </c>
      <c r="J359" s="18">
        <v>469</v>
      </c>
      <c r="K359" s="37" t="str">
        <f t="shared" si="7"/>
        <v>Expensive</v>
      </c>
      <c r="L359" s="37"/>
      <c r="N359" s="37"/>
      <c r="O359" s="37"/>
      <c r="P359" s="37"/>
      <c r="Q359" s="37"/>
      <c r="R359" s="37"/>
      <c r="S359" s="37"/>
      <c r="T359" s="37"/>
      <c r="V359"/>
      <c r="X359"/>
    </row>
    <row r="360" spans="1:24" ht="15" customHeight="1" thickBot="1" x14ac:dyDescent="0.35">
      <c r="A360" s="38">
        <v>43495.533333333333</v>
      </c>
      <c r="B360" s="39">
        <v>141583</v>
      </c>
      <c r="C360" s="36" t="s">
        <v>116</v>
      </c>
      <c r="D360" s="17">
        <v>8550000000000</v>
      </c>
      <c r="E360" s="16" t="s">
        <v>131</v>
      </c>
      <c r="F360" s="17">
        <v>1</v>
      </c>
      <c r="G360" s="18">
        <v>11.95</v>
      </c>
      <c r="H360" s="17">
        <v>5.9749999999999996</v>
      </c>
      <c r="I360" s="18">
        <v>11.95</v>
      </c>
      <c r="J360" s="18">
        <v>5.9749999999999996</v>
      </c>
      <c r="K360" s="37" t="str">
        <f t="shared" si="7"/>
        <v>Inexpensive</v>
      </c>
      <c r="L360" s="37"/>
      <c r="N360" s="37"/>
      <c r="O360" s="37"/>
      <c r="P360" s="37"/>
      <c r="Q360" s="37"/>
      <c r="R360" s="37"/>
      <c r="S360" s="37"/>
      <c r="T360" s="37"/>
      <c r="V360"/>
      <c r="X360"/>
    </row>
    <row r="361" spans="1:24" ht="15" customHeight="1" thickBot="1" x14ac:dyDescent="0.35">
      <c r="A361" s="38">
        <v>43479.70208333333</v>
      </c>
      <c r="B361" s="39">
        <v>141584</v>
      </c>
      <c r="C361" s="36" t="s">
        <v>119</v>
      </c>
      <c r="D361" s="17">
        <v>5190000000000</v>
      </c>
      <c r="E361" s="16" t="s">
        <v>131</v>
      </c>
      <c r="F361" s="17">
        <v>1</v>
      </c>
      <c r="G361" s="18">
        <v>1700</v>
      </c>
      <c r="H361" s="17">
        <v>561</v>
      </c>
      <c r="I361" s="18">
        <v>1700</v>
      </c>
      <c r="J361" s="18">
        <v>1139</v>
      </c>
      <c r="K361" s="37" t="str">
        <f t="shared" si="7"/>
        <v>Expensive</v>
      </c>
      <c r="L361" s="37"/>
      <c r="N361" s="37"/>
      <c r="O361" s="37"/>
      <c r="P361" s="37"/>
      <c r="Q361" s="37"/>
      <c r="R361" s="37"/>
      <c r="S361" s="37"/>
      <c r="T361" s="37"/>
      <c r="V361"/>
      <c r="X361"/>
    </row>
    <row r="362" spans="1:24" ht="15" customHeight="1" thickBot="1" x14ac:dyDescent="0.35">
      <c r="A362" s="38">
        <v>43476.419444444444</v>
      </c>
      <c r="B362" s="39">
        <v>141585</v>
      </c>
      <c r="C362" s="36" t="s">
        <v>122</v>
      </c>
      <c r="D362" s="17">
        <v>6720000000000</v>
      </c>
      <c r="E362" s="16" t="s">
        <v>131</v>
      </c>
      <c r="F362" s="17">
        <v>2</v>
      </c>
      <c r="G362" s="18">
        <v>3.84</v>
      </c>
      <c r="H362" s="17">
        <v>1.92</v>
      </c>
      <c r="I362" s="18">
        <v>7.68</v>
      </c>
      <c r="J362" s="18">
        <v>3.84</v>
      </c>
      <c r="K362" s="37" t="str">
        <f t="shared" si="7"/>
        <v>Inexpensive</v>
      </c>
      <c r="L362" s="37"/>
      <c r="N362" s="37"/>
      <c r="O362" s="37"/>
      <c r="P362" s="37"/>
      <c r="Q362" s="37"/>
      <c r="R362" s="37"/>
      <c r="S362" s="37"/>
      <c r="T362" s="37"/>
      <c r="V362"/>
      <c r="X362"/>
    </row>
    <row r="363" spans="1:24" ht="15" customHeight="1" thickBot="1" x14ac:dyDescent="0.35">
      <c r="A363" s="38">
        <v>43491.844444444447</v>
      </c>
      <c r="B363" s="39">
        <v>141586</v>
      </c>
      <c r="C363" s="36" t="s">
        <v>111</v>
      </c>
      <c r="D363" s="17">
        <v>2120000000000</v>
      </c>
      <c r="E363" s="16" t="s">
        <v>131</v>
      </c>
      <c r="F363" s="17">
        <v>1</v>
      </c>
      <c r="G363" s="18">
        <v>14.95</v>
      </c>
      <c r="H363" s="17">
        <v>7.4749999999999996</v>
      </c>
      <c r="I363" s="18">
        <v>14.95</v>
      </c>
      <c r="J363" s="18">
        <v>7.4749999999999996</v>
      </c>
      <c r="K363" s="37" t="str">
        <f t="shared" si="7"/>
        <v>Inexpensive</v>
      </c>
      <c r="L363" s="37"/>
      <c r="N363" s="37"/>
      <c r="O363" s="37"/>
      <c r="P363" s="37"/>
      <c r="Q363" s="37"/>
      <c r="R363" s="37"/>
      <c r="S363" s="37"/>
      <c r="T363" s="37"/>
      <c r="V363"/>
      <c r="X363"/>
    </row>
    <row r="364" spans="1:24" ht="15" customHeight="1" thickBot="1" x14ac:dyDescent="0.35">
      <c r="A364" s="38">
        <v>43494.634722222225</v>
      </c>
      <c r="B364" s="40">
        <v>141587</v>
      </c>
      <c r="C364" s="36" t="s">
        <v>118</v>
      </c>
      <c r="D364" s="17">
        <v>2860000000000</v>
      </c>
      <c r="E364" s="16" t="s">
        <v>132</v>
      </c>
      <c r="F364" s="17">
        <v>1</v>
      </c>
      <c r="G364" s="18">
        <v>150</v>
      </c>
      <c r="H364" s="17">
        <v>97.5</v>
      </c>
      <c r="I364" s="18">
        <v>150</v>
      </c>
      <c r="J364" s="18">
        <v>52.5</v>
      </c>
      <c r="K364" s="37" t="str">
        <f t="shared" si="7"/>
        <v>Inexpensive</v>
      </c>
      <c r="L364" s="37"/>
      <c r="N364" s="37"/>
      <c r="O364" s="37"/>
      <c r="P364" s="37"/>
      <c r="Q364" s="37"/>
      <c r="R364" s="37"/>
      <c r="S364" s="37"/>
      <c r="T364" s="37"/>
      <c r="V364"/>
      <c r="X364"/>
    </row>
    <row r="365" spans="1:24" ht="15" customHeight="1" thickBot="1" x14ac:dyDescent="0.35">
      <c r="A365" s="38">
        <v>43494.634722222225</v>
      </c>
      <c r="B365" s="40">
        <v>141587</v>
      </c>
      <c r="C365" s="36" t="s">
        <v>116</v>
      </c>
      <c r="D365" s="17">
        <v>6630000000000</v>
      </c>
      <c r="E365" s="16" t="s">
        <v>130</v>
      </c>
      <c r="F365" s="17">
        <v>1</v>
      </c>
      <c r="G365" s="18">
        <v>11.95</v>
      </c>
      <c r="H365" s="17">
        <v>5.9749999999999996</v>
      </c>
      <c r="I365" s="18">
        <v>11.95</v>
      </c>
      <c r="J365" s="18">
        <v>5.9749999999999996</v>
      </c>
      <c r="K365" s="37" t="str">
        <f t="shared" si="7"/>
        <v>Inexpensive</v>
      </c>
      <c r="L365" s="37"/>
      <c r="N365" s="37"/>
      <c r="O365" s="37"/>
      <c r="P365" s="37"/>
      <c r="Q365" s="37"/>
      <c r="R365" s="37"/>
      <c r="S365" s="37"/>
      <c r="T365" s="37"/>
      <c r="V365"/>
      <c r="X365"/>
    </row>
    <row r="366" spans="1:24" ht="15" customHeight="1" thickBot="1" x14ac:dyDescent="0.35">
      <c r="A366" s="38">
        <v>43468.071527777778</v>
      </c>
      <c r="B366" s="39">
        <v>141588</v>
      </c>
      <c r="C366" s="36" t="s">
        <v>122</v>
      </c>
      <c r="D366" s="17">
        <v>1750000000000</v>
      </c>
      <c r="E366" s="16" t="s">
        <v>130</v>
      </c>
      <c r="F366" s="17">
        <v>1</v>
      </c>
      <c r="G366" s="18">
        <v>3.84</v>
      </c>
      <c r="H366" s="17">
        <v>1.92</v>
      </c>
      <c r="I366" s="18">
        <v>3.84</v>
      </c>
      <c r="J366" s="18">
        <v>1.92</v>
      </c>
      <c r="K366" s="37" t="str">
        <f t="shared" si="7"/>
        <v>Inexpensive</v>
      </c>
      <c r="L366" s="37"/>
      <c r="N366" s="37"/>
      <c r="O366" s="37"/>
      <c r="P366" s="37"/>
      <c r="Q366" s="37"/>
      <c r="R366" s="37"/>
      <c r="S366" s="37"/>
      <c r="T366" s="37"/>
      <c r="V366"/>
      <c r="X366"/>
    </row>
    <row r="367" spans="1:24" ht="15" customHeight="1" thickBot="1" x14ac:dyDescent="0.35">
      <c r="A367" s="38">
        <v>43475.580555555556</v>
      </c>
      <c r="B367" s="39">
        <v>141589</v>
      </c>
      <c r="C367" s="36" t="s">
        <v>112</v>
      </c>
      <c r="D367" s="17">
        <v>2320000000000</v>
      </c>
      <c r="E367" s="16" t="s">
        <v>132</v>
      </c>
      <c r="F367" s="17">
        <v>1</v>
      </c>
      <c r="G367" s="18">
        <v>11.99</v>
      </c>
      <c r="H367" s="17">
        <v>5.9950000000000001</v>
      </c>
      <c r="I367" s="18">
        <v>11.99</v>
      </c>
      <c r="J367" s="18">
        <v>5.9950000000000001</v>
      </c>
      <c r="K367" s="37" t="str">
        <f t="shared" si="7"/>
        <v>Inexpensive</v>
      </c>
      <c r="L367" s="37"/>
      <c r="N367" s="37"/>
      <c r="O367" s="37"/>
      <c r="P367" s="37"/>
      <c r="Q367" s="37"/>
      <c r="R367" s="37"/>
      <c r="S367" s="37"/>
      <c r="T367" s="37"/>
      <c r="V367"/>
      <c r="X367"/>
    </row>
    <row r="368" spans="1:24" ht="15" customHeight="1" thickBot="1" x14ac:dyDescent="0.35">
      <c r="A368" s="38">
        <v>43470.694444444445</v>
      </c>
      <c r="B368" s="39">
        <v>141590</v>
      </c>
      <c r="C368" s="36" t="s">
        <v>117</v>
      </c>
      <c r="D368" s="17">
        <v>5260000000000</v>
      </c>
      <c r="E368" s="16" t="s">
        <v>132</v>
      </c>
      <c r="F368" s="17">
        <v>1</v>
      </c>
      <c r="G368" s="18">
        <v>99.99</v>
      </c>
      <c r="H368" s="17">
        <v>49.994999999999997</v>
      </c>
      <c r="I368" s="18">
        <v>99.99</v>
      </c>
      <c r="J368" s="18">
        <v>49.994999999999997</v>
      </c>
      <c r="K368" s="37" t="str">
        <f t="shared" si="7"/>
        <v>Inexpensive</v>
      </c>
      <c r="L368" s="37"/>
      <c r="N368" s="37"/>
      <c r="O368" s="37"/>
      <c r="P368" s="37"/>
      <c r="Q368" s="37"/>
      <c r="R368" s="37"/>
      <c r="S368" s="37"/>
      <c r="T368" s="37"/>
      <c r="V368"/>
      <c r="X368"/>
    </row>
    <row r="369" spans="1:24" ht="15" customHeight="1" thickBot="1" x14ac:dyDescent="0.35">
      <c r="A369" s="38">
        <v>43492.999305555553</v>
      </c>
      <c r="B369" s="39">
        <v>141591</v>
      </c>
      <c r="C369" s="36" t="s">
        <v>126</v>
      </c>
      <c r="D369" s="17">
        <v>3500000000000</v>
      </c>
      <c r="E369" s="16" t="s">
        <v>131</v>
      </c>
      <c r="F369" s="17">
        <v>1</v>
      </c>
      <c r="G369" s="18">
        <v>999.99</v>
      </c>
      <c r="H369" s="17">
        <v>329.99669999999998</v>
      </c>
      <c r="I369" s="18">
        <v>999.99</v>
      </c>
      <c r="J369" s="18">
        <v>669.99329999999998</v>
      </c>
      <c r="K369" s="37" t="str">
        <f t="shared" si="7"/>
        <v>Expensive</v>
      </c>
      <c r="L369" s="37"/>
      <c r="N369" s="37"/>
      <c r="O369" s="37"/>
      <c r="P369" s="37"/>
      <c r="Q369" s="37"/>
      <c r="R369" s="37"/>
      <c r="S369" s="37"/>
      <c r="T369" s="37"/>
      <c r="V369"/>
      <c r="X369"/>
    </row>
    <row r="370" spans="1:24" ht="15" customHeight="1" thickBot="1" x14ac:dyDescent="0.35">
      <c r="A370" s="38">
        <v>43470.479166666664</v>
      </c>
      <c r="B370" s="39">
        <v>141592</v>
      </c>
      <c r="C370" s="36" t="s">
        <v>122</v>
      </c>
      <c r="D370" s="17">
        <v>3350000000000</v>
      </c>
      <c r="E370" s="16" t="s">
        <v>132</v>
      </c>
      <c r="F370" s="17">
        <v>2</v>
      </c>
      <c r="G370" s="18">
        <v>3.84</v>
      </c>
      <c r="H370" s="17">
        <v>1.92</v>
      </c>
      <c r="I370" s="18">
        <v>7.68</v>
      </c>
      <c r="J370" s="18">
        <v>3.84</v>
      </c>
      <c r="K370" s="37" t="str">
        <f t="shared" si="7"/>
        <v>Inexpensive</v>
      </c>
      <c r="L370" s="37"/>
      <c r="N370" s="37"/>
      <c r="O370" s="37"/>
      <c r="P370" s="37"/>
      <c r="Q370" s="37"/>
      <c r="R370" s="37"/>
      <c r="S370" s="37"/>
      <c r="T370" s="37"/>
      <c r="V370"/>
      <c r="X370"/>
    </row>
    <row r="371" spans="1:24" ht="15" customHeight="1" thickBot="1" x14ac:dyDescent="0.35">
      <c r="A371" s="38">
        <v>43474.601388888892</v>
      </c>
      <c r="B371" s="39">
        <v>141593</v>
      </c>
      <c r="C371" s="36" t="s">
        <v>117</v>
      </c>
      <c r="D371" s="17">
        <v>5990000000000</v>
      </c>
      <c r="E371" s="16" t="s">
        <v>131</v>
      </c>
      <c r="F371" s="17">
        <v>1</v>
      </c>
      <c r="G371" s="18">
        <v>99.99</v>
      </c>
      <c r="H371" s="17">
        <v>49.994999999999997</v>
      </c>
      <c r="I371" s="18">
        <v>99.99</v>
      </c>
      <c r="J371" s="18">
        <v>49.994999999999997</v>
      </c>
      <c r="K371" s="37" t="str">
        <f t="shared" si="7"/>
        <v>Inexpensive</v>
      </c>
      <c r="L371" s="37"/>
      <c r="N371" s="37"/>
      <c r="O371" s="37"/>
      <c r="P371" s="37"/>
      <c r="Q371" s="37"/>
      <c r="R371" s="37"/>
      <c r="S371" s="37"/>
      <c r="T371" s="37"/>
      <c r="V371"/>
      <c r="X371"/>
    </row>
    <row r="372" spans="1:24" ht="15" customHeight="1" thickBot="1" x14ac:dyDescent="0.35">
      <c r="A372" s="38">
        <v>43495.506249999999</v>
      </c>
      <c r="B372" s="39">
        <v>141594</v>
      </c>
      <c r="C372" s="36" t="s">
        <v>114</v>
      </c>
      <c r="D372" s="17">
        <v>3330000000000</v>
      </c>
      <c r="E372" s="16" t="s">
        <v>130</v>
      </c>
      <c r="F372" s="17">
        <v>1</v>
      </c>
      <c r="G372" s="18">
        <v>2.99</v>
      </c>
      <c r="H372" s="17">
        <v>1.4950000000000001</v>
      </c>
      <c r="I372" s="18">
        <v>2.99</v>
      </c>
      <c r="J372" s="18">
        <v>1.4950000000000001</v>
      </c>
      <c r="K372" s="37" t="str">
        <f t="shared" si="7"/>
        <v>Inexpensive</v>
      </c>
      <c r="L372" s="37"/>
      <c r="N372" s="37"/>
      <c r="O372" s="37"/>
      <c r="P372" s="37"/>
      <c r="Q372" s="37"/>
      <c r="R372" s="37"/>
      <c r="S372" s="37"/>
      <c r="T372" s="37"/>
      <c r="V372"/>
      <c r="X372"/>
    </row>
    <row r="373" spans="1:24" ht="15" customHeight="1" thickBot="1" x14ac:dyDescent="0.35">
      <c r="A373" s="38">
        <v>43492.60833333333</v>
      </c>
      <c r="B373" s="39">
        <v>141595</v>
      </c>
      <c r="C373" s="36" t="s">
        <v>126</v>
      </c>
      <c r="D373" s="17">
        <v>1800000000000</v>
      </c>
      <c r="E373" s="16" t="s">
        <v>130</v>
      </c>
      <c r="F373" s="17">
        <v>1</v>
      </c>
      <c r="G373" s="18">
        <v>999.99</v>
      </c>
      <c r="H373" s="17">
        <v>329.99669999999998</v>
      </c>
      <c r="I373" s="18">
        <v>999.99</v>
      </c>
      <c r="J373" s="18">
        <v>669.99329999999998</v>
      </c>
      <c r="K373" s="37" t="str">
        <f t="shared" si="7"/>
        <v>Expensive</v>
      </c>
      <c r="L373" s="37"/>
      <c r="N373" s="37"/>
      <c r="O373" s="37"/>
      <c r="P373" s="37"/>
      <c r="Q373" s="37"/>
      <c r="R373" s="37"/>
      <c r="S373" s="37"/>
      <c r="T373" s="37"/>
      <c r="V373"/>
      <c r="X373"/>
    </row>
    <row r="374" spans="1:24" ht="15" customHeight="1" thickBot="1" x14ac:dyDescent="0.35">
      <c r="A374" s="38">
        <v>43466.729166666664</v>
      </c>
      <c r="B374" s="39">
        <v>141596</v>
      </c>
      <c r="C374" s="36" t="s">
        <v>111</v>
      </c>
      <c r="D374" s="17">
        <v>9590000000000</v>
      </c>
      <c r="E374" s="16" t="s">
        <v>130</v>
      </c>
      <c r="F374" s="17">
        <v>1</v>
      </c>
      <c r="G374" s="18">
        <v>14.95</v>
      </c>
      <c r="H374" s="17">
        <v>7.4749999999999996</v>
      </c>
      <c r="I374" s="18">
        <v>14.95</v>
      </c>
      <c r="J374" s="18">
        <v>7.4749999999999996</v>
      </c>
      <c r="K374" s="37" t="str">
        <f t="shared" si="7"/>
        <v>Inexpensive</v>
      </c>
      <c r="L374" s="37"/>
      <c r="N374" s="37"/>
      <c r="O374" s="37"/>
      <c r="P374" s="37"/>
      <c r="Q374" s="37"/>
      <c r="R374" s="37"/>
      <c r="S374" s="37"/>
      <c r="T374" s="37"/>
      <c r="V374"/>
      <c r="X374"/>
    </row>
    <row r="375" spans="1:24" ht="15" customHeight="1" thickBot="1" x14ac:dyDescent="0.35">
      <c r="A375" s="38">
        <v>43493.526388888888</v>
      </c>
      <c r="B375" s="39">
        <v>141597</v>
      </c>
      <c r="C375" s="36" t="s">
        <v>114</v>
      </c>
      <c r="D375" s="17">
        <v>7900000000000</v>
      </c>
      <c r="E375" s="16" t="s">
        <v>132</v>
      </c>
      <c r="F375" s="17">
        <v>2</v>
      </c>
      <c r="G375" s="18">
        <v>2.99</v>
      </c>
      <c r="H375" s="17">
        <v>1.4950000000000001</v>
      </c>
      <c r="I375" s="18">
        <v>5.98</v>
      </c>
      <c r="J375" s="18">
        <v>2.99</v>
      </c>
      <c r="K375" s="37" t="str">
        <f t="shared" si="7"/>
        <v>Inexpensive</v>
      </c>
      <c r="L375" s="37"/>
      <c r="N375" s="37"/>
      <c r="O375" s="37"/>
      <c r="P375" s="37"/>
      <c r="Q375" s="37"/>
      <c r="R375" s="37"/>
      <c r="S375" s="37"/>
      <c r="T375" s="37"/>
      <c r="V375"/>
      <c r="X375"/>
    </row>
    <row r="376" spans="1:24" ht="15" customHeight="1" thickBot="1" x14ac:dyDescent="0.35">
      <c r="A376" s="38">
        <v>43477.561111111114</v>
      </c>
      <c r="B376" s="39">
        <v>141598</v>
      </c>
      <c r="C376" s="36" t="s">
        <v>124</v>
      </c>
      <c r="D376" s="17">
        <v>1570000000000</v>
      </c>
      <c r="E376" s="16" t="s">
        <v>130</v>
      </c>
      <c r="F376" s="17">
        <v>1</v>
      </c>
      <c r="G376" s="18">
        <v>109.99</v>
      </c>
      <c r="H376" s="17">
        <v>71.493499999999997</v>
      </c>
      <c r="I376" s="18">
        <v>109.99</v>
      </c>
      <c r="J376" s="18">
        <v>38.496499999999997</v>
      </c>
      <c r="K376" s="37" t="str">
        <f t="shared" si="7"/>
        <v>Inexpensive</v>
      </c>
      <c r="L376" s="37"/>
      <c r="N376" s="37"/>
      <c r="O376" s="37"/>
      <c r="P376" s="37"/>
      <c r="Q376" s="37"/>
      <c r="R376" s="37"/>
      <c r="S376" s="37"/>
      <c r="T376" s="37"/>
      <c r="V376"/>
      <c r="X376"/>
    </row>
    <row r="377" spans="1:24" ht="15" customHeight="1" thickBot="1" x14ac:dyDescent="0.35">
      <c r="A377" s="38">
        <v>43482.499305555553</v>
      </c>
      <c r="B377" s="39">
        <v>141599</v>
      </c>
      <c r="C377" s="36" t="s">
        <v>114</v>
      </c>
      <c r="D377" s="17">
        <v>7360000000000</v>
      </c>
      <c r="E377" s="16" t="s">
        <v>131</v>
      </c>
      <c r="F377" s="17">
        <v>1</v>
      </c>
      <c r="G377" s="18">
        <v>2.99</v>
      </c>
      <c r="H377" s="17">
        <v>1.4950000000000001</v>
      </c>
      <c r="I377" s="18">
        <v>2.99</v>
      </c>
      <c r="J377" s="18">
        <v>1.4950000000000001</v>
      </c>
      <c r="K377" s="37" t="str">
        <f t="shared" si="7"/>
        <v>Inexpensive</v>
      </c>
      <c r="L377" s="37"/>
      <c r="N377" s="37"/>
      <c r="O377" s="37"/>
      <c r="P377" s="37"/>
      <c r="Q377" s="37"/>
      <c r="R377" s="37"/>
      <c r="S377" s="37"/>
      <c r="T377" s="37"/>
      <c r="V377"/>
      <c r="X377"/>
    </row>
    <row r="378" spans="1:24" ht="15" customHeight="1" thickBot="1" x14ac:dyDescent="0.35">
      <c r="A378" s="38">
        <v>43492.380555555559</v>
      </c>
      <c r="B378" s="39">
        <v>141600</v>
      </c>
      <c r="C378" s="36" t="s">
        <v>114</v>
      </c>
      <c r="D378" s="17">
        <v>2930000000000</v>
      </c>
      <c r="E378" s="16" t="s">
        <v>130</v>
      </c>
      <c r="F378" s="17">
        <v>2</v>
      </c>
      <c r="G378" s="18">
        <v>2.99</v>
      </c>
      <c r="H378" s="17">
        <v>1.4950000000000001</v>
      </c>
      <c r="I378" s="18">
        <v>5.98</v>
      </c>
      <c r="J378" s="18">
        <v>2.99</v>
      </c>
      <c r="K378" s="37" t="str">
        <f t="shared" si="7"/>
        <v>Inexpensive</v>
      </c>
      <c r="L378" s="37"/>
      <c r="N378" s="37"/>
      <c r="O378" s="37"/>
      <c r="P378" s="37"/>
      <c r="Q378" s="37"/>
      <c r="R378" s="37"/>
      <c r="S378" s="37"/>
      <c r="T378" s="37"/>
      <c r="V378"/>
      <c r="X378"/>
    </row>
    <row r="379" spans="1:24" ht="15" customHeight="1" thickBot="1" x14ac:dyDescent="0.35">
      <c r="A379" s="38">
        <v>43472.822916666664</v>
      </c>
      <c r="B379" s="39">
        <v>141601</v>
      </c>
      <c r="C379" s="36" t="s">
        <v>111</v>
      </c>
      <c r="D379" s="17">
        <v>3180000000000</v>
      </c>
      <c r="E379" s="16" t="s">
        <v>132</v>
      </c>
      <c r="F379" s="17">
        <v>1</v>
      </c>
      <c r="G379" s="18">
        <v>14.95</v>
      </c>
      <c r="H379" s="17">
        <v>7.4749999999999996</v>
      </c>
      <c r="I379" s="18">
        <v>14.95</v>
      </c>
      <c r="J379" s="18">
        <v>7.4749999999999996</v>
      </c>
      <c r="K379" s="37" t="str">
        <f t="shared" si="7"/>
        <v>Inexpensive</v>
      </c>
      <c r="L379" s="37"/>
      <c r="N379" s="37"/>
      <c r="O379" s="37"/>
      <c r="P379" s="37"/>
      <c r="Q379" s="37"/>
      <c r="R379" s="37"/>
      <c r="S379" s="37"/>
      <c r="T379" s="37"/>
      <c r="V379"/>
      <c r="X379"/>
    </row>
    <row r="380" spans="1:24" ht="15" customHeight="1" thickBot="1" x14ac:dyDescent="0.35">
      <c r="A380" s="38">
        <v>43478.845138888886</v>
      </c>
      <c r="B380" s="39">
        <v>141602</v>
      </c>
      <c r="C380" s="36" t="s">
        <v>113</v>
      </c>
      <c r="D380" s="17">
        <v>7850000000000</v>
      </c>
      <c r="E380" s="16" t="s">
        <v>130</v>
      </c>
      <c r="F380" s="17">
        <v>1</v>
      </c>
      <c r="G380" s="18">
        <v>149.99</v>
      </c>
      <c r="H380" s="17">
        <v>97.493499999999997</v>
      </c>
      <c r="I380" s="18">
        <v>149.99</v>
      </c>
      <c r="J380" s="18">
        <v>52.496499999999997</v>
      </c>
      <c r="K380" s="37" t="str">
        <f t="shared" si="7"/>
        <v>Inexpensive</v>
      </c>
      <c r="L380" s="37"/>
      <c r="N380" s="37"/>
      <c r="O380" s="37"/>
      <c r="P380" s="37"/>
      <c r="Q380" s="37"/>
      <c r="R380" s="37"/>
      <c r="S380" s="37"/>
      <c r="T380" s="37"/>
      <c r="V380"/>
      <c r="X380"/>
    </row>
    <row r="381" spans="1:24" ht="15" customHeight="1" thickBot="1" x14ac:dyDescent="0.35">
      <c r="A381" s="38">
        <v>43489.45416666667</v>
      </c>
      <c r="B381" s="39">
        <v>141603</v>
      </c>
      <c r="C381" s="36" t="s">
        <v>112</v>
      </c>
      <c r="D381" s="17">
        <v>5170000000000</v>
      </c>
      <c r="E381" s="16" t="s">
        <v>131</v>
      </c>
      <c r="F381" s="17">
        <v>1</v>
      </c>
      <c r="G381" s="18">
        <v>11.99</v>
      </c>
      <c r="H381" s="17">
        <v>5.9950000000000001</v>
      </c>
      <c r="I381" s="18">
        <v>11.99</v>
      </c>
      <c r="J381" s="18">
        <v>5.9950000000000001</v>
      </c>
      <c r="K381" s="37" t="str">
        <f t="shared" si="7"/>
        <v>Inexpensive</v>
      </c>
      <c r="L381" s="37"/>
      <c r="N381" s="37"/>
      <c r="O381" s="37"/>
      <c r="P381" s="37"/>
      <c r="Q381" s="37"/>
      <c r="R381" s="37"/>
      <c r="S381" s="37"/>
      <c r="T381" s="37"/>
      <c r="V381"/>
      <c r="X381"/>
    </row>
    <row r="382" spans="1:24" ht="15" customHeight="1" thickBot="1" x14ac:dyDescent="0.35">
      <c r="A382" s="38">
        <v>43466.998611111114</v>
      </c>
      <c r="B382" s="39">
        <v>141604</v>
      </c>
      <c r="C382" s="36" t="s">
        <v>113</v>
      </c>
      <c r="D382" s="17">
        <v>3030000000000</v>
      </c>
      <c r="E382" s="16" t="s">
        <v>132</v>
      </c>
      <c r="F382" s="17">
        <v>1</v>
      </c>
      <c r="G382" s="18">
        <v>149.99</v>
      </c>
      <c r="H382" s="17">
        <v>97.493499999999997</v>
      </c>
      <c r="I382" s="18">
        <v>149.99</v>
      </c>
      <c r="J382" s="18">
        <v>52.496499999999997</v>
      </c>
      <c r="K382" s="37" t="str">
        <f t="shared" si="7"/>
        <v>Inexpensive</v>
      </c>
      <c r="L382" s="37"/>
      <c r="N382" s="37"/>
      <c r="O382" s="37"/>
      <c r="P382" s="37"/>
      <c r="Q382" s="37"/>
      <c r="R382" s="37"/>
      <c r="S382" s="37"/>
      <c r="T382" s="37"/>
      <c r="V382"/>
      <c r="X382"/>
    </row>
    <row r="383" spans="1:24" ht="15" customHeight="1" thickBot="1" x14ac:dyDescent="0.35">
      <c r="A383" s="38">
        <v>43475.827777777777</v>
      </c>
      <c r="B383" s="39">
        <v>141605</v>
      </c>
      <c r="C383" s="36" t="s">
        <v>112</v>
      </c>
      <c r="D383" s="17">
        <v>4090000000000</v>
      </c>
      <c r="E383" s="16" t="s">
        <v>130</v>
      </c>
      <c r="F383" s="17">
        <v>1</v>
      </c>
      <c r="G383" s="18">
        <v>11.99</v>
      </c>
      <c r="H383" s="17">
        <v>5.9950000000000001</v>
      </c>
      <c r="I383" s="18">
        <v>11.99</v>
      </c>
      <c r="J383" s="18">
        <v>5.9950000000000001</v>
      </c>
      <c r="K383" s="37" t="str">
        <f t="shared" si="7"/>
        <v>Inexpensive</v>
      </c>
      <c r="L383" s="37"/>
      <c r="N383" s="37"/>
      <c r="O383" s="37"/>
      <c r="P383" s="37"/>
      <c r="Q383" s="37"/>
      <c r="R383" s="37"/>
      <c r="S383" s="37"/>
      <c r="T383" s="37"/>
      <c r="V383"/>
      <c r="X383"/>
    </row>
    <row r="384" spans="1:24" ht="15" customHeight="1" thickBot="1" x14ac:dyDescent="0.35">
      <c r="A384" s="38">
        <v>43467.05972222222</v>
      </c>
      <c r="B384" s="39">
        <v>141606</v>
      </c>
      <c r="C384" s="36" t="s">
        <v>111</v>
      </c>
      <c r="D384" s="17">
        <v>3620000000000</v>
      </c>
      <c r="E384" s="16" t="s">
        <v>131</v>
      </c>
      <c r="F384" s="17">
        <v>1</v>
      </c>
      <c r="G384" s="18">
        <v>14.95</v>
      </c>
      <c r="H384" s="17">
        <v>7.4749999999999996</v>
      </c>
      <c r="I384" s="18">
        <v>14.95</v>
      </c>
      <c r="J384" s="18">
        <v>7.4749999999999996</v>
      </c>
      <c r="K384" s="37" t="str">
        <f t="shared" si="7"/>
        <v>Inexpensive</v>
      </c>
      <c r="L384" s="37"/>
      <c r="N384" s="37"/>
      <c r="O384" s="37"/>
      <c r="P384" s="37"/>
      <c r="Q384" s="37"/>
      <c r="R384" s="37"/>
      <c r="S384" s="37"/>
      <c r="T384" s="37"/>
      <c r="V384"/>
      <c r="X384"/>
    </row>
    <row r="385" spans="1:24" ht="15" customHeight="1" thickBot="1" x14ac:dyDescent="0.35">
      <c r="A385" s="38">
        <v>43492.845833333333</v>
      </c>
      <c r="B385" s="39">
        <v>141607</v>
      </c>
      <c r="C385" s="36" t="s">
        <v>122</v>
      </c>
      <c r="D385" s="17">
        <v>9440000000000</v>
      </c>
      <c r="E385" s="16" t="s">
        <v>131</v>
      </c>
      <c r="F385" s="17">
        <v>2</v>
      </c>
      <c r="G385" s="18">
        <v>3.84</v>
      </c>
      <c r="H385" s="17">
        <v>1.92</v>
      </c>
      <c r="I385" s="18">
        <v>7.68</v>
      </c>
      <c r="J385" s="18">
        <v>3.84</v>
      </c>
      <c r="K385" s="37" t="str">
        <f t="shared" si="7"/>
        <v>Inexpensive</v>
      </c>
      <c r="L385" s="37"/>
      <c r="N385" s="37"/>
      <c r="O385" s="37"/>
      <c r="P385" s="37"/>
      <c r="Q385" s="37"/>
      <c r="R385" s="37"/>
      <c r="S385" s="37"/>
      <c r="T385" s="37"/>
      <c r="V385"/>
      <c r="X385"/>
    </row>
    <row r="386" spans="1:24" ht="15" customHeight="1" thickBot="1" x14ac:dyDescent="0.35">
      <c r="A386" s="38">
        <v>43479.740972222222</v>
      </c>
      <c r="B386" s="39">
        <v>141608</v>
      </c>
      <c r="C386" s="36" t="s">
        <v>111</v>
      </c>
      <c r="D386" s="17">
        <v>9320000000000</v>
      </c>
      <c r="E386" s="16" t="s">
        <v>130</v>
      </c>
      <c r="F386" s="17">
        <v>1</v>
      </c>
      <c r="G386" s="18">
        <v>14.95</v>
      </c>
      <c r="H386" s="17">
        <v>7.4749999999999996</v>
      </c>
      <c r="I386" s="18">
        <v>14.95</v>
      </c>
      <c r="J386" s="18">
        <v>7.4749999999999996</v>
      </c>
      <c r="K386" s="37" t="str">
        <f t="shared" si="7"/>
        <v>Inexpensive</v>
      </c>
      <c r="L386" s="37"/>
      <c r="N386" s="37"/>
      <c r="O386" s="37"/>
      <c r="P386" s="37"/>
      <c r="Q386" s="37"/>
      <c r="R386" s="37"/>
      <c r="S386" s="37"/>
      <c r="T386" s="37"/>
      <c r="V386"/>
      <c r="X386"/>
    </row>
    <row r="387" spans="1:24" ht="15" customHeight="1" thickBot="1" x14ac:dyDescent="0.35">
      <c r="A387" s="38">
        <v>43469.586805555555</v>
      </c>
      <c r="B387" s="39">
        <v>141609</v>
      </c>
      <c r="C387" s="36" t="s">
        <v>118</v>
      </c>
      <c r="D387" s="17">
        <v>7570000000000</v>
      </c>
      <c r="E387" s="16" t="s">
        <v>131</v>
      </c>
      <c r="F387" s="17">
        <v>1</v>
      </c>
      <c r="G387" s="18">
        <v>150</v>
      </c>
      <c r="H387" s="17">
        <v>97.5</v>
      </c>
      <c r="I387" s="18">
        <v>150</v>
      </c>
      <c r="J387" s="18">
        <v>52.5</v>
      </c>
      <c r="K387" s="37" t="str">
        <f t="shared" ref="K387:K450" si="8">IF(G387&gt;=700,"Expensive","Inexpensive")</f>
        <v>Inexpensive</v>
      </c>
      <c r="L387" s="37"/>
      <c r="N387" s="37"/>
      <c r="O387" s="37"/>
      <c r="P387" s="37"/>
      <c r="Q387" s="37"/>
      <c r="R387" s="37"/>
      <c r="S387" s="37"/>
      <c r="T387" s="37"/>
      <c r="V387"/>
      <c r="X387"/>
    </row>
    <row r="388" spans="1:24" ht="15" customHeight="1" thickBot="1" x14ac:dyDescent="0.35">
      <c r="A388" s="38">
        <v>43494.704861111109</v>
      </c>
      <c r="B388" s="39">
        <v>141610</v>
      </c>
      <c r="C388" s="36" t="s">
        <v>111</v>
      </c>
      <c r="D388" s="17">
        <v>5970000000000</v>
      </c>
      <c r="E388" s="16" t="s">
        <v>132</v>
      </c>
      <c r="F388" s="17">
        <v>1</v>
      </c>
      <c r="G388" s="18">
        <v>14.95</v>
      </c>
      <c r="H388" s="17">
        <v>7.4749999999999996</v>
      </c>
      <c r="I388" s="18">
        <v>14.95</v>
      </c>
      <c r="J388" s="18">
        <v>7.4749999999999996</v>
      </c>
      <c r="K388" s="37" t="str">
        <f t="shared" si="8"/>
        <v>Inexpensive</v>
      </c>
      <c r="L388" s="37"/>
      <c r="N388" s="37"/>
      <c r="O388" s="37"/>
      <c r="P388" s="37"/>
      <c r="Q388" s="37"/>
      <c r="R388" s="37"/>
      <c r="S388" s="37"/>
      <c r="T388" s="37"/>
      <c r="V388"/>
      <c r="X388"/>
    </row>
    <row r="389" spans="1:24" ht="15" customHeight="1" thickBot="1" x14ac:dyDescent="0.35">
      <c r="A389" s="38">
        <v>43492.770138888889</v>
      </c>
      <c r="B389" s="39">
        <v>141611</v>
      </c>
      <c r="C389" s="36" t="s">
        <v>118</v>
      </c>
      <c r="D389" s="17">
        <v>6380000000000</v>
      </c>
      <c r="E389" s="16" t="s">
        <v>130</v>
      </c>
      <c r="F389" s="17">
        <v>1</v>
      </c>
      <c r="G389" s="18">
        <v>150</v>
      </c>
      <c r="H389" s="17">
        <v>97.5</v>
      </c>
      <c r="I389" s="18">
        <v>150</v>
      </c>
      <c r="J389" s="18">
        <v>52.5</v>
      </c>
      <c r="K389" s="37" t="str">
        <f t="shared" si="8"/>
        <v>Inexpensive</v>
      </c>
      <c r="L389" s="37"/>
      <c r="N389" s="37"/>
      <c r="O389" s="37"/>
      <c r="P389" s="37"/>
      <c r="Q389" s="37"/>
      <c r="R389" s="37"/>
      <c r="S389" s="37"/>
      <c r="T389" s="37"/>
      <c r="V389"/>
      <c r="X389"/>
    </row>
    <row r="390" spans="1:24" ht="15" customHeight="1" thickBot="1" x14ac:dyDescent="0.35">
      <c r="A390" s="38">
        <v>43489.439583333333</v>
      </c>
      <c r="B390" s="39">
        <v>141612</v>
      </c>
      <c r="C390" s="36" t="s">
        <v>118</v>
      </c>
      <c r="D390" s="17">
        <v>7770000000000</v>
      </c>
      <c r="E390" s="16" t="s">
        <v>132</v>
      </c>
      <c r="F390" s="17">
        <v>1</v>
      </c>
      <c r="G390" s="18">
        <v>150</v>
      </c>
      <c r="H390" s="17">
        <v>97.5</v>
      </c>
      <c r="I390" s="18">
        <v>150</v>
      </c>
      <c r="J390" s="18">
        <v>52.5</v>
      </c>
      <c r="K390" s="37" t="str">
        <f t="shared" si="8"/>
        <v>Inexpensive</v>
      </c>
      <c r="L390" s="37"/>
      <c r="N390" s="37"/>
      <c r="O390" s="37"/>
      <c r="P390" s="37"/>
      <c r="Q390" s="37"/>
      <c r="R390" s="37"/>
      <c r="S390" s="37"/>
      <c r="T390" s="37"/>
      <c r="V390"/>
      <c r="X390"/>
    </row>
    <row r="391" spans="1:24" ht="15" customHeight="1" thickBot="1" x14ac:dyDescent="0.35">
      <c r="A391" s="38">
        <v>43466.431250000001</v>
      </c>
      <c r="B391" s="39">
        <v>141613</v>
      </c>
      <c r="C391" s="36" t="s">
        <v>114</v>
      </c>
      <c r="D391" s="17">
        <v>9520000000000</v>
      </c>
      <c r="E391" s="16" t="s">
        <v>132</v>
      </c>
      <c r="F391" s="17">
        <v>1</v>
      </c>
      <c r="G391" s="18">
        <v>2.99</v>
      </c>
      <c r="H391" s="17">
        <v>1.4950000000000001</v>
      </c>
      <c r="I391" s="18">
        <v>2.99</v>
      </c>
      <c r="J391" s="18">
        <v>1.4950000000000001</v>
      </c>
      <c r="K391" s="37" t="str">
        <f t="shared" si="8"/>
        <v>Inexpensive</v>
      </c>
      <c r="L391" s="37"/>
      <c r="N391" s="37"/>
      <c r="O391" s="37"/>
      <c r="P391" s="37"/>
      <c r="Q391" s="37"/>
      <c r="R391" s="37"/>
      <c r="S391" s="37"/>
      <c r="T391" s="37"/>
      <c r="V391"/>
      <c r="X391"/>
    </row>
    <row r="392" spans="1:24" ht="15" customHeight="1" thickBot="1" x14ac:dyDescent="0.35">
      <c r="A392" s="38">
        <v>43474.543749999997</v>
      </c>
      <c r="B392" s="39">
        <v>141614</v>
      </c>
      <c r="C392" s="36" t="s">
        <v>122</v>
      </c>
      <c r="D392" s="17">
        <v>7610000000000</v>
      </c>
      <c r="E392" s="16" t="s">
        <v>130</v>
      </c>
      <c r="F392" s="17">
        <v>1</v>
      </c>
      <c r="G392" s="18">
        <v>3.84</v>
      </c>
      <c r="H392" s="17">
        <v>1.92</v>
      </c>
      <c r="I392" s="18">
        <v>3.84</v>
      </c>
      <c r="J392" s="18">
        <v>1.92</v>
      </c>
      <c r="K392" s="37" t="str">
        <f t="shared" si="8"/>
        <v>Inexpensive</v>
      </c>
      <c r="L392" s="37"/>
      <c r="N392" s="37"/>
      <c r="O392" s="37"/>
      <c r="P392" s="37"/>
      <c r="Q392" s="37"/>
      <c r="R392" s="37"/>
      <c r="S392" s="37"/>
      <c r="T392" s="37"/>
      <c r="V392"/>
      <c r="X392"/>
    </row>
    <row r="393" spans="1:24" ht="15" customHeight="1" thickBot="1" x14ac:dyDescent="0.35">
      <c r="A393" s="38">
        <v>43489.777083333334</v>
      </c>
      <c r="B393" s="39">
        <v>141615</v>
      </c>
      <c r="C393" s="36" t="s">
        <v>112</v>
      </c>
      <c r="D393" s="17">
        <v>1240000000000</v>
      </c>
      <c r="E393" s="16" t="s">
        <v>132</v>
      </c>
      <c r="F393" s="17">
        <v>1</v>
      </c>
      <c r="G393" s="18">
        <v>11.99</v>
      </c>
      <c r="H393" s="17">
        <v>5.9950000000000001</v>
      </c>
      <c r="I393" s="18">
        <v>11.99</v>
      </c>
      <c r="J393" s="18">
        <v>5.9950000000000001</v>
      </c>
      <c r="K393" s="37" t="str">
        <f t="shared" si="8"/>
        <v>Inexpensive</v>
      </c>
      <c r="L393" s="37"/>
      <c r="N393" s="37"/>
      <c r="O393" s="37"/>
      <c r="P393" s="37"/>
      <c r="Q393" s="37"/>
      <c r="R393" s="37"/>
      <c r="S393" s="37"/>
      <c r="T393" s="37"/>
      <c r="V393"/>
      <c r="X393"/>
    </row>
    <row r="394" spans="1:24" ht="15" customHeight="1" thickBot="1" x14ac:dyDescent="0.35">
      <c r="A394" s="38">
        <v>43489.038888888892</v>
      </c>
      <c r="B394" s="39">
        <v>141616</v>
      </c>
      <c r="C394" s="36" t="s">
        <v>122</v>
      </c>
      <c r="D394" s="17">
        <v>9190000000000</v>
      </c>
      <c r="E394" s="16" t="s">
        <v>132</v>
      </c>
      <c r="F394" s="17">
        <v>1</v>
      </c>
      <c r="G394" s="18">
        <v>3.84</v>
      </c>
      <c r="H394" s="17">
        <v>1.92</v>
      </c>
      <c r="I394" s="18">
        <v>3.84</v>
      </c>
      <c r="J394" s="18">
        <v>1.92</v>
      </c>
      <c r="K394" s="37" t="str">
        <f t="shared" si="8"/>
        <v>Inexpensive</v>
      </c>
      <c r="L394" s="37"/>
      <c r="N394" s="37"/>
      <c r="O394" s="37"/>
      <c r="P394" s="37"/>
      <c r="Q394" s="37"/>
      <c r="R394" s="37"/>
      <c r="S394" s="37"/>
      <c r="T394" s="37"/>
      <c r="V394"/>
      <c r="X394"/>
    </row>
    <row r="395" spans="1:24" ht="15" customHeight="1" thickBot="1" x14ac:dyDescent="0.35">
      <c r="A395" s="38">
        <v>43491.083333333336</v>
      </c>
      <c r="B395" s="39">
        <v>141617</v>
      </c>
      <c r="C395" s="36" t="s">
        <v>112</v>
      </c>
      <c r="D395" s="17">
        <v>6200000000000</v>
      </c>
      <c r="E395" s="16" t="s">
        <v>131</v>
      </c>
      <c r="F395" s="17">
        <v>1</v>
      </c>
      <c r="G395" s="18">
        <v>11.99</v>
      </c>
      <c r="H395" s="17">
        <v>5.9950000000000001</v>
      </c>
      <c r="I395" s="18">
        <v>11.99</v>
      </c>
      <c r="J395" s="18">
        <v>5.9950000000000001</v>
      </c>
      <c r="K395" s="37" t="str">
        <f t="shared" si="8"/>
        <v>Inexpensive</v>
      </c>
      <c r="L395" s="37"/>
      <c r="N395" s="37"/>
      <c r="O395" s="37"/>
      <c r="P395" s="37"/>
      <c r="Q395" s="37"/>
      <c r="R395" s="37"/>
      <c r="S395" s="37"/>
      <c r="T395" s="37"/>
      <c r="V395"/>
      <c r="X395"/>
    </row>
    <row r="396" spans="1:24" ht="15" customHeight="1" thickBot="1" x14ac:dyDescent="0.35">
      <c r="A396" s="38">
        <v>43474.463194444441</v>
      </c>
      <c r="B396" s="39">
        <v>141618</v>
      </c>
      <c r="C396" s="36" t="s">
        <v>117</v>
      </c>
      <c r="D396" s="17">
        <v>5070000000000</v>
      </c>
      <c r="E396" s="16" t="s">
        <v>130</v>
      </c>
      <c r="F396" s="17">
        <v>1</v>
      </c>
      <c r="G396" s="18">
        <v>99.99</v>
      </c>
      <c r="H396" s="17">
        <v>49.994999999999997</v>
      </c>
      <c r="I396" s="18">
        <v>99.99</v>
      </c>
      <c r="J396" s="18">
        <v>49.994999999999997</v>
      </c>
      <c r="K396" s="37" t="str">
        <f t="shared" si="8"/>
        <v>Inexpensive</v>
      </c>
      <c r="L396" s="37"/>
      <c r="N396" s="37"/>
      <c r="O396" s="37"/>
      <c r="P396" s="37"/>
      <c r="Q396" s="37"/>
      <c r="R396" s="37"/>
      <c r="S396" s="37"/>
      <c r="T396" s="37"/>
      <c r="V396"/>
      <c r="X396"/>
    </row>
    <row r="397" spans="1:24" ht="15" customHeight="1" thickBot="1" x14ac:dyDescent="0.35">
      <c r="A397" s="38">
        <v>43477.84375</v>
      </c>
      <c r="B397" s="39">
        <v>141619</v>
      </c>
      <c r="C397" s="36" t="s">
        <v>113</v>
      </c>
      <c r="D397" s="17">
        <v>8390000000000</v>
      </c>
      <c r="E397" s="16" t="s">
        <v>131</v>
      </c>
      <c r="F397" s="17">
        <v>1</v>
      </c>
      <c r="G397" s="18">
        <v>149.99</v>
      </c>
      <c r="H397" s="17">
        <v>97.493499999999997</v>
      </c>
      <c r="I397" s="18">
        <v>149.99</v>
      </c>
      <c r="J397" s="18">
        <v>52.496499999999997</v>
      </c>
      <c r="K397" s="37" t="str">
        <f t="shared" si="8"/>
        <v>Inexpensive</v>
      </c>
      <c r="L397" s="37"/>
      <c r="N397" s="37"/>
      <c r="O397" s="37"/>
      <c r="P397" s="37"/>
      <c r="Q397" s="37"/>
      <c r="R397" s="37"/>
      <c r="S397" s="37"/>
      <c r="T397" s="37"/>
      <c r="V397"/>
      <c r="X397"/>
    </row>
    <row r="398" spans="1:24" ht="15" customHeight="1" thickBot="1" x14ac:dyDescent="0.35">
      <c r="A398" s="38">
        <v>43474.455555555556</v>
      </c>
      <c r="B398" s="39">
        <v>141620</v>
      </c>
      <c r="C398" s="36" t="s">
        <v>114</v>
      </c>
      <c r="D398" s="17">
        <v>8270000000000</v>
      </c>
      <c r="E398" s="16" t="s">
        <v>131</v>
      </c>
      <c r="F398" s="17">
        <v>3</v>
      </c>
      <c r="G398" s="18">
        <v>2.99</v>
      </c>
      <c r="H398" s="17">
        <v>1.4950000000000001</v>
      </c>
      <c r="I398" s="18">
        <v>8.9700000000000006</v>
      </c>
      <c r="J398" s="18">
        <v>4.4850000000000003</v>
      </c>
      <c r="K398" s="37" t="str">
        <f t="shared" si="8"/>
        <v>Inexpensive</v>
      </c>
      <c r="L398" s="37"/>
      <c r="N398" s="37"/>
      <c r="O398" s="37"/>
      <c r="P398" s="37"/>
      <c r="Q398" s="37"/>
      <c r="R398" s="37"/>
      <c r="S398" s="37"/>
      <c r="T398" s="37"/>
      <c r="V398"/>
      <c r="X398"/>
    </row>
    <row r="399" spans="1:24" ht="15" customHeight="1" thickBot="1" x14ac:dyDescent="0.35">
      <c r="A399" s="38">
        <v>43477.40902777778</v>
      </c>
      <c r="B399" s="39">
        <v>141621</v>
      </c>
      <c r="C399" s="36" t="s">
        <v>114</v>
      </c>
      <c r="D399" s="17">
        <v>6300000000000</v>
      </c>
      <c r="E399" s="16" t="s">
        <v>130</v>
      </c>
      <c r="F399" s="17">
        <v>1</v>
      </c>
      <c r="G399" s="18">
        <v>2.99</v>
      </c>
      <c r="H399" s="17">
        <v>1.4950000000000001</v>
      </c>
      <c r="I399" s="18">
        <v>2.99</v>
      </c>
      <c r="J399" s="18">
        <v>1.4950000000000001</v>
      </c>
      <c r="K399" s="37" t="str">
        <f t="shared" si="8"/>
        <v>Inexpensive</v>
      </c>
      <c r="L399" s="37"/>
      <c r="N399" s="37"/>
      <c r="O399" s="37"/>
      <c r="P399" s="37"/>
      <c r="Q399" s="37"/>
      <c r="R399" s="37"/>
      <c r="S399" s="37"/>
      <c r="T399" s="37"/>
      <c r="V399"/>
      <c r="X399"/>
    </row>
    <row r="400" spans="1:24" ht="15" customHeight="1" thickBot="1" x14ac:dyDescent="0.35">
      <c r="A400" s="38">
        <v>43492.531944444447</v>
      </c>
      <c r="B400" s="39">
        <v>141622</v>
      </c>
      <c r="C400" s="36" t="s">
        <v>116</v>
      </c>
      <c r="D400" s="17">
        <v>2460000000000</v>
      </c>
      <c r="E400" s="16" t="s">
        <v>132</v>
      </c>
      <c r="F400" s="17">
        <v>1</v>
      </c>
      <c r="G400" s="18">
        <v>11.95</v>
      </c>
      <c r="H400" s="17">
        <v>5.9749999999999996</v>
      </c>
      <c r="I400" s="18">
        <v>11.95</v>
      </c>
      <c r="J400" s="18">
        <v>5.9749999999999996</v>
      </c>
      <c r="K400" s="37" t="str">
        <f t="shared" si="8"/>
        <v>Inexpensive</v>
      </c>
      <c r="L400" s="37"/>
      <c r="N400" s="37"/>
      <c r="O400" s="37"/>
      <c r="P400" s="37"/>
      <c r="Q400" s="37"/>
      <c r="R400" s="37"/>
      <c r="S400" s="37"/>
      <c r="T400" s="37"/>
      <c r="V400"/>
      <c r="X400"/>
    </row>
    <row r="401" spans="1:24" ht="15" customHeight="1" thickBot="1" x14ac:dyDescent="0.35">
      <c r="A401" s="38">
        <v>43471.597916666666</v>
      </c>
      <c r="B401" s="39">
        <v>141623</v>
      </c>
      <c r="C401" s="36" t="s">
        <v>123</v>
      </c>
      <c r="D401" s="17">
        <v>6980000000000</v>
      </c>
      <c r="E401" s="16" t="s">
        <v>132</v>
      </c>
      <c r="F401" s="17">
        <v>1</v>
      </c>
      <c r="G401" s="18">
        <v>600</v>
      </c>
      <c r="H401" s="17">
        <v>198</v>
      </c>
      <c r="I401" s="18">
        <v>600</v>
      </c>
      <c r="J401" s="18">
        <v>402</v>
      </c>
      <c r="K401" s="37" t="str">
        <f t="shared" si="8"/>
        <v>Inexpensive</v>
      </c>
      <c r="L401" s="37"/>
      <c r="N401" s="37"/>
      <c r="O401" s="37"/>
      <c r="P401" s="37"/>
      <c r="Q401" s="37"/>
      <c r="R401" s="37"/>
      <c r="S401" s="37"/>
      <c r="T401" s="37"/>
      <c r="V401"/>
      <c r="X401"/>
    </row>
    <row r="402" spans="1:24" ht="15" customHeight="1" thickBot="1" x14ac:dyDescent="0.35">
      <c r="A402" s="38">
        <v>43483.879861111112</v>
      </c>
      <c r="B402" s="39">
        <v>141624</v>
      </c>
      <c r="C402" s="36" t="s">
        <v>116</v>
      </c>
      <c r="D402" s="17">
        <v>9180000000000</v>
      </c>
      <c r="E402" s="16" t="s">
        <v>131</v>
      </c>
      <c r="F402" s="17">
        <v>1</v>
      </c>
      <c r="G402" s="18">
        <v>11.95</v>
      </c>
      <c r="H402" s="17">
        <v>5.9749999999999996</v>
      </c>
      <c r="I402" s="18">
        <v>11.95</v>
      </c>
      <c r="J402" s="18">
        <v>5.9749999999999996</v>
      </c>
      <c r="K402" s="37" t="str">
        <f t="shared" si="8"/>
        <v>Inexpensive</v>
      </c>
      <c r="L402" s="37"/>
      <c r="N402" s="37"/>
      <c r="O402" s="37"/>
      <c r="P402" s="37"/>
      <c r="Q402" s="37"/>
      <c r="R402" s="37"/>
      <c r="S402" s="37"/>
      <c r="T402" s="37"/>
      <c r="V402"/>
      <c r="X402"/>
    </row>
    <row r="403" spans="1:24" ht="15" customHeight="1" thickBot="1" x14ac:dyDescent="0.35">
      <c r="A403" s="38">
        <v>43494.366666666669</v>
      </c>
      <c r="B403" s="39">
        <v>141625</v>
      </c>
      <c r="C403" s="36" t="s">
        <v>114</v>
      </c>
      <c r="D403" s="17">
        <v>9420000000000</v>
      </c>
      <c r="E403" s="16" t="s">
        <v>132</v>
      </c>
      <c r="F403" s="17">
        <v>4</v>
      </c>
      <c r="G403" s="18">
        <v>2.99</v>
      </c>
      <c r="H403" s="17">
        <v>1.4950000000000001</v>
      </c>
      <c r="I403" s="18">
        <v>11.96</v>
      </c>
      <c r="J403" s="18">
        <v>5.98</v>
      </c>
      <c r="K403" s="37" t="str">
        <f t="shared" si="8"/>
        <v>Inexpensive</v>
      </c>
      <c r="L403" s="37"/>
      <c r="N403" s="37"/>
      <c r="O403" s="37"/>
      <c r="P403" s="37"/>
      <c r="Q403" s="37"/>
      <c r="R403" s="37"/>
      <c r="S403" s="37"/>
      <c r="T403" s="37"/>
      <c r="V403"/>
      <c r="X403"/>
    </row>
    <row r="404" spans="1:24" ht="15" customHeight="1" thickBot="1" x14ac:dyDescent="0.35">
      <c r="A404" s="38">
        <v>43489.34652777778</v>
      </c>
      <c r="B404" s="39">
        <v>141626</v>
      </c>
      <c r="C404" s="36" t="s">
        <v>118</v>
      </c>
      <c r="D404" s="17">
        <v>6970000000000</v>
      </c>
      <c r="E404" s="16" t="s">
        <v>131</v>
      </c>
      <c r="F404" s="17">
        <v>1</v>
      </c>
      <c r="G404" s="18">
        <v>150</v>
      </c>
      <c r="H404" s="17">
        <v>97.5</v>
      </c>
      <c r="I404" s="18">
        <v>150</v>
      </c>
      <c r="J404" s="18">
        <v>52.5</v>
      </c>
      <c r="K404" s="37" t="str">
        <f t="shared" si="8"/>
        <v>Inexpensive</v>
      </c>
      <c r="L404" s="37"/>
      <c r="N404" s="37"/>
      <c r="O404" s="37"/>
      <c r="P404" s="37"/>
      <c r="Q404" s="37"/>
      <c r="R404" s="37"/>
      <c r="S404" s="37"/>
      <c r="T404" s="37"/>
      <c r="V404"/>
      <c r="X404"/>
    </row>
    <row r="405" spans="1:24" ht="15" customHeight="1" thickBot="1" x14ac:dyDescent="0.35">
      <c r="A405" s="38">
        <v>43481.418055555558</v>
      </c>
      <c r="B405" s="39">
        <v>141627</v>
      </c>
      <c r="C405" s="36" t="s">
        <v>120</v>
      </c>
      <c r="D405" s="17">
        <v>1960000000000</v>
      </c>
      <c r="E405" s="16" t="s">
        <v>131</v>
      </c>
      <c r="F405" s="17">
        <v>1</v>
      </c>
      <c r="G405" s="18">
        <v>300</v>
      </c>
      <c r="H405" s="17">
        <v>99</v>
      </c>
      <c r="I405" s="18">
        <v>300</v>
      </c>
      <c r="J405" s="18">
        <v>201</v>
      </c>
      <c r="K405" s="37" t="str">
        <f t="shared" si="8"/>
        <v>Inexpensive</v>
      </c>
      <c r="L405" s="37"/>
      <c r="N405" s="37"/>
      <c r="O405" s="37"/>
      <c r="P405" s="37"/>
      <c r="Q405" s="37"/>
      <c r="R405" s="37"/>
      <c r="S405" s="37"/>
      <c r="T405" s="37"/>
      <c r="V405"/>
      <c r="X405"/>
    </row>
    <row r="406" spans="1:24" ht="15" customHeight="1" thickBot="1" x14ac:dyDescent="0.35">
      <c r="A406" s="38">
        <v>43485.543749999997</v>
      </c>
      <c r="B406" s="39">
        <v>141628</v>
      </c>
      <c r="C406" s="36" t="s">
        <v>122</v>
      </c>
      <c r="D406" s="17">
        <v>5040000000000</v>
      </c>
      <c r="E406" s="16" t="s">
        <v>131</v>
      </c>
      <c r="F406" s="17">
        <v>1</v>
      </c>
      <c r="G406" s="18">
        <v>3.84</v>
      </c>
      <c r="H406" s="17">
        <v>1.92</v>
      </c>
      <c r="I406" s="18">
        <v>3.84</v>
      </c>
      <c r="J406" s="18">
        <v>1.92</v>
      </c>
      <c r="K406" s="37" t="str">
        <f t="shared" si="8"/>
        <v>Inexpensive</v>
      </c>
      <c r="L406" s="37"/>
      <c r="N406" s="37"/>
      <c r="O406" s="37"/>
      <c r="P406" s="37"/>
      <c r="Q406" s="37"/>
      <c r="R406" s="37"/>
      <c r="S406" s="37"/>
      <c r="T406" s="37"/>
      <c r="V406"/>
      <c r="X406"/>
    </row>
    <row r="407" spans="1:24" ht="15" customHeight="1" thickBot="1" x14ac:dyDescent="0.35">
      <c r="A407" s="38">
        <v>43492.515277777777</v>
      </c>
      <c r="B407" s="39">
        <v>141629</v>
      </c>
      <c r="C407" s="36" t="s">
        <v>113</v>
      </c>
      <c r="D407" s="17">
        <v>7490000000000</v>
      </c>
      <c r="E407" s="16" t="s">
        <v>130</v>
      </c>
      <c r="F407" s="17">
        <v>1</v>
      </c>
      <c r="G407" s="18">
        <v>149.99</v>
      </c>
      <c r="H407" s="17">
        <v>97.493499999999997</v>
      </c>
      <c r="I407" s="18">
        <v>149.99</v>
      </c>
      <c r="J407" s="18">
        <v>52.496499999999997</v>
      </c>
      <c r="K407" s="37" t="str">
        <f t="shared" si="8"/>
        <v>Inexpensive</v>
      </c>
      <c r="L407" s="37"/>
      <c r="N407" s="37"/>
      <c r="O407" s="37"/>
      <c r="P407" s="37"/>
      <c r="Q407" s="37"/>
      <c r="R407" s="37"/>
      <c r="S407" s="37"/>
      <c r="T407" s="37"/>
      <c r="V407"/>
      <c r="X407"/>
    </row>
    <row r="408" spans="1:24" ht="15" customHeight="1" thickBot="1" x14ac:dyDescent="0.35">
      <c r="A408" s="38">
        <v>43485.727777777778</v>
      </c>
      <c r="B408" s="39">
        <v>141630</v>
      </c>
      <c r="C408" s="36" t="s">
        <v>116</v>
      </c>
      <c r="D408" s="17">
        <v>7390000000000</v>
      </c>
      <c r="E408" s="16" t="s">
        <v>130</v>
      </c>
      <c r="F408" s="17">
        <v>1</v>
      </c>
      <c r="G408" s="18">
        <v>11.95</v>
      </c>
      <c r="H408" s="17">
        <v>5.9749999999999996</v>
      </c>
      <c r="I408" s="18">
        <v>11.95</v>
      </c>
      <c r="J408" s="18">
        <v>5.9749999999999996</v>
      </c>
      <c r="K408" s="37" t="str">
        <f t="shared" si="8"/>
        <v>Inexpensive</v>
      </c>
      <c r="L408" s="37"/>
      <c r="N408" s="37"/>
      <c r="O408" s="37"/>
      <c r="P408" s="37"/>
      <c r="Q408" s="37"/>
      <c r="R408" s="37"/>
      <c r="S408" s="37"/>
      <c r="T408" s="37"/>
      <c r="V408"/>
      <c r="X408"/>
    </row>
    <row r="409" spans="1:24" ht="15" customHeight="1" thickBot="1" x14ac:dyDescent="0.35">
      <c r="A409" s="38">
        <v>43480.32916666667</v>
      </c>
      <c r="B409" s="39">
        <v>141631</v>
      </c>
      <c r="C409" s="36" t="s">
        <v>111</v>
      </c>
      <c r="D409" s="17">
        <v>9860000000000</v>
      </c>
      <c r="E409" s="16" t="s">
        <v>131</v>
      </c>
      <c r="F409" s="17">
        <v>1</v>
      </c>
      <c r="G409" s="18">
        <v>14.95</v>
      </c>
      <c r="H409" s="17">
        <v>7.4749999999999996</v>
      </c>
      <c r="I409" s="18">
        <v>14.95</v>
      </c>
      <c r="J409" s="18">
        <v>7.4749999999999996</v>
      </c>
      <c r="K409" s="37" t="str">
        <f t="shared" si="8"/>
        <v>Inexpensive</v>
      </c>
      <c r="L409" s="37"/>
      <c r="N409" s="37"/>
      <c r="O409" s="37"/>
      <c r="P409" s="37"/>
      <c r="Q409" s="37"/>
      <c r="R409" s="37"/>
      <c r="S409" s="37"/>
      <c r="T409" s="37"/>
      <c r="V409"/>
      <c r="X409"/>
    </row>
    <row r="410" spans="1:24" ht="15" customHeight="1" thickBot="1" x14ac:dyDescent="0.35">
      <c r="A410" s="38">
        <v>43486.208333333336</v>
      </c>
      <c r="B410" s="39">
        <v>141632</v>
      </c>
      <c r="C410" s="36" t="s">
        <v>110</v>
      </c>
      <c r="D410" s="17">
        <v>6730000000000</v>
      </c>
      <c r="E410" s="16" t="s">
        <v>131</v>
      </c>
      <c r="F410" s="17">
        <v>1</v>
      </c>
      <c r="G410" s="18">
        <v>700</v>
      </c>
      <c r="H410" s="17">
        <v>231</v>
      </c>
      <c r="I410" s="18">
        <v>700</v>
      </c>
      <c r="J410" s="18">
        <v>469</v>
      </c>
      <c r="K410" s="37" t="str">
        <f t="shared" si="8"/>
        <v>Expensive</v>
      </c>
      <c r="L410" s="37"/>
      <c r="N410" s="37"/>
      <c r="O410" s="37"/>
      <c r="P410" s="37"/>
      <c r="Q410" s="37"/>
      <c r="R410" s="37"/>
      <c r="S410" s="37"/>
      <c r="T410" s="37"/>
      <c r="V410"/>
      <c r="X410"/>
    </row>
    <row r="411" spans="1:24" ht="15" customHeight="1" thickBot="1" x14ac:dyDescent="0.35">
      <c r="A411" s="38">
        <v>43477.861805555556</v>
      </c>
      <c r="B411" s="39">
        <v>141633</v>
      </c>
      <c r="C411" s="36" t="s">
        <v>122</v>
      </c>
      <c r="D411" s="17">
        <v>1980000000000</v>
      </c>
      <c r="E411" s="16" t="s">
        <v>130</v>
      </c>
      <c r="F411" s="17">
        <v>1</v>
      </c>
      <c r="G411" s="18">
        <v>3.84</v>
      </c>
      <c r="H411" s="17">
        <v>1.92</v>
      </c>
      <c r="I411" s="18">
        <v>3.84</v>
      </c>
      <c r="J411" s="18">
        <v>1.92</v>
      </c>
      <c r="K411" s="37" t="str">
        <f t="shared" si="8"/>
        <v>Inexpensive</v>
      </c>
      <c r="L411" s="37"/>
      <c r="N411" s="37"/>
      <c r="O411" s="37"/>
      <c r="P411" s="37"/>
      <c r="Q411" s="37"/>
      <c r="R411" s="37"/>
      <c r="S411" s="37"/>
      <c r="T411" s="37"/>
      <c r="V411"/>
      <c r="X411"/>
    </row>
    <row r="412" spans="1:24" ht="15" customHeight="1" thickBot="1" x14ac:dyDescent="0.35">
      <c r="A412" s="38">
        <v>43485.765972222223</v>
      </c>
      <c r="B412" s="39">
        <v>141634</v>
      </c>
      <c r="C412" s="36" t="s">
        <v>114</v>
      </c>
      <c r="D412" s="17">
        <v>5300000000000</v>
      </c>
      <c r="E412" s="16" t="s">
        <v>131</v>
      </c>
      <c r="F412" s="17">
        <v>1</v>
      </c>
      <c r="G412" s="18">
        <v>2.99</v>
      </c>
      <c r="H412" s="17">
        <v>1.4950000000000001</v>
      </c>
      <c r="I412" s="18">
        <v>2.99</v>
      </c>
      <c r="J412" s="18">
        <v>1.4950000000000001</v>
      </c>
      <c r="K412" s="37" t="str">
        <f t="shared" si="8"/>
        <v>Inexpensive</v>
      </c>
      <c r="L412" s="37"/>
      <c r="N412" s="37"/>
      <c r="O412" s="37"/>
      <c r="P412" s="37"/>
      <c r="Q412" s="37"/>
      <c r="R412" s="37"/>
      <c r="S412" s="37"/>
      <c r="T412" s="37"/>
      <c r="V412"/>
      <c r="X412"/>
    </row>
    <row r="413" spans="1:24" ht="15" customHeight="1" thickBot="1" x14ac:dyDescent="0.35">
      <c r="A413" s="38">
        <v>43478.305555555555</v>
      </c>
      <c r="B413" s="39">
        <v>141635</v>
      </c>
      <c r="C413" s="36" t="s">
        <v>112</v>
      </c>
      <c r="D413" s="17">
        <v>6980000000000</v>
      </c>
      <c r="E413" s="16" t="s">
        <v>130</v>
      </c>
      <c r="F413" s="17">
        <v>1</v>
      </c>
      <c r="G413" s="18">
        <v>11.99</v>
      </c>
      <c r="H413" s="17">
        <v>5.9950000000000001</v>
      </c>
      <c r="I413" s="18">
        <v>11.99</v>
      </c>
      <c r="J413" s="18">
        <v>5.9950000000000001</v>
      </c>
      <c r="K413" s="37" t="str">
        <f t="shared" si="8"/>
        <v>Inexpensive</v>
      </c>
      <c r="L413" s="37"/>
      <c r="N413" s="37"/>
      <c r="O413" s="37"/>
      <c r="P413" s="37"/>
      <c r="Q413" s="37"/>
      <c r="R413" s="37"/>
      <c r="S413" s="37"/>
      <c r="T413" s="37"/>
      <c r="V413"/>
      <c r="X413"/>
    </row>
    <row r="414" spans="1:24" ht="15" customHeight="1" thickBot="1" x14ac:dyDescent="0.35">
      <c r="A414" s="38">
        <v>43474.433333333334</v>
      </c>
      <c r="B414" s="39">
        <v>141636</v>
      </c>
      <c r="C414" s="36" t="s">
        <v>118</v>
      </c>
      <c r="D414" s="17">
        <v>5020000000000</v>
      </c>
      <c r="E414" s="16" t="s">
        <v>130</v>
      </c>
      <c r="F414" s="17">
        <v>1</v>
      </c>
      <c r="G414" s="18">
        <v>150</v>
      </c>
      <c r="H414" s="17">
        <v>97.5</v>
      </c>
      <c r="I414" s="18">
        <v>150</v>
      </c>
      <c r="J414" s="18">
        <v>52.5</v>
      </c>
      <c r="K414" s="37" t="str">
        <f t="shared" si="8"/>
        <v>Inexpensive</v>
      </c>
      <c r="L414" s="37"/>
      <c r="N414" s="37"/>
      <c r="O414" s="37"/>
      <c r="P414" s="37"/>
      <c r="Q414" s="37"/>
      <c r="R414" s="37"/>
      <c r="S414" s="37"/>
      <c r="T414" s="37"/>
      <c r="V414"/>
      <c r="X414"/>
    </row>
    <row r="415" spans="1:24" ht="15" customHeight="1" thickBot="1" x14ac:dyDescent="0.35">
      <c r="A415" s="38">
        <v>43469.741666666669</v>
      </c>
      <c r="B415" s="39">
        <v>141637</v>
      </c>
      <c r="C415" s="36" t="s">
        <v>122</v>
      </c>
      <c r="D415" s="17">
        <v>3980000000000</v>
      </c>
      <c r="E415" s="16" t="s">
        <v>132</v>
      </c>
      <c r="F415" s="17">
        <v>2</v>
      </c>
      <c r="G415" s="18">
        <v>3.84</v>
      </c>
      <c r="H415" s="17">
        <v>1.92</v>
      </c>
      <c r="I415" s="18">
        <v>7.68</v>
      </c>
      <c r="J415" s="18">
        <v>3.84</v>
      </c>
      <c r="K415" s="37" t="str">
        <f t="shared" si="8"/>
        <v>Inexpensive</v>
      </c>
      <c r="L415" s="37"/>
      <c r="N415" s="37"/>
      <c r="O415" s="37"/>
      <c r="P415" s="37"/>
      <c r="Q415" s="37"/>
      <c r="R415" s="37"/>
      <c r="S415" s="37"/>
      <c r="T415" s="37"/>
      <c r="V415"/>
      <c r="X415"/>
    </row>
    <row r="416" spans="1:24" ht="15" customHeight="1" thickBot="1" x14ac:dyDescent="0.35">
      <c r="A416" s="38">
        <v>43470.338194444441</v>
      </c>
      <c r="B416" s="39">
        <v>141638</v>
      </c>
      <c r="C416" s="36" t="s">
        <v>114</v>
      </c>
      <c r="D416" s="17">
        <v>2170000000000</v>
      </c>
      <c r="E416" s="16" t="s">
        <v>130</v>
      </c>
      <c r="F416" s="17">
        <v>2</v>
      </c>
      <c r="G416" s="18">
        <v>2.99</v>
      </c>
      <c r="H416" s="17">
        <v>1.4950000000000001</v>
      </c>
      <c r="I416" s="18">
        <v>5.98</v>
      </c>
      <c r="J416" s="18">
        <v>2.99</v>
      </c>
      <c r="K416" s="37" t="str">
        <f t="shared" si="8"/>
        <v>Inexpensive</v>
      </c>
      <c r="L416" s="37"/>
      <c r="N416" s="37"/>
      <c r="O416" s="37"/>
      <c r="P416" s="37"/>
      <c r="Q416" s="37"/>
      <c r="R416" s="37"/>
      <c r="S416" s="37"/>
      <c r="T416" s="37"/>
      <c r="V416"/>
      <c r="X416"/>
    </row>
    <row r="417" spans="1:24" ht="15" customHeight="1" thickBot="1" x14ac:dyDescent="0.35">
      <c r="A417" s="38">
        <v>43488.693749999999</v>
      </c>
      <c r="B417" s="39">
        <v>141639</v>
      </c>
      <c r="C417" s="36" t="s">
        <v>126</v>
      </c>
      <c r="D417" s="17">
        <v>7030000000000</v>
      </c>
      <c r="E417" s="16" t="s">
        <v>132</v>
      </c>
      <c r="F417" s="17">
        <v>1</v>
      </c>
      <c r="G417" s="18">
        <v>999.99</v>
      </c>
      <c r="H417" s="17">
        <v>329.99669999999998</v>
      </c>
      <c r="I417" s="18">
        <v>999.99</v>
      </c>
      <c r="J417" s="18">
        <v>669.99329999999998</v>
      </c>
      <c r="K417" s="37" t="str">
        <f t="shared" si="8"/>
        <v>Expensive</v>
      </c>
      <c r="L417" s="37"/>
      <c r="N417" s="37"/>
      <c r="O417" s="37"/>
      <c r="P417" s="37"/>
      <c r="Q417" s="37"/>
      <c r="R417" s="37"/>
      <c r="S417" s="37"/>
      <c r="T417" s="37"/>
      <c r="V417"/>
      <c r="X417"/>
    </row>
    <row r="418" spans="1:24" ht="15" customHeight="1" thickBot="1" x14ac:dyDescent="0.35">
      <c r="A418" s="38">
        <v>43467.060416666667</v>
      </c>
      <c r="B418" s="39">
        <v>141640</v>
      </c>
      <c r="C418" s="36" t="s">
        <v>119</v>
      </c>
      <c r="D418" s="17">
        <v>9810000000000</v>
      </c>
      <c r="E418" s="16" t="s">
        <v>130</v>
      </c>
      <c r="F418" s="17">
        <v>1</v>
      </c>
      <c r="G418" s="18">
        <v>1700</v>
      </c>
      <c r="H418" s="17">
        <v>561</v>
      </c>
      <c r="I418" s="18">
        <v>1700</v>
      </c>
      <c r="J418" s="18">
        <v>1139</v>
      </c>
      <c r="K418" s="37" t="str">
        <f t="shared" si="8"/>
        <v>Expensive</v>
      </c>
      <c r="L418" s="37"/>
      <c r="N418" s="37"/>
      <c r="O418" s="37"/>
      <c r="P418" s="37"/>
      <c r="Q418" s="37"/>
      <c r="R418" s="37"/>
      <c r="S418" s="37"/>
      <c r="T418" s="37"/>
      <c r="V418"/>
      <c r="X418"/>
    </row>
    <row r="419" spans="1:24" ht="15" customHeight="1" thickBot="1" x14ac:dyDescent="0.35">
      <c r="A419" s="38">
        <v>43495.466666666667</v>
      </c>
      <c r="B419" s="39">
        <v>141641</v>
      </c>
      <c r="C419" s="36" t="s">
        <v>124</v>
      </c>
      <c r="D419" s="17">
        <v>7430000000000</v>
      </c>
      <c r="E419" s="16" t="s">
        <v>132</v>
      </c>
      <c r="F419" s="17">
        <v>1</v>
      </c>
      <c r="G419" s="18">
        <v>109.99</v>
      </c>
      <c r="H419" s="17">
        <v>71.493499999999997</v>
      </c>
      <c r="I419" s="18">
        <v>109.99</v>
      </c>
      <c r="J419" s="18">
        <v>38.496499999999997</v>
      </c>
      <c r="K419" s="37" t="str">
        <f t="shared" si="8"/>
        <v>Inexpensive</v>
      </c>
      <c r="L419" s="37"/>
      <c r="N419" s="37"/>
      <c r="O419" s="37"/>
      <c r="P419" s="37"/>
      <c r="Q419" s="37"/>
      <c r="R419" s="37"/>
      <c r="S419" s="37"/>
      <c r="T419" s="37"/>
      <c r="V419"/>
      <c r="X419"/>
    </row>
    <row r="420" spans="1:24" ht="15" customHeight="1" thickBot="1" x14ac:dyDescent="0.35">
      <c r="A420" s="38">
        <v>43469.806250000001</v>
      </c>
      <c r="B420" s="39">
        <v>141642</v>
      </c>
      <c r="C420" s="36" t="s">
        <v>114</v>
      </c>
      <c r="D420" s="17">
        <v>4510000000000</v>
      </c>
      <c r="E420" s="16" t="s">
        <v>132</v>
      </c>
      <c r="F420" s="17">
        <v>1</v>
      </c>
      <c r="G420" s="18">
        <v>2.99</v>
      </c>
      <c r="H420" s="17">
        <v>1.4950000000000001</v>
      </c>
      <c r="I420" s="18">
        <v>2.99</v>
      </c>
      <c r="J420" s="18">
        <v>1.4950000000000001</v>
      </c>
      <c r="K420" s="37" t="str">
        <f t="shared" si="8"/>
        <v>Inexpensive</v>
      </c>
      <c r="L420" s="37"/>
      <c r="N420" s="37"/>
      <c r="O420" s="37"/>
      <c r="P420" s="37"/>
      <c r="Q420" s="37"/>
      <c r="R420" s="37"/>
      <c r="S420" s="37"/>
      <c r="T420" s="37"/>
      <c r="V420"/>
      <c r="X420"/>
    </row>
    <row r="421" spans="1:24" ht="15" customHeight="1" thickBot="1" x14ac:dyDescent="0.35">
      <c r="A421" s="38">
        <v>43494.90347222222</v>
      </c>
      <c r="B421" s="39">
        <v>141643</v>
      </c>
      <c r="C421" s="36" t="s">
        <v>117</v>
      </c>
      <c r="D421" s="17">
        <v>6170000000000</v>
      </c>
      <c r="E421" s="16" t="s">
        <v>132</v>
      </c>
      <c r="F421" s="17">
        <v>1</v>
      </c>
      <c r="G421" s="18">
        <v>99.99</v>
      </c>
      <c r="H421" s="17">
        <v>49.994999999999997</v>
      </c>
      <c r="I421" s="18">
        <v>99.99</v>
      </c>
      <c r="J421" s="18">
        <v>49.994999999999997</v>
      </c>
      <c r="K421" s="37" t="str">
        <f t="shared" si="8"/>
        <v>Inexpensive</v>
      </c>
      <c r="L421" s="37"/>
      <c r="N421" s="37"/>
      <c r="O421" s="37"/>
      <c r="P421" s="37"/>
      <c r="Q421" s="37"/>
      <c r="R421" s="37"/>
      <c r="S421" s="37"/>
      <c r="T421" s="37"/>
      <c r="V421"/>
      <c r="X421"/>
    </row>
    <row r="422" spans="1:24" ht="15" customHeight="1" thickBot="1" x14ac:dyDescent="0.35">
      <c r="A422" s="38">
        <v>43466.597916666666</v>
      </c>
      <c r="B422" s="39">
        <v>141644</v>
      </c>
      <c r="C422" s="36" t="s">
        <v>114</v>
      </c>
      <c r="D422" s="17">
        <v>2700000000000</v>
      </c>
      <c r="E422" s="16" t="s">
        <v>131</v>
      </c>
      <c r="F422" s="17">
        <v>1</v>
      </c>
      <c r="G422" s="18">
        <v>2.99</v>
      </c>
      <c r="H422" s="17">
        <v>1.4950000000000001</v>
      </c>
      <c r="I422" s="18">
        <v>2.99</v>
      </c>
      <c r="J422" s="18">
        <v>1.4950000000000001</v>
      </c>
      <c r="K422" s="37" t="str">
        <f t="shared" si="8"/>
        <v>Inexpensive</v>
      </c>
      <c r="L422" s="37"/>
      <c r="N422" s="37"/>
      <c r="O422" s="37"/>
      <c r="P422" s="37"/>
      <c r="Q422" s="37"/>
      <c r="R422" s="37"/>
      <c r="S422" s="37"/>
      <c r="T422" s="37"/>
      <c r="V422"/>
      <c r="X422"/>
    </row>
    <row r="423" spans="1:24" ht="15" customHeight="1" thickBot="1" x14ac:dyDescent="0.35">
      <c r="A423" s="38">
        <v>43495.645833333336</v>
      </c>
      <c r="B423" s="40">
        <v>141645</v>
      </c>
      <c r="C423" s="36" t="s">
        <v>111</v>
      </c>
      <c r="D423" s="17">
        <v>9010000000000</v>
      </c>
      <c r="E423" s="16" t="s">
        <v>130</v>
      </c>
      <c r="F423" s="17">
        <v>1</v>
      </c>
      <c r="G423" s="18">
        <v>14.95</v>
      </c>
      <c r="H423" s="17">
        <v>7.4749999999999996</v>
      </c>
      <c r="I423" s="18">
        <v>14.95</v>
      </c>
      <c r="J423" s="18">
        <v>7.4749999999999996</v>
      </c>
      <c r="K423" s="37" t="str">
        <f t="shared" si="8"/>
        <v>Inexpensive</v>
      </c>
      <c r="L423" s="37"/>
      <c r="N423" s="37"/>
      <c r="O423" s="37"/>
      <c r="P423" s="37"/>
      <c r="Q423" s="37"/>
      <c r="R423" s="37"/>
      <c r="S423" s="37"/>
      <c r="T423" s="37"/>
      <c r="V423"/>
      <c r="X423"/>
    </row>
    <row r="424" spans="1:24" ht="15" customHeight="1" thickBot="1" x14ac:dyDescent="0.35">
      <c r="A424" s="38">
        <v>43495.645833333336</v>
      </c>
      <c r="B424" s="40">
        <v>141645</v>
      </c>
      <c r="C424" s="36" t="s">
        <v>112</v>
      </c>
      <c r="D424" s="17">
        <v>9710000000000</v>
      </c>
      <c r="E424" s="16" t="s">
        <v>132</v>
      </c>
      <c r="F424" s="17">
        <v>1</v>
      </c>
      <c r="G424" s="18">
        <v>11.99</v>
      </c>
      <c r="H424" s="17">
        <v>5.9950000000000001</v>
      </c>
      <c r="I424" s="18">
        <v>11.99</v>
      </c>
      <c r="J424" s="18">
        <v>5.9950000000000001</v>
      </c>
      <c r="K424" s="37" t="str">
        <f t="shared" si="8"/>
        <v>Inexpensive</v>
      </c>
      <c r="L424" s="37"/>
      <c r="N424" s="37"/>
      <c r="O424" s="37"/>
      <c r="P424" s="37"/>
      <c r="Q424" s="37"/>
      <c r="R424" s="37"/>
      <c r="S424" s="37"/>
      <c r="T424" s="37"/>
      <c r="V424"/>
      <c r="X424"/>
    </row>
    <row r="425" spans="1:24" ht="15" customHeight="1" thickBot="1" x14ac:dyDescent="0.35">
      <c r="A425" s="38">
        <v>43466.874305555553</v>
      </c>
      <c r="B425" s="39">
        <v>141646</v>
      </c>
      <c r="C425" s="36" t="s">
        <v>111</v>
      </c>
      <c r="D425" s="17">
        <v>5520000000000</v>
      </c>
      <c r="E425" s="16" t="s">
        <v>132</v>
      </c>
      <c r="F425" s="17">
        <v>1</v>
      </c>
      <c r="G425" s="18">
        <v>14.95</v>
      </c>
      <c r="H425" s="17">
        <v>7.4749999999999996</v>
      </c>
      <c r="I425" s="18">
        <v>14.95</v>
      </c>
      <c r="J425" s="18">
        <v>7.4749999999999996</v>
      </c>
      <c r="K425" s="37" t="str">
        <f t="shared" si="8"/>
        <v>Inexpensive</v>
      </c>
      <c r="L425" s="37"/>
      <c r="N425" s="37"/>
      <c r="O425" s="37"/>
      <c r="P425" s="37"/>
      <c r="Q425" s="37"/>
      <c r="R425" s="37"/>
      <c r="S425" s="37"/>
      <c r="T425" s="37"/>
      <c r="V425"/>
      <c r="X425"/>
    </row>
    <row r="426" spans="1:24" ht="15" customHeight="1" thickBot="1" x14ac:dyDescent="0.35">
      <c r="A426" s="38">
        <v>43466.60833333333</v>
      </c>
      <c r="B426" s="39">
        <v>141647</v>
      </c>
      <c r="C426" s="36" t="s">
        <v>124</v>
      </c>
      <c r="D426" s="17">
        <v>9590000000000</v>
      </c>
      <c r="E426" s="16" t="s">
        <v>131</v>
      </c>
      <c r="F426" s="17">
        <v>1</v>
      </c>
      <c r="G426" s="18">
        <v>109.99</v>
      </c>
      <c r="H426" s="17">
        <v>71.493499999999997</v>
      </c>
      <c r="I426" s="18">
        <v>109.99</v>
      </c>
      <c r="J426" s="18">
        <v>38.496499999999997</v>
      </c>
      <c r="K426" s="37" t="str">
        <f t="shared" si="8"/>
        <v>Inexpensive</v>
      </c>
      <c r="L426" s="37"/>
      <c r="N426" s="37"/>
      <c r="O426" s="37"/>
      <c r="P426" s="37"/>
      <c r="Q426" s="37"/>
      <c r="R426" s="37"/>
      <c r="S426" s="37"/>
      <c r="T426" s="37"/>
      <c r="V426"/>
      <c r="X426"/>
    </row>
    <row r="427" spans="1:24" ht="15" customHeight="1" thickBot="1" x14ac:dyDescent="0.35">
      <c r="A427" s="38">
        <v>43468.704861111109</v>
      </c>
      <c r="B427" s="39">
        <v>141648</v>
      </c>
      <c r="C427" s="36" t="s">
        <v>123</v>
      </c>
      <c r="D427" s="17">
        <v>2750000000000</v>
      </c>
      <c r="E427" s="16" t="s">
        <v>131</v>
      </c>
      <c r="F427" s="17">
        <v>1</v>
      </c>
      <c r="G427" s="18">
        <v>600</v>
      </c>
      <c r="H427" s="17">
        <v>198</v>
      </c>
      <c r="I427" s="18">
        <v>600</v>
      </c>
      <c r="J427" s="18">
        <v>402</v>
      </c>
      <c r="K427" s="37" t="str">
        <f t="shared" si="8"/>
        <v>Inexpensive</v>
      </c>
      <c r="L427" s="37"/>
      <c r="N427" s="37"/>
      <c r="O427" s="37"/>
      <c r="P427" s="37"/>
      <c r="Q427" s="37"/>
      <c r="R427" s="37"/>
      <c r="S427" s="37"/>
      <c r="T427" s="37"/>
      <c r="V427"/>
      <c r="X427"/>
    </row>
    <row r="428" spans="1:24" ht="15" customHeight="1" thickBot="1" x14ac:dyDescent="0.35">
      <c r="A428" s="38">
        <v>43495.636111111111</v>
      </c>
      <c r="B428" s="39">
        <v>141649</v>
      </c>
      <c r="C428" s="36" t="s">
        <v>111</v>
      </c>
      <c r="D428" s="17">
        <v>2970000000000</v>
      </c>
      <c r="E428" s="16" t="s">
        <v>131</v>
      </c>
      <c r="F428" s="17">
        <v>1</v>
      </c>
      <c r="G428" s="18">
        <v>14.95</v>
      </c>
      <c r="H428" s="17">
        <v>7.4749999999999996</v>
      </c>
      <c r="I428" s="18">
        <v>14.95</v>
      </c>
      <c r="J428" s="18">
        <v>7.4749999999999996</v>
      </c>
      <c r="K428" s="37" t="str">
        <f t="shared" si="8"/>
        <v>Inexpensive</v>
      </c>
      <c r="L428" s="37"/>
      <c r="N428" s="37"/>
      <c r="O428" s="37"/>
      <c r="P428" s="37"/>
      <c r="Q428" s="37"/>
      <c r="R428" s="37"/>
      <c r="S428" s="37"/>
      <c r="T428" s="37"/>
      <c r="V428"/>
      <c r="X428"/>
    </row>
    <row r="429" spans="1:24" ht="15" customHeight="1" thickBot="1" x14ac:dyDescent="0.35">
      <c r="A429" s="38">
        <v>43487.519444444442</v>
      </c>
      <c r="B429" s="39">
        <v>141650</v>
      </c>
      <c r="C429" s="36" t="s">
        <v>114</v>
      </c>
      <c r="D429" s="17">
        <v>4650000000000</v>
      </c>
      <c r="E429" s="16" t="s">
        <v>130</v>
      </c>
      <c r="F429" s="17">
        <v>2</v>
      </c>
      <c r="G429" s="18">
        <v>2.99</v>
      </c>
      <c r="H429" s="17">
        <v>1.4950000000000001</v>
      </c>
      <c r="I429" s="18">
        <v>5.98</v>
      </c>
      <c r="J429" s="18">
        <v>2.99</v>
      </c>
      <c r="K429" s="37" t="str">
        <f t="shared" si="8"/>
        <v>Inexpensive</v>
      </c>
      <c r="L429" s="37"/>
      <c r="N429" s="37"/>
      <c r="O429" s="37"/>
      <c r="P429" s="37"/>
      <c r="Q429" s="37"/>
      <c r="R429" s="37"/>
      <c r="S429" s="37"/>
      <c r="T429" s="37"/>
      <c r="V429"/>
      <c r="X429"/>
    </row>
    <row r="430" spans="1:24" ht="15" customHeight="1" thickBot="1" x14ac:dyDescent="0.35">
      <c r="A430" s="38">
        <v>43489.356249999997</v>
      </c>
      <c r="B430" s="39">
        <v>141651</v>
      </c>
      <c r="C430" s="36" t="s">
        <v>122</v>
      </c>
      <c r="D430" s="17">
        <v>8870000000000</v>
      </c>
      <c r="E430" s="16" t="s">
        <v>131</v>
      </c>
      <c r="F430" s="17">
        <v>1</v>
      </c>
      <c r="G430" s="18">
        <v>3.84</v>
      </c>
      <c r="H430" s="17">
        <v>1.92</v>
      </c>
      <c r="I430" s="18">
        <v>3.84</v>
      </c>
      <c r="J430" s="18">
        <v>1.92</v>
      </c>
      <c r="K430" s="37" t="str">
        <f t="shared" si="8"/>
        <v>Inexpensive</v>
      </c>
      <c r="L430" s="37"/>
      <c r="N430" s="37"/>
      <c r="O430" s="37"/>
      <c r="P430" s="37"/>
      <c r="Q430" s="37"/>
      <c r="R430" s="37"/>
      <c r="S430" s="37"/>
      <c r="T430" s="37"/>
      <c r="V430"/>
      <c r="X430"/>
    </row>
    <row r="431" spans="1:24" ht="15" customHeight="1" thickBot="1" x14ac:dyDescent="0.35">
      <c r="A431" s="38">
        <v>43470.915277777778</v>
      </c>
      <c r="B431" s="39">
        <v>141652</v>
      </c>
      <c r="C431" s="36" t="s">
        <v>111</v>
      </c>
      <c r="D431" s="17">
        <v>7830000000000</v>
      </c>
      <c r="E431" s="16" t="s">
        <v>130</v>
      </c>
      <c r="F431" s="17">
        <v>1</v>
      </c>
      <c r="G431" s="18">
        <v>14.95</v>
      </c>
      <c r="H431" s="17">
        <v>7.4749999999999996</v>
      </c>
      <c r="I431" s="18">
        <v>14.95</v>
      </c>
      <c r="J431" s="18">
        <v>7.4749999999999996</v>
      </c>
      <c r="K431" s="37" t="str">
        <f t="shared" si="8"/>
        <v>Inexpensive</v>
      </c>
      <c r="L431" s="37"/>
      <c r="N431" s="37"/>
      <c r="O431" s="37"/>
      <c r="P431" s="37"/>
      <c r="Q431" s="37"/>
      <c r="R431" s="37"/>
      <c r="S431" s="37"/>
      <c r="T431" s="37"/>
      <c r="V431"/>
      <c r="X431"/>
    </row>
    <row r="432" spans="1:24" ht="15" customHeight="1" thickBot="1" x14ac:dyDescent="0.35">
      <c r="A432" s="38">
        <v>43493.990972222222</v>
      </c>
      <c r="B432" s="39">
        <v>141653</v>
      </c>
      <c r="C432" s="36" t="s">
        <v>122</v>
      </c>
      <c r="D432" s="17">
        <v>2650000000000</v>
      </c>
      <c r="E432" s="16" t="s">
        <v>130</v>
      </c>
      <c r="F432" s="17">
        <v>1</v>
      </c>
      <c r="G432" s="18">
        <v>3.84</v>
      </c>
      <c r="H432" s="17">
        <v>1.92</v>
      </c>
      <c r="I432" s="18">
        <v>3.84</v>
      </c>
      <c r="J432" s="18">
        <v>1.92</v>
      </c>
      <c r="K432" s="37" t="str">
        <f t="shared" si="8"/>
        <v>Inexpensive</v>
      </c>
      <c r="L432" s="37"/>
      <c r="N432" s="37"/>
      <c r="O432" s="37"/>
      <c r="P432" s="37"/>
      <c r="Q432" s="37"/>
      <c r="R432" s="37"/>
      <c r="S432" s="37"/>
      <c r="T432" s="37"/>
      <c r="V432"/>
      <c r="X432"/>
    </row>
    <row r="433" spans="1:24" ht="15" customHeight="1" thickBot="1" x14ac:dyDescent="0.35">
      <c r="A433" s="38">
        <v>43488.616666666669</v>
      </c>
      <c r="B433" s="39">
        <v>141654</v>
      </c>
      <c r="C433" s="36" t="s">
        <v>122</v>
      </c>
      <c r="D433" s="17">
        <v>4860000000000</v>
      </c>
      <c r="E433" s="16" t="s">
        <v>132</v>
      </c>
      <c r="F433" s="17">
        <v>1</v>
      </c>
      <c r="G433" s="18">
        <v>3.84</v>
      </c>
      <c r="H433" s="17">
        <v>1.92</v>
      </c>
      <c r="I433" s="18">
        <v>3.84</v>
      </c>
      <c r="J433" s="18">
        <v>1.92</v>
      </c>
      <c r="K433" s="37" t="str">
        <f t="shared" si="8"/>
        <v>Inexpensive</v>
      </c>
      <c r="L433" s="37"/>
      <c r="N433" s="37"/>
      <c r="O433" s="37"/>
      <c r="P433" s="37"/>
      <c r="Q433" s="37"/>
      <c r="R433" s="37"/>
      <c r="S433" s="37"/>
      <c r="T433" s="37"/>
      <c r="V433"/>
      <c r="X433"/>
    </row>
    <row r="434" spans="1:24" ht="15" customHeight="1" thickBot="1" x14ac:dyDescent="0.35">
      <c r="A434" s="38">
        <v>43481.568055555559</v>
      </c>
      <c r="B434" s="39">
        <v>141655</v>
      </c>
      <c r="C434" s="36" t="s">
        <v>112</v>
      </c>
      <c r="D434" s="17">
        <v>3170000000000</v>
      </c>
      <c r="E434" s="16" t="s">
        <v>131</v>
      </c>
      <c r="F434" s="17">
        <v>1</v>
      </c>
      <c r="G434" s="18">
        <v>11.99</v>
      </c>
      <c r="H434" s="17">
        <v>5.9950000000000001</v>
      </c>
      <c r="I434" s="18">
        <v>11.99</v>
      </c>
      <c r="J434" s="18">
        <v>5.9950000000000001</v>
      </c>
      <c r="K434" s="37" t="str">
        <f t="shared" si="8"/>
        <v>Inexpensive</v>
      </c>
      <c r="L434" s="37"/>
      <c r="N434" s="37"/>
      <c r="O434" s="37"/>
      <c r="P434" s="37"/>
      <c r="Q434" s="37"/>
      <c r="R434" s="37"/>
      <c r="S434" s="37"/>
      <c r="T434" s="37"/>
      <c r="V434"/>
      <c r="X434"/>
    </row>
    <row r="435" spans="1:24" ht="15" customHeight="1" thickBot="1" x14ac:dyDescent="0.35">
      <c r="A435" s="38">
        <v>43467.444444444445</v>
      </c>
      <c r="B435" s="39">
        <v>141656</v>
      </c>
      <c r="C435" s="36" t="s">
        <v>118</v>
      </c>
      <c r="D435" s="17">
        <v>2040000000000</v>
      </c>
      <c r="E435" s="16" t="s">
        <v>132</v>
      </c>
      <c r="F435" s="17">
        <v>1</v>
      </c>
      <c r="G435" s="18">
        <v>150</v>
      </c>
      <c r="H435" s="17">
        <v>97.5</v>
      </c>
      <c r="I435" s="18">
        <v>150</v>
      </c>
      <c r="J435" s="18">
        <v>52.5</v>
      </c>
      <c r="K435" s="37" t="str">
        <f t="shared" si="8"/>
        <v>Inexpensive</v>
      </c>
      <c r="L435" s="37"/>
      <c r="N435" s="37"/>
      <c r="O435" s="37"/>
      <c r="P435" s="37"/>
      <c r="Q435" s="37"/>
      <c r="R435" s="37"/>
      <c r="S435" s="37"/>
      <c r="T435" s="37"/>
      <c r="V435"/>
      <c r="X435"/>
    </row>
    <row r="436" spans="1:24" ht="15" customHeight="1" thickBot="1" x14ac:dyDescent="0.35">
      <c r="A436" s="38">
        <v>43478.85833333333</v>
      </c>
      <c r="B436" s="39">
        <v>141657</v>
      </c>
      <c r="C436" s="36" t="s">
        <v>114</v>
      </c>
      <c r="D436" s="17">
        <v>5110000000000</v>
      </c>
      <c r="E436" s="16" t="s">
        <v>132</v>
      </c>
      <c r="F436" s="17">
        <v>1</v>
      </c>
      <c r="G436" s="18">
        <v>2.99</v>
      </c>
      <c r="H436" s="17">
        <v>1.4950000000000001</v>
      </c>
      <c r="I436" s="18">
        <v>2.99</v>
      </c>
      <c r="J436" s="18">
        <v>1.4950000000000001</v>
      </c>
      <c r="K436" s="37" t="str">
        <f t="shared" si="8"/>
        <v>Inexpensive</v>
      </c>
      <c r="L436" s="37"/>
      <c r="N436" s="37"/>
      <c r="O436" s="37"/>
      <c r="P436" s="37"/>
      <c r="Q436" s="37"/>
      <c r="R436" s="37"/>
      <c r="S436" s="37"/>
      <c r="T436" s="37"/>
      <c r="V436"/>
      <c r="X436"/>
    </row>
    <row r="437" spans="1:24" ht="15" customHeight="1" thickBot="1" x14ac:dyDescent="0.35">
      <c r="A437" s="38">
        <v>43491.990972222222</v>
      </c>
      <c r="B437" s="39">
        <v>141658</v>
      </c>
      <c r="C437" s="36" t="s">
        <v>122</v>
      </c>
      <c r="D437" s="17">
        <v>4060000000000</v>
      </c>
      <c r="E437" s="16" t="s">
        <v>131</v>
      </c>
      <c r="F437" s="17">
        <v>1</v>
      </c>
      <c r="G437" s="18">
        <v>3.84</v>
      </c>
      <c r="H437" s="17">
        <v>1.92</v>
      </c>
      <c r="I437" s="18">
        <v>3.84</v>
      </c>
      <c r="J437" s="18">
        <v>1.92</v>
      </c>
      <c r="K437" s="37" t="str">
        <f t="shared" si="8"/>
        <v>Inexpensive</v>
      </c>
      <c r="L437" s="37"/>
      <c r="N437" s="37"/>
      <c r="O437" s="37"/>
      <c r="P437" s="37"/>
      <c r="Q437" s="37"/>
      <c r="R437" s="37"/>
      <c r="S437" s="37"/>
      <c r="T437" s="37"/>
      <c r="V437"/>
      <c r="X437"/>
    </row>
    <row r="438" spans="1:24" ht="15" customHeight="1" thickBot="1" x14ac:dyDescent="0.35">
      <c r="A438" s="38">
        <v>43493.661111111112</v>
      </c>
      <c r="B438" s="39">
        <v>141659</v>
      </c>
      <c r="C438" s="36" t="s">
        <v>119</v>
      </c>
      <c r="D438" s="17">
        <v>4520000000000</v>
      </c>
      <c r="E438" s="16" t="s">
        <v>132</v>
      </c>
      <c r="F438" s="17">
        <v>1</v>
      </c>
      <c r="G438" s="18">
        <v>1700</v>
      </c>
      <c r="H438" s="17">
        <v>561</v>
      </c>
      <c r="I438" s="18">
        <v>1700</v>
      </c>
      <c r="J438" s="18">
        <v>1139</v>
      </c>
      <c r="K438" s="37" t="str">
        <f t="shared" si="8"/>
        <v>Expensive</v>
      </c>
      <c r="L438" s="37"/>
      <c r="N438" s="37"/>
      <c r="O438" s="37"/>
      <c r="P438" s="37"/>
      <c r="Q438" s="37"/>
      <c r="R438" s="37"/>
      <c r="S438" s="37"/>
      <c r="T438" s="37"/>
      <c r="V438"/>
      <c r="X438"/>
    </row>
    <row r="439" spans="1:24" ht="15" customHeight="1" thickBot="1" x14ac:dyDescent="0.35">
      <c r="A439" s="38">
        <v>43476.581250000003</v>
      </c>
      <c r="B439" s="39">
        <v>141660</v>
      </c>
      <c r="C439" s="36" t="s">
        <v>116</v>
      </c>
      <c r="D439" s="17">
        <v>7340000000000</v>
      </c>
      <c r="E439" s="16" t="s">
        <v>132</v>
      </c>
      <c r="F439" s="17">
        <v>1</v>
      </c>
      <c r="G439" s="18">
        <v>11.95</v>
      </c>
      <c r="H439" s="17">
        <v>5.9749999999999996</v>
      </c>
      <c r="I439" s="18">
        <v>11.95</v>
      </c>
      <c r="J439" s="18">
        <v>5.9749999999999996</v>
      </c>
      <c r="K439" s="37" t="str">
        <f t="shared" si="8"/>
        <v>Inexpensive</v>
      </c>
      <c r="L439" s="37"/>
      <c r="N439" s="37"/>
      <c r="O439" s="37"/>
      <c r="P439" s="37"/>
      <c r="Q439" s="37"/>
      <c r="R439" s="37"/>
      <c r="S439" s="37"/>
      <c r="T439" s="37"/>
      <c r="V439"/>
      <c r="X439"/>
    </row>
    <row r="440" spans="1:24" ht="15" customHeight="1" thickBot="1" x14ac:dyDescent="0.35">
      <c r="A440" s="38">
        <v>43470.059027777781</v>
      </c>
      <c r="B440" s="39">
        <v>141661</v>
      </c>
      <c r="C440" s="36" t="s">
        <v>116</v>
      </c>
      <c r="D440" s="17">
        <v>3140000000000</v>
      </c>
      <c r="E440" s="16" t="s">
        <v>131</v>
      </c>
      <c r="F440" s="17">
        <v>1</v>
      </c>
      <c r="G440" s="18">
        <v>11.95</v>
      </c>
      <c r="H440" s="17">
        <v>5.9749999999999996</v>
      </c>
      <c r="I440" s="18">
        <v>11.95</v>
      </c>
      <c r="J440" s="18">
        <v>5.9749999999999996</v>
      </c>
      <c r="K440" s="37" t="str">
        <f t="shared" si="8"/>
        <v>Inexpensive</v>
      </c>
      <c r="L440" s="37"/>
      <c r="N440" s="37"/>
      <c r="O440" s="37"/>
      <c r="P440" s="37"/>
      <c r="Q440" s="37"/>
      <c r="R440" s="37"/>
      <c r="S440" s="37"/>
      <c r="T440" s="37"/>
      <c r="V440"/>
      <c r="X440"/>
    </row>
    <row r="441" spans="1:24" ht="15" customHeight="1" thickBot="1" x14ac:dyDescent="0.35">
      <c r="A441" s="38">
        <v>43481.54583333333</v>
      </c>
      <c r="B441" s="39">
        <v>141662</v>
      </c>
      <c r="C441" s="36" t="s">
        <v>114</v>
      </c>
      <c r="D441" s="17">
        <v>2150000000000</v>
      </c>
      <c r="E441" s="16" t="s">
        <v>131</v>
      </c>
      <c r="F441" s="17">
        <v>1</v>
      </c>
      <c r="G441" s="18">
        <v>2.99</v>
      </c>
      <c r="H441" s="17">
        <v>1.4950000000000001</v>
      </c>
      <c r="I441" s="18">
        <v>2.99</v>
      </c>
      <c r="J441" s="18">
        <v>1.4950000000000001</v>
      </c>
      <c r="K441" s="37" t="str">
        <f t="shared" si="8"/>
        <v>Inexpensive</v>
      </c>
      <c r="L441" s="37"/>
      <c r="N441" s="37"/>
      <c r="O441" s="37"/>
      <c r="P441" s="37"/>
      <c r="Q441" s="37"/>
      <c r="R441" s="37"/>
      <c r="S441" s="37"/>
      <c r="T441" s="37"/>
      <c r="V441"/>
      <c r="X441"/>
    </row>
    <row r="442" spans="1:24" ht="15" customHeight="1" thickBot="1" x14ac:dyDescent="0.35">
      <c r="A442" s="38">
        <v>43466.459027777775</v>
      </c>
      <c r="B442" s="39">
        <v>141663</v>
      </c>
      <c r="C442" s="36" t="s">
        <v>110</v>
      </c>
      <c r="D442" s="17">
        <v>9460000000000</v>
      </c>
      <c r="E442" s="16" t="s">
        <v>130</v>
      </c>
      <c r="F442" s="17">
        <v>1</v>
      </c>
      <c r="G442" s="18">
        <v>700</v>
      </c>
      <c r="H442" s="17">
        <v>231</v>
      </c>
      <c r="I442" s="18">
        <v>700</v>
      </c>
      <c r="J442" s="18">
        <v>469</v>
      </c>
      <c r="K442" s="37" t="str">
        <f t="shared" si="8"/>
        <v>Expensive</v>
      </c>
      <c r="L442" s="37"/>
      <c r="N442" s="37"/>
      <c r="O442" s="37"/>
      <c r="P442" s="37"/>
      <c r="Q442" s="37"/>
      <c r="R442" s="37"/>
      <c r="S442" s="37"/>
      <c r="T442" s="37"/>
      <c r="V442"/>
      <c r="X442"/>
    </row>
    <row r="443" spans="1:24" ht="15" customHeight="1" thickBot="1" x14ac:dyDescent="0.35">
      <c r="A443" s="38">
        <v>43473.694444444445</v>
      </c>
      <c r="B443" s="39">
        <v>141664</v>
      </c>
      <c r="C443" s="36" t="s">
        <v>123</v>
      </c>
      <c r="D443" s="17">
        <v>2050000000000</v>
      </c>
      <c r="E443" s="16" t="s">
        <v>130</v>
      </c>
      <c r="F443" s="17">
        <v>1</v>
      </c>
      <c r="G443" s="18">
        <v>600</v>
      </c>
      <c r="H443" s="17">
        <v>198</v>
      </c>
      <c r="I443" s="18">
        <v>600</v>
      </c>
      <c r="J443" s="18">
        <v>402</v>
      </c>
      <c r="K443" s="37" t="str">
        <f t="shared" si="8"/>
        <v>Inexpensive</v>
      </c>
      <c r="L443" s="37"/>
      <c r="N443" s="37"/>
      <c r="O443" s="37"/>
      <c r="P443" s="37"/>
      <c r="Q443" s="37"/>
      <c r="R443" s="37"/>
      <c r="S443" s="37"/>
      <c r="T443" s="37"/>
      <c r="V443"/>
      <c r="X443"/>
    </row>
    <row r="444" spans="1:24" ht="15" customHeight="1" thickBot="1" x14ac:dyDescent="0.35">
      <c r="A444" s="38">
        <v>43488.788194444445</v>
      </c>
      <c r="B444" s="39">
        <v>141665</v>
      </c>
      <c r="C444" s="36" t="s">
        <v>115</v>
      </c>
      <c r="D444" s="17">
        <v>9350000000000</v>
      </c>
      <c r="E444" s="16" t="s">
        <v>130</v>
      </c>
      <c r="F444" s="17">
        <v>1</v>
      </c>
      <c r="G444" s="18">
        <v>389.99</v>
      </c>
      <c r="H444" s="17">
        <v>128.69669999999999</v>
      </c>
      <c r="I444" s="18">
        <v>389.99</v>
      </c>
      <c r="J444" s="18">
        <v>261.29329999999999</v>
      </c>
      <c r="K444" s="37" t="str">
        <f t="shared" si="8"/>
        <v>Inexpensive</v>
      </c>
      <c r="L444" s="37"/>
      <c r="N444" s="37"/>
      <c r="O444" s="37"/>
      <c r="P444" s="37"/>
      <c r="Q444" s="37"/>
      <c r="R444" s="37"/>
      <c r="S444" s="37"/>
      <c r="T444" s="37"/>
      <c r="V444"/>
      <c r="X444"/>
    </row>
    <row r="445" spans="1:24" ht="15" customHeight="1" thickBot="1" x14ac:dyDescent="0.35">
      <c r="A445" s="38">
        <v>43481.681944444441</v>
      </c>
      <c r="B445" s="39">
        <v>141666</v>
      </c>
      <c r="C445" s="36" t="s">
        <v>122</v>
      </c>
      <c r="D445" s="17">
        <v>6750000000000</v>
      </c>
      <c r="E445" s="16" t="s">
        <v>130</v>
      </c>
      <c r="F445" s="17">
        <v>2</v>
      </c>
      <c r="G445" s="18">
        <v>3.84</v>
      </c>
      <c r="H445" s="17">
        <v>1.92</v>
      </c>
      <c r="I445" s="18">
        <v>7.68</v>
      </c>
      <c r="J445" s="18">
        <v>3.84</v>
      </c>
      <c r="K445" s="37" t="str">
        <f t="shared" si="8"/>
        <v>Inexpensive</v>
      </c>
      <c r="L445" s="37"/>
      <c r="N445" s="37"/>
      <c r="O445" s="37"/>
      <c r="P445" s="37"/>
      <c r="Q445" s="37"/>
      <c r="R445" s="37"/>
      <c r="S445" s="37"/>
      <c r="T445" s="37"/>
      <c r="V445"/>
      <c r="X445"/>
    </row>
    <row r="446" spans="1:24" ht="15" customHeight="1" thickBot="1" x14ac:dyDescent="0.35">
      <c r="A446" s="38">
        <v>43488.634722222225</v>
      </c>
      <c r="B446" s="39">
        <v>141667</v>
      </c>
      <c r="C446" s="36" t="s">
        <v>111</v>
      </c>
      <c r="D446" s="17">
        <v>8800000000000</v>
      </c>
      <c r="E446" s="16" t="s">
        <v>132</v>
      </c>
      <c r="F446" s="17">
        <v>3</v>
      </c>
      <c r="G446" s="18">
        <v>14.95</v>
      </c>
      <c r="H446" s="17">
        <v>7.4749999999999996</v>
      </c>
      <c r="I446" s="18">
        <v>44.85</v>
      </c>
      <c r="J446" s="18">
        <v>22.425000000000001</v>
      </c>
      <c r="K446" s="37" t="str">
        <f t="shared" si="8"/>
        <v>Inexpensive</v>
      </c>
      <c r="L446" s="37"/>
      <c r="N446" s="37"/>
      <c r="O446" s="37"/>
      <c r="P446" s="37"/>
      <c r="Q446" s="37"/>
      <c r="R446" s="37"/>
      <c r="S446" s="37"/>
      <c r="T446" s="37"/>
      <c r="V446"/>
      <c r="X446"/>
    </row>
    <row r="447" spans="1:24" ht="15" customHeight="1" thickBot="1" x14ac:dyDescent="0.35">
      <c r="A447" s="38">
        <v>43480.595833333333</v>
      </c>
      <c r="B447" s="39">
        <v>141668</v>
      </c>
      <c r="C447" s="36" t="s">
        <v>111</v>
      </c>
      <c r="D447" s="17">
        <v>7610000000000</v>
      </c>
      <c r="E447" s="16" t="s">
        <v>131</v>
      </c>
      <c r="F447" s="17">
        <v>1</v>
      </c>
      <c r="G447" s="18">
        <v>14.95</v>
      </c>
      <c r="H447" s="17">
        <v>7.4749999999999996</v>
      </c>
      <c r="I447" s="18">
        <v>14.95</v>
      </c>
      <c r="J447" s="18">
        <v>7.4749999999999996</v>
      </c>
      <c r="K447" s="37" t="str">
        <f t="shared" si="8"/>
        <v>Inexpensive</v>
      </c>
      <c r="L447" s="37"/>
      <c r="N447" s="37"/>
      <c r="O447" s="37"/>
      <c r="P447" s="37"/>
      <c r="Q447" s="37"/>
      <c r="R447" s="37"/>
      <c r="S447" s="37"/>
      <c r="T447" s="37"/>
      <c r="V447"/>
      <c r="X447"/>
    </row>
    <row r="448" spans="1:24" ht="15" customHeight="1" thickBot="1" x14ac:dyDescent="0.35">
      <c r="A448" s="38">
        <v>43494.654861111114</v>
      </c>
      <c r="B448" s="39">
        <v>141669</v>
      </c>
      <c r="C448" s="36" t="s">
        <v>115</v>
      </c>
      <c r="D448" s="17">
        <v>7960000000000</v>
      </c>
      <c r="E448" s="16" t="s">
        <v>132</v>
      </c>
      <c r="F448" s="17">
        <v>1</v>
      </c>
      <c r="G448" s="18">
        <v>389.99</v>
      </c>
      <c r="H448" s="17">
        <v>128.69669999999999</v>
      </c>
      <c r="I448" s="18">
        <v>389.99</v>
      </c>
      <c r="J448" s="18">
        <v>261.29329999999999</v>
      </c>
      <c r="K448" s="37" t="str">
        <f t="shared" si="8"/>
        <v>Inexpensive</v>
      </c>
      <c r="L448" s="37"/>
      <c r="N448" s="37"/>
      <c r="O448" s="37"/>
      <c r="P448" s="37"/>
      <c r="Q448" s="37"/>
      <c r="R448" s="37"/>
      <c r="S448" s="37"/>
      <c r="T448" s="37"/>
      <c r="V448"/>
      <c r="X448"/>
    </row>
    <row r="449" spans="1:24" ht="15" customHeight="1" thickBot="1" x14ac:dyDescent="0.35">
      <c r="A449" s="38">
        <v>43496.536111111112</v>
      </c>
      <c r="B449" s="39">
        <v>141670</v>
      </c>
      <c r="C449" s="36" t="s">
        <v>110</v>
      </c>
      <c r="D449" s="17">
        <v>1500000000000</v>
      </c>
      <c r="E449" s="16" t="s">
        <v>132</v>
      </c>
      <c r="F449" s="17">
        <v>1</v>
      </c>
      <c r="G449" s="18">
        <v>700</v>
      </c>
      <c r="H449" s="17">
        <v>231</v>
      </c>
      <c r="I449" s="18">
        <v>700</v>
      </c>
      <c r="J449" s="18">
        <v>469</v>
      </c>
      <c r="K449" s="37" t="str">
        <f t="shared" si="8"/>
        <v>Expensive</v>
      </c>
      <c r="L449" s="37"/>
      <c r="N449" s="37"/>
      <c r="O449" s="37"/>
      <c r="P449" s="37"/>
      <c r="Q449" s="37"/>
      <c r="R449" s="37"/>
      <c r="S449" s="37"/>
      <c r="T449" s="37"/>
      <c r="V449"/>
      <c r="X449"/>
    </row>
    <row r="450" spans="1:24" ht="15" customHeight="1" thickBot="1" x14ac:dyDescent="0.35">
      <c r="A450" s="38">
        <v>43494.517361111109</v>
      </c>
      <c r="B450" s="39">
        <v>141671</v>
      </c>
      <c r="C450" s="36" t="s">
        <v>114</v>
      </c>
      <c r="D450" s="17">
        <v>7250000000000</v>
      </c>
      <c r="E450" s="16" t="s">
        <v>130</v>
      </c>
      <c r="F450" s="17">
        <v>2</v>
      </c>
      <c r="G450" s="18">
        <v>2.99</v>
      </c>
      <c r="H450" s="17">
        <v>1.4950000000000001</v>
      </c>
      <c r="I450" s="18">
        <v>5.98</v>
      </c>
      <c r="J450" s="18">
        <v>2.99</v>
      </c>
      <c r="K450" s="37" t="str">
        <f t="shared" si="8"/>
        <v>Inexpensive</v>
      </c>
      <c r="L450" s="37"/>
      <c r="N450" s="37"/>
      <c r="O450" s="37"/>
      <c r="P450" s="37"/>
      <c r="Q450" s="37"/>
      <c r="R450" s="37"/>
      <c r="S450" s="37"/>
      <c r="T450" s="37"/>
      <c r="V450"/>
      <c r="X450"/>
    </row>
    <row r="451" spans="1:24" ht="15" customHeight="1" thickBot="1" x14ac:dyDescent="0.35">
      <c r="A451" s="38">
        <v>43492.961805555555</v>
      </c>
      <c r="B451" s="39">
        <v>141672</v>
      </c>
      <c r="C451" s="36" t="s">
        <v>112</v>
      </c>
      <c r="D451" s="17">
        <v>3120000000000</v>
      </c>
      <c r="E451" s="16" t="s">
        <v>130</v>
      </c>
      <c r="F451" s="17">
        <v>1</v>
      </c>
      <c r="G451" s="18">
        <v>11.99</v>
      </c>
      <c r="H451" s="17">
        <v>5.9950000000000001</v>
      </c>
      <c r="I451" s="18">
        <v>11.99</v>
      </c>
      <c r="J451" s="18">
        <v>5.9950000000000001</v>
      </c>
      <c r="K451" s="37" t="str">
        <f t="shared" ref="K451:K514" si="9">IF(G451&gt;=700,"Expensive","Inexpensive")</f>
        <v>Inexpensive</v>
      </c>
      <c r="L451" s="37"/>
      <c r="N451" s="37"/>
      <c r="O451" s="37"/>
      <c r="P451" s="37"/>
      <c r="Q451" s="37"/>
      <c r="R451" s="37"/>
      <c r="S451" s="37"/>
      <c r="T451" s="37"/>
      <c r="V451"/>
      <c r="X451"/>
    </row>
    <row r="452" spans="1:24" ht="15" customHeight="1" thickBot="1" x14ac:dyDescent="0.35">
      <c r="A452" s="38">
        <v>43492.807638888888</v>
      </c>
      <c r="B452" s="39">
        <v>141673</v>
      </c>
      <c r="C452" s="36" t="s">
        <v>116</v>
      </c>
      <c r="D452" s="17">
        <v>2170000000000</v>
      </c>
      <c r="E452" s="16" t="s">
        <v>130</v>
      </c>
      <c r="F452" s="17">
        <v>1</v>
      </c>
      <c r="G452" s="18">
        <v>11.95</v>
      </c>
      <c r="H452" s="17">
        <v>5.9749999999999996</v>
      </c>
      <c r="I452" s="18">
        <v>11.95</v>
      </c>
      <c r="J452" s="18">
        <v>5.9749999999999996</v>
      </c>
      <c r="K452" s="37" t="str">
        <f t="shared" si="9"/>
        <v>Inexpensive</v>
      </c>
      <c r="L452" s="37"/>
      <c r="N452" s="37"/>
      <c r="O452" s="37"/>
      <c r="P452" s="37"/>
      <c r="Q452" s="37"/>
      <c r="R452" s="37"/>
      <c r="S452" s="37"/>
      <c r="T452" s="37"/>
      <c r="V452"/>
      <c r="X452"/>
    </row>
    <row r="453" spans="1:24" ht="15" customHeight="1" thickBot="1" x14ac:dyDescent="0.35">
      <c r="A453" s="38">
        <v>43493.269444444442</v>
      </c>
      <c r="B453" s="39">
        <v>141674</v>
      </c>
      <c r="C453" s="36" t="s">
        <v>114</v>
      </c>
      <c r="D453" s="17">
        <v>9530000000000</v>
      </c>
      <c r="E453" s="16" t="s">
        <v>132</v>
      </c>
      <c r="F453" s="17">
        <v>1</v>
      </c>
      <c r="G453" s="18">
        <v>2.99</v>
      </c>
      <c r="H453" s="17">
        <v>1.4950000000000001</v>
      </c>
      <c r="I453" s="18">
        <v>2.99</v>
      </c>
      <c r="J453" s="18">
        <v>1.4950000000000001</v>
      </c>
      <c r="K453" s="37" t="str">
        <f t="shared" si="9"/>
        <v>Inexpensive</v>
      </c>
      <c r="L453" s="37"/>
      <c r="N453" s="37"/>
      <c r="O453" s="37"/>
      <c r="P453" s="37"/>
      <c r="Q453" s="37"/>
      <c r="R453" s="37"/>
      <c r="S453" s="37"/>
      <c r="T453" s="37"/>
      <c r="V453"/>
      <c r="X453"/>
    </row>
    <row r="454" spans="1:24" ht="15" customHeight="1" thickBot="1" x14ac:dyDescent="0.35">
      <c r="A454" s="38">
        <v>43469.42291666667</v>
      </c>
      <c r="B454" s="39">
        <v>141675</v>
      </c>
      <c r="C454" s="36" t="s">
        <v>116</v>
      </c>
      <c r="D454" s="17">
        <v>3170000000000</v>
      </c>
      <c r="E454" s="16" t="s">
        <v>132</v>
      </c>
      <c r="F454" s="17">
        <v>3</v>
      </c>
      <c r="G454" s="18">
        <v>11.95</v>
      </c>
      <c r="H454" s="17">
        <v>5.9749999999999996</v>
      </c>
      <c r="I454" s="18">
        <v>35.85</v>
      </c>
      <c r="J454" s="18">
        <v>17.925000000000001</v>
      </c>
      <c r="K454" s="37" t="str">
        <f t="shared" si="9"/>
        <v>Inexpensive</v>
      </c>
      <c r="L454" s="37"/>
      <c r="N454" s="37"/>
      <c r="O454" s="37"/>
      <c r="P454" s="37"/>
      <c r="Q454" s="37"/>
      <c r="R454" s="37"/>
      <c r="S454" s="37"/>
      <c r="T454" s="37"/>
      <c r="V454"/>
      <c r="X454"/>
    </row>
    <row r="455" spans="1:24" ht="15" customHeight="1" thickBot="1" x14ac:dyDescent="0.35">
      <c r="A455" s="38">
        <v>43478.486805555556</v>
      </c>
      <c r="B455" s="39">
        <v>141676</v>
      </c>
      <c r="C455" s="36" t="s">
        <v>121</v>
      </c>
      <c r="D455" s="17">
        <v>1090000000000</v>
      </c>
      <c r="E455" s="16" t="s">
        <v>131</v>
      </c>
      <c r="F455" s="17">
        <v>1</v>
      </c>
      <c r="G455" s="18">
        <v>400</v>
      </c>
      <c r="H455" s="17">
        <v>132</v>
      </c>
      <c r="I455" s="18">
        <v>400</v>
      </c>
      <c r="J455" s="18">
        <v>268</v>
      </c>
      <c r="K455" s="37" t="str">
        <f t="shared" si="9"/>
        <v>Inexpensive</v>
      </c>
      <c r="L455" s="37"/>
      <c r="N455" s="37"/>
      <c r="O455" s="37"/>
      <c r="P455" s="37"/>
      <c r="Q455" s="37"/>
      <c r="R455" s="37"/>
      <c r="S455" s="37"/>
      <c r="T455" s="37"/>
      <c r="V455"/>
      <c r="X455"/>
    </row>
    <row r="456" spans="1:24" ht="15" customHeight="1" thickBot="1" x14ac:dyDescent="0.35">
      <c r="A456" s="38">
        <v>43468.784722222219</v>
      </c>
      <c r="B456" s="39">
        <v>141677</v>
      </c>
      <c r="C456" s="36" t="s">
        <v>113</v>
      </c>
      <c r="D456" s="17">
        <v>9410000000000</v>
      </c>
      <c r="E456" s="16" t="s">
        <v>132</v>
      </c>
      <c r="F456" s="17">
        <v>1</v>
      </c>
      <c r="G456" s="18">
        <v>149.99</v>
      </c>
      <c r="H456" s="17">
        <v>97.493499999999997</v>
      </c>
      <c r="I456" s="18">
        <v>149.99</v>
      </c>
      <c r="J456" s="18">
        <v>52.496499999999997</v>
      </c>
      <c r="K456" s="37" t="str">
        <f t="shared" si="9"/>
        <v>Inexpensive</v>
      </c>
      <c r="L456" s="37"/>
      <c r="N456" s="37"/>
      <c r="O456" s="37"/>
      <c r="P456" s="37"/>
      <c r="Q456" s="37"/>
      <c r="R456" s="37"/>
      <c r="S456" s="37"/>
      <c r="T456" s="37"/>
      <c r="V456"/>
      <c r="X456"/>
    </row>
    <row r="457" spans="1:24" ht="15" customHeight="1" thickBot="1" x14ac:dyDescent="0.35">
      <c r="A457" s="38">
        <v>43473.852083333331</v>
      </c>
      <c r="B457" s="39">
        <v>141678</v>
      </c>
      <c r="C457" s="36" t="s">
        <v>118</v>
      </c>
      <c r="D457" s="17">
        <v>8730000000000</v>
      </c>
      <c r="E457" s="16" t="s">
        <v>131</v>
      </c>
      <c r="F457" s="17">
        <v>1</v>
      </c>
      <c r="G457" s="18">
        <v>150</v>
      </c>
      <c r="H457" s="17">
        <v>97.5</v>
      </c>
      <c r="I457" s="18">
        <v>150</v>
      </c>
      <c r="J457" s="18">
        <v>52.5</v>
      </c>
      <c r="K457" s="37" t="str">
        <f t="shared" si="9"/>
        <v>Inexpensive</v>
      </c>
      <c r="L457" s="37"/>
      <c r="N457" s="37"/>
      <c r="O457" s="37"/>
      <c r="P457" s="37"/>
      <c r="Q457" s="37"/>
      <c r="R457" s="37"/>
      <c r="S457" s="37"/>
      <c r="T457" s="37"/>
      <c r="V457"/>
      <c r="X457"/>
    </row>
    <row r="458" spans="1:24" ht="15" customHeight="1" thickBot="1" x14ac:dyDescent="0.35">
      <c r="A458" s="38">
        <v>43468.829861111109</v>
      </c>
      <c r="B458" s="39">
        <v>141679</v>
      </c>
      <c r="C458" s="36" t="s">
        <v>125</v>
      </c>
      <c r="D458" s="17">
        <v>9510000000000</v>
      </c>
      <c r="E458" s="16" t="s">
        <v>131</v>
      </c>
      <c r="F458" s="17">
        <v>1</v>
      </c>
      <c r="G458" s="18">
        <v>379.99</v>
      </c>
      <c r="H458" s="17">
        <v>125.3967</v>
      </c>
      <c r="I458" s="18">
        <v>379.99</v>
      </c>
      <c r="J458" s="18">
        <v>254.5933</v>
      </c>
      <c r="K458" s="37" t="str">
        <f t="shared" si="9"/>
        <v>Inexpensive</v>
      </c>
      <c r="L458" s="37"/>
      <c r="N458" s="37"/>
      <c r="O458" s="37"/>
      <c r="P458" s="37"/>
      <c r="Q458" s="37"/>
      <c r="R458" s="37"/>
      <c r="S458" s="37"/>
      <c r="T458" s="37"/>
      <c r="V458"/>
      <c r="X458"/>
    </row>
    <row r="459" spans="1:24" ht="15" customHeight="1" thickBot="1" x14ac:dyDescent="0.35">
      <c r="A459" s="38">
        <v>43479.585416666669</v>
      </c>
      <c r="B459" s="39">
        <v>141680</v>
      </c>
      <c r="C459" s="36" t="s">
        <v>116</v>
      </c>
      <c r="D459" s="17">
        <v>1300000000000</v>
      </c>
      <c r="E459" s="16" t="s">
        <v>131</v>
      </c>
      <c r="F459" s="17">
        <v>2</v>
      </c>
      <c r="G459" s="18">
        <v>11.95</v>
      </c>
      <c r="H459" s="17">
        <v>5.9749999999999996</v>
      </c>
      <c r="I459" s="18">
        <v>23.9</v>
      </c>
      <c r="J459" s="18">
        <v>11.95</v>
      </c>
      <c r="K459" s="37" t="str">
        <f t="shared" si="9"/>
        <v>Inexpensive</v>
      </c>
      <c r="L459" s="37"/>
      <c r="N459" s="37"/>
      <c r="O459" s="37"/>
      <c r="P459" s="37"/>
      <c r="Q459" s="37"/>
      <c r="R459" s="37"/>
      <c r="S459" s="37"/>
      <c r="T459" s="37"/>
      <c r="V459"/>
      <c r="X459"/>
    </row>
    <row r="460" spans="1:24" ht="15" customHeight="1" thickBot="1" x14ac:dyDescent="0.35">
      <c r="A460" s="38">
        <v>43468.911805555559</v>
      </c>
      <c r="B460" s="39">
        <v>141681</v>
      </c>
      <c r="C460" s="36" t="s">
        <v>122</v>
      </c>
      <c r="D460" s="17">
        <v>4500000000000</v>
      </c>
      <c r="E460" s="16" t="s">
        <v>132</v>
      </c>
      <c r="F460" s="17">
        <v>1</v>
      </c>
      <c r="G460" s="18">
        <v>3.84</v>
      </c>
      <c r="H460" s="17">
        <v>1.92</v>
      </c>
      <c r="I460" s="18">
        <v>3.84</v>
      </c>
      <c r="J460" s="18">
        <v>1.92</v>
      </c>
      <c r="K460" s="37" t="str">
        <f t="shared" si="9"/>
        <v>Inexpensive</v>
      </c>
      <c r="L460" s="37"/>
      <c r="N460" s="37"/>
      <c r="O460" s="37"/>
      <c r="P460" s="37"/>
      <c r="Q460" s="37"/>
      <c r="R460" s="37"/>
      <c r="S460" s="37"/>
      <c r="T460" s="37"/>
      <c r="V460"/>
      <c r="X460"/>
    </row>
    <row r="461" spans="1:24" ht="15" customHeight="1" thickBot="1" x14ac:dyDescent="0.35">
      <c r="A461" s="38">
        <v>43489.293749999997</v>
      </c>
      <c r="B461" s="39">
        <v>141682</v>
      </c>
      <c r="C461" s="36" t="s">
        <v>125</v>
      </c>
      <c r="D461" s="17">
        <v>2700000000000</v>
      </c>
      <c r="E461" s="16" t="s">
        <v>130</v>
      </c>
      <c r="F461" s="17">
        <v>1</v>
      </c>
      <c r="G461" s="18">
        <v>379.99</v>
      </c>
      <c r="H461" s="17">
        <v>125.3967</v>
      </c>
      <c r="I461" s="18">
        <v>379.99</v>
      </c>
      <c r="J461" s="18">
        <v>254.5933</v>
      </c>
      <c r="K461" s="37" t="str">
        <f t="shared" si="9"/>
        <v>Inexpensive</v>
      </c>
      <c r="L461" s="37"/>
      <c r="N461" s="37"/>
      <c r="O461" s="37"/>
      <c r="P461" s="37"/>
      <c r="Q461" s="37"/>
      <c r="R461" s="37"/>
      <c r="S461" s="37"/>
      <c r="T461" s="37"/>
      <c r="V461"/>
      <c r="X461"/>
    </row>
    <row r="462" spans="1:24" ht="15" customHeight="1" thickBot="1" x14ac:dyDescent="0.35">
      <c r="A462" s="38">
        <v>43492.679166666669</v>
      </c>
      <c r="B462" s="39">
        <v>141683</v>
      </c>
      <c r="C462" s="36" t="s">
        <v>114</v>
      </c>
      <c r="D462" s="17">
        <v>1500000000000</v>
      </c>
      <c r="E462" s="16" t="s">
        <v>131</v>
      </c>
      <c r="F462" s="17">
        <v>1</v>
      </c>
      <c r="G462" s="18">
        <v>2.99</v>
      </c>
      <c r="H462" s="17">
        <v>1.4950000000000001</v>
      </c>
      <c r="I462" s="18">
        <v>2.99</v>
      </c>
      <c r="J462" s="18">
        <v>1.4950000000000001</v>
      </c>
      <c r="K462" s="37" t="str">
        <f t="shared" si="9"/>
        <v>Inexpensive</v>
      </c>
      <c r="L462" s="37"/>
      <c r="N462" s="37"/>
      <c r="O462" s="37"/>
      <c r="P462" s="37"/>
      <c r="Q462" s="37"/>
      <c r="R462" s="37"/>
      <c r="S462" s="37"/>
      <c r="T462" s="37"/>
      <c r="V462"/>
      <c r="X462"/>
    </row>
    <row r="463" spans="1:24" ht="15" customHeight="1" thickBot="1" x14ac:dyDescent="0.35">
      <c r="A463" s="38">
        <v>43494.404861111114</v>
      </c>
      <c r="B463" s="39">
        <v>141684</v>
      </c>
      <c r="C463" s="36" t="s">
        <v>115</v>
      </c>
      <c r="D463" s="17">
        <v>1700000000000</v>
      </c>
      <c r="E463" s="16" t="s">
        <v>131</v>
      </c>
      <c r="F463" s="17">
        <v>1</v>
      </c>
      <c r="G463" s="18">
        <v>389.99</v>
      </c>
      <c r="H463" s="17">
        <v>128.69669999999999</v>
      </c>
      <c r="I463" s="18">
        <v>389.99</v>
      </c>
      <c r="J463" s="18">
        <v>261.29329999999999</v>
      </c>
      <c r="K463" s="37" t="str">
        <f t="shared" si="9"/>
        <v>Inexpensive</v>
      </c>
      <c r="L463" s="37"/>
      <c r="N463" s="37"/>
      <c r="O463" s="37"/>
      <c r="P463" s="37"/>
      <c r="Q463" s="37"/>
      <c r="R463" s="37"/>
      <c r="S463" s="37"/>
      <c r="T463" s="37"/>
      <c r="V463"/>
      <c r="X463"/>
    </row>
    <row r="464" spans="1:24" ht="15" customHeight="1" thickBot="1" x14ac:dyDescent="0.35">
      <c r="A464" s="38">
        <v>43479.026388888888</v>
      </c>
      <c r="B464" s="39">
        <v>141685</v>
      </c>
      <c r="C464" s="36" t="s">
        <v>112</v>
      </c>
      <c r="D464" s="17">
        <v>6070000000000</v>
      </c>
      <c r="E464" s="16" t="s">
        <v>132</v>
      </c>
      <c r="F464" s="17">
        <v>1</v>
      </c>
      <c r="G464" s="18">
        <v>11.99</v>
      </c>
      <c r="H464" s="17">
        <v>5.9950000000000001</v>
      </c>
      <c r="I464" s="18">
        <v>11.99</v>
      </c>
      <c r="J464" s="18">
        <v>5.9950000000000001</v>
      </c>
      <c r="K464" s="37" t="str">
        <f t="shared" si="9"/>
        <v>Inexpensive</v>
      </c>
      <c r="L464" s="37"/>
      <c r="N464" s="37"/>
      <c r="O464" s="37"/>
      <c r="P464" s="37"/>
      <c r="Q464" s="37"/>
      <c r="R464" s="37"/>
      <c r="S464" s="37"/>
      <c r="T464" s="37"/>
      <c r="V464"/>
      <c r="X464"/>
    </row>
    <row r="465" spans="1:24" ht="15" customHeight="1" thickBot="1" x14ac:dyDescent="0.35">
      <c r="A465" s="38">
        <v>43487.559027777781</v>
      </c>
      <c r="B465" s="39">
        <v>141686</v>
      </c>
      <c r="C465" s="36" t="s">
        <v>118</v>
      </c>
      <c r="D465" s="17">
        <v>8730000000000</v>
      </c>
      <c r="E465" s="16" t="s">
        <v>130</v>
      </c>
      <c r="F465" s="17">
        <v>1</v>
      </c>
      <c r="G465" s="18">
        <v>150</v>
      </c>
      <c r="H465" s="17">
        <v>97.5</v>
      </c>
      <c r="I465" s="18">
        <v>150</v>
      </c>
      <c r="J465" s="18">
        <v>52.5</v>
      </c>
      <c r="K465" s="37" t="str">
        <f t="shared" si="9"/>
        <v>Inexpensive</v>
      </c>
      <c r="L465" s="37"/>
      <c r="N465" s="37"/>
      <c r="O465" s="37"/>
      <c r="P465" s="37"/>
      <c r="Q465" s="37"/>
      <c r="R465" s="37"/>
      <c r="S465" s="37"/>
      <c r="T465" s="37"/>
      <c r="V465"/>
      <c r="X465"/>
    </row>
    <row r="466" spans="1:24" ht="15" customHeight="1" thickBot="1" x14ac:dyDescent="0.35">
      <c r="A466" s="38">
        <v>43482.8</v>
      </c>
      <c r="B466" s="39">
        <v>141687</v>
      </c>
      <c r="C466" s="36" t="s">
        <v>122</v>
      </c>
      <c r="D466" s="17">
        <v>1100000000000</v>
      </c>
      <c r="E466" s="16" t="s">
        <v>131</v>
      </c>
      <c r="F466" s="17">
        <v>1</v>
      </c>
      <c r="G466" s="18">
        <v>3.84</v>
      </c>
      <c r="H466" s="17">
        <v>1.92</v>
      </c>
      <c r="I466" s="18">
        <v>3.84</v>
      </c>
      <c r="J466" s="18">
        <v>1.92</v>
      </c>
      <c r="K466" s="37" t="str">
        <f t="shared" si="9"/>
        <v>Inexpensive</v>
      </c>
      <c r="L466" s="37"/>
      <c r="N466" s="37"/>
      <c r="O466" s="37"/>
      <c r="P466" s="37"/>
      <c r="Q466" s="37"/>
      <c r="R466" s="37"/>
      <c r="S466" s="37"/>
      <c r="T466" s="37"/>
      <c r="V466"/>
      <c r="X466"/>
    </row>
    <row r="467" spans="1:24" ht="15" customHeight="1" thickBot="1" x14ac:dyDescent="0.35">
      <c r="A467" s="38">
        <v>43485.480555555558</v>
      </c>
      <c r="B467" s="39">
        <v>141688</v>
      </c>
      <c r="C467" s="36" t="s">
        <v>122</v>
      </c>
      <c r="D467" s="17">
        <v>3210000000000</v>
      </c>
      <c r="E467" s="16" t="s">
        <v>130</v>
      </c>
      <c r="F467" s="17">
        <v>1</v>
      </c>
      <c r="G467" s="18">
        <v>3.84</v>
      </c>
      <c r="H467" s="17">
        <v>1.92</v>
      </c>
      <c r="I467" s="18">
        <v>3.84</v>
      </c>
      <c r="J467" s="18">
        <v>1.92</v>
      </c>
      <c r="K467" s="37" t="str">
        <f t="shared" si="9"/>
        <v>Inexpensive</v>
      </c>
      <c r="L467" s="37"/>
      <c r="N467" s="37"/>
      <c r="O467" s="37"/>
      <c r="P467" s="37"/>
      <c r="Q467" s="37"/>
      <c r="R467" s="37"/>
      <c r="S467" s="37"/>
      <c r="T467" s="37"/>
      <c r="V467"/>
      <c r="X467"/>
    </row>
    <row r="468" spans="1:24" ht="15" customHeight="1" thickBot="1" x14ac:dyDescent="0.35">
      <c r="A468" s="38">
        <v>43474.580555555556</v>
      </c>
      <c r="B468" s="39">
        <v>141689</v>
      </c>
      <c r="C468" s="36" t="s">
        <v>125</v>
      </c>
      <c r="D468" s="17">
        <v>2750000000000</v>
      </c>
      <c r="E468" s="16" t="s">
        <v>132</v>
      </c>
      <c r="F468" s="17">
        <v>1</v>
      </c>
      <c r="G468" s="18">
        <v>379.99</v>
      </c>
      <c r="H468" s="17">
        <v>125.3967</v>
      </c>
      <c r="I468" s="18">
        <v>379.99</v>
      </c>
      <c r="J468" s="18">
        <v>254.5933</v>
      </c>
      <c r="K468" s="37" t="str">
        <f t="shared" si="9"/>
        <v>Inexpensive</v>
      </c>
      <c r="L468" s="37"/>
      <c r="N468" s="37"/>
      <c r="O468" s="37"/>
      <c r="P468" s="37"/>
      <c r="Q468" s="37"/>
      <c r="R468" s="37"/>
      <c r="S468" s="37"/>
      <c r="T468" s="37"/>
      <c r="V468"/>
      <c r="X468"/>
    </row>
    <row r="469" spans="1:24" ht="15" customHeight="1" thickBot="1" x14ac:dyDescent="0.35">
      <c r="A469" s="38">
        <v>43479.959722222222</v>
      </c>
      <c r="B469" s="39">
        <v>141690</v>
      </c>
      <c r="C469" s="36" t="s">
        <v>119</v>
      </c>
      <c r="D469" s="17">
        <v>2020000000000</v>
      </c>
      <c r="E469" s="16" t="s">
        <v>131</v>
      </c>
      <c r="F469" s="17">
        <v>1</v>
      </c>
      <c r="G469" s="18">
        <v>1700</v>
      </c>
      <c r="H469" s="17">
        <v>561</v>
      </c>
      <c r="I469" s="18">
        <v>1700</v>
      </c>
      <c r="J469" s="18">
        <v>1139</v>
      </c>
      <c r="K469" s="37" t="str">
        <f t="shared" si="9"/>
        <v>Expensive</v>
      </c>
      <c r="L469" s="37"/>
      <c r="N469" s="37"/>
      <c r="O469" s="37"/>
      <c r="P469" s="37"/>
      <c r="Q469" s="37"/>
      <c r="R469" s="37"/>
      <c r="S469" s="37"/>
      <c r="T469" s="37"/>
      <c r="V469"/>
      <c r="X469"/>
    </row>
    <row r="470" spans="1:24" ht="15" customHeight="1" thickBot="1" x14ac:dyDescent="0.35">
      <c r="A470" s="38">
        <v>43483.773611111108</v>
      </c>
      <c r="B470" s="39">
        <v>141691</v>
      </c>
      <c r="C470" s="36" t="s">
        <v>125</v>
      </c>
      <c r="D470" s="17">
        <v>9350000000000</v>
      </c>
      <c r="E470" s="16" t="s">
        <v>131</v>
      </c>
      <c r="F470" s="17">
        <v>1</v>
      </c>
      <c r="G470" s="18">
        <v>379.99</v>
      </c>
      <c r="H470" s="17">
        <v>125.3967</v>
      </c>
      <c r="I470" s="18">
        <v>379.99</v>
      </c>
      <c r="J470" s="18">
        <v>254.5933</v>
      </c>
      <c r="K470" s="37" t="str">
        <f t="shared" si="9"/>
        <v>Inexpensive</v>
      </c>
      <c r="L470" s="37"/>
      <c r="N470" s="37"/>
      <c r="O470" s="37"/>
      <c r="P470" s="37"/>
      <c r="Q470" s="37"/>
      <c r="R470" s="37"/>
      <c r="S470" s="37"/>
      <c r="T470" s="37"/>
      <c r="V470"/>
      <c r="X470"/>
    </row>
    <row r="471" spans="1:24" ht="15" customHeight="1" thickBot="1" x14ac:dyDescent="0.35">
      <c r="A471" s="38">
        <v>43492.823611111111</v>
      </c>
      <c r="B471" s="39">
        <v>141692</v>
      </c>
      <c r="C471" s="36" t="s">
        <v>117</v>
      </c>
      <c r="D471" s="17">
        <v>8590000000000</v>
      </c>
      <c r="E471" s="16" t="s">
        <v>131</v>
      </c>
      <c r="F471" s="17">
        <v>1</v>
      </c>
      <c r="G471" s="18">
        <v>99.99</v>
      </c>
      <c r="H471" s="17">
        <v>49.994999999999997</v>
      </c>
      <c r="I471" s="18">
        <v>99.99</v>
      </c>
      <c r="J471" s="18">
        <v>49.994999999999997</v>
      </c>
      <c r="K471" s="37" t="str">
        <f t="shared" si="9"/>
        <v>Inexpensive</v>
      </c>
      <c r="L471" s="37"/>
      <c r="N471" s="37"/>
      <c r="O471" s="37"/>
      <c r="P471" s="37"/>
      <c r="Q471" s="37"/>
      <c r="R471" s="37"/>
      <c r="S471" s="37"/>
      <c r="T471" s="37"/>
      <c r="V471"/>
      <c r="X471"/>
    </row>
    <row r="472" spans="1:24" ht="15" customHeight="1" thickBot="1" x14ac:dyDescent="0.35">
      <c r="A472" s="38">
        <v>43472.917361111111</v>
      </c>
      <c r="B472" s="39">
        <v>141693</v>
      </c>
      <c r="C472" s="36" t="s">
        <v>112</v>
      </c>
      <c r="D472" s="17">
        <v>8660000000000</v>
      </c>
      <c r="E472" s="16" t="s">
        <v>131</v>
      </c>
      <c r="F472" s="17">
        <v>1</v>
      </c>
      <c r="G472" s="18">
        <v>11.99</v>
      </c>
      <c r="H472" s="17">
        <v>5.9950000000000001</v>
      </c>
      <c r="I472" s="18">
        <v>11.99</v>
      </c>
      <c r="J472" s="18">
        <v>5.9950000000000001</v>
      </c>
      <c r="K472" s="37" t="str">
        <f t="shared" si="9"/>
        <v>Inexpensive</v>
      </c>
      <c r="L472" s="37"/>
      <c r="N472" s="37"/>
      <c r="O472" s="37"/>
      <c r="P472" s="37"/>
      <c r="Q472" s="37"/>
      <c r="R472" s="37"/>
      <c r="S472" s="37"/>
      <c r="T472" s="37"/>
      <c r="V472"/>
      <c r="X472"/>
    </row>
    <row r="473" spans="1:24" ht="15" customHeight="1" thickBot="1" x14ac:dyDescent="0.35">
      <c r="A473" s="38">
        <v>43477.654861111114</v>
      </c>
      <c r="B473" s="39">
        <v>141694</v>
      </c>
      <c r="C473" s="36" t="s">
        <v>112</v>
      </c>
      <c r="D473" s="17">
        <v>7800000000000</v>
      </c>
      <c r="E473" s="16" t="s">
        <v>130</v>
      </c>
      <c r="F473" s="17">
        <v>1</v>
      </c>
      <c r="G473" s="18">
        <v>11.99</v>
      </c>
      <c r="H473" s="17">
        <v>5.9950000000000001</v>
      </c>
      <c r="I473" s="18">
        <v>11.99</v>
      </c>
      <c r="J473" s="18">
        <v>5.9950000000000001</v>
      </c>
      <c r="K473" s="37" t="str">
        <f t="shared" si="9"/>
        <v>Inexpensive</v>
      </c>
      <c r="L473" s="37"/>
      <c r="N473" s="37"/>
      <c r="O473" s="37"/>
      <c r="P473" s="37"/>
      <c r="Q473" s="37"/>
      <c r="R473" s="37"/>
      <c r="S473" s="37"/>
      <c r="T473" s="37"/>
      <c r="V473"/>
      <c r="X473"/>
    </row>
    <row r="474" spans="1:24" ht="15" customHeight="1" thickBot="1" x14ac:dyDescent="0.35">
      <c r="A474" s="38">
        <v>43494.888888888891</v>
      </c>
      <c r="B474" s="39">
        <v>141695</v>
      </c>
      <c r="C474" s="36" t="s">
        <v>114</v>
      </c>
      <c r="D474" s="17">
        <v>7740000000000</v>
      </c>
      <c r="E474" s="16" t="s">
        <v>130</v>
      </c>
      <c r="F474" s="17">
        <v>1</v>
      </c>
      <c r="G474" s="18">
        <v>2.99</v>
      </c>
      <c r="H474" s="17">
        <v>1.4950000000000001</v>
      </c>
      <c r="I474" s="18">
        <v>2.99</v>
      </c>
      <c r="J474" s="18">
        <v>1.4950000000000001</v>
      </c>
      <c r="K474" s="37" t="str">
        <f t="shared" si="9"/>
        <v>Inexpensive</v>
      </c>
      <c r="L474" s="37"/>
      <c r="N474" s="37"/>
      <c r="O474" s="37"/>
      <c r="P474" s="37"/>
      <c r="Q474" s="37"/>
      <c r="R474" s="37"/>
      <c r="S474" s="37"/>
      <c r="T474" s="37"/>
      <c r="V474"/>
      <c r="X474"/>
    </row>
    <row r="475" spans="1:24" ht="15" customHeight="1" thickBot="1" x14ac:dyDescent="0.35">
      <c r="A475" s="38">
        <v>43480.939583333333</v>
      </c>
      <c r="B475" s="39">
        <v>141696</v>
      </c>
      <c r="C475" s="36" t="s">
        <v>121</v>
      </c>
      <c r="D475" s="17">
        <v>9830000000000</v>
      </c>
      <c r="E475" s="16" t="s">
        <v>130</v>
      </c>
      <c r="F475" s="17">
        <v>1</v>
      </c>
      <c r="G475" s="18">
        <v>400</v>
      </c>
      <c r="H475" s="17">
        <v>132</v>
      </c>
      <c r="I475" s="18">
        <v>400</v>
      </c>
      <c r="J475" s="18">
        <v>268</v>
      </c>
      <c r="K475" s="37" t="str">
        <f t="shared" si="9"/>
        <v>Inexpensive</v>
      </c>
      <c r="L475" s="37"/>
      <c r="N475" s="37"/>
      <c r="O475" s="37"/>
      <c r="P475" s="37"/>
      <c r="Q475" s="37"/>
      <c r="R475" s="37"/>
      <c r="S475" s="37"/>
      <c r="T475" s="37"/>
      <c r="V475"/>
      <c r="X475"/>
    </row>
    <row r="476" spans="1:24" ht="15" customHeight="1" thickBot="1" x14ac:dyDescent="0.35">
      <c r="A476" s="38">
        <v>43481.243055555555</v>
      </c>
      <c r="B476" s="39">
        <v>141697</v>
      </c>
      <c r="C476" s="36" t="s">
        <v>111</v>
      </c>
      <c r="D476" s="17">
        <v>1420000000000</v>
      </c>
      <c r="E476" s="16" t="s">
        <v>130</v>
      </c>
      <c r="F476" s="17">
        <v>1</v>
      </c>
      <c r="G476" s="18">
        <v>14.95</v>
      </c>
      <c r="H476" s="17">
        <v>7.4749999999999996</v>
      </c>
      <c r="I476" s="18">
        <v>14.95</v>
      </c>
      <c r="J476" s="18">
        <v>7.4749999999999996</v>
      </c>
      <c r="K476" s="37" t="str">
        <f t="shared" si="9"/>
        <v>Inexpensive</v>
      </c>
      <c r="L476" s="37"/>
      <c r="N476" s="37"/>
      <c r="O476" s="37"/>
      <c r="P476" s="37"/>
      <c r="Q476" s="37"/>
      <c r="R476" s="37"/>
      <c r="S476" s="37"/>
      <c r="T476" s="37"/>
      <c r="V476"/>
      <c r="X476"/>
    </row>
    <row r="477" spans="1:24" ht="15" customHeight="1" thickBot="1" x14ac:dyDescent="0.35">
      <c r="A477" s="38">
        <v>43471.830555555556</v>
      </c>
      <c r="B477" s="39">
        <v>141698</v>
      </c>
      <c r="C477" s="36" t="s">
        <v>115</v>
      </c>
      <c r="D477" s="17">
        <v>5090000000000</v>
      </c>
      <c r="E477" s="16" t="s">
        <v>130</v>
      </c>
      <c r="F477" s="17">
        <v>1</v>
      </c>
      <c r="G477" s="18">
        <v>389.99</v>
      </c>
      <c r="H477" s="17">
        <v>128.69669999999999</v>
      </c>
      <c r="I477" s="18">
        <v>389.99</v>
      </c>
      <c r="J477" s="18">
        <v>261.29329999999999</v>
      </c>
      <c r="K477" s="37" t="str">
        <f t="shared" si="9"/>
        <v>Inexpensive</v>
      </c>
      <c r="L477" s="37"/>
      <c r="N477" s="37"/>
      <c r="O477" s="37"/>
      <c r="P477" s="37"/>
      <c r="Q477" s="37"/>
      <c r="R477" s="37"/>
      <c r="S477" s="37"/>
      <c r="T477" s="37"/>
      <c r="V477"/>
      <c r="X477"/>
    </row>
    <row r="478" spans="1:24" ht="15" customHeight="1" thickBot="1" x14ac:dyDescent="0.35">
      <c r="A478" s="38">
        <v>43493.342361111114</v>
      </c>
      <c r="B478" s="39">
        <v>141699</v>
      </c>
      <c r="C478" s="36" t="s">
        <v>116</v>
      </c>
      <c r="D478" s="17">
        <v>1410000000000</v>
      </c>
      <c r="E478" s="16" t="s">
        <v>130</v>
      </c>
      <c r="F478" s="17">
        <v>1</v>
      </c>
      <c r="G478" s="18">
        <v>11.95</v>
      </c>
      <c r="H478" s="17">
        <v>5.9749999999999996</v>
      </c>
      <c r="I478" s="18">
        <v>11.95</v>
      </c>
      <c r="J478" s="18">
        <v>5.9749999999999996</v>
      </c>
      <c r="K478" s="37" t="str">
        <f t="shared" si="9"/>
        <v>Inexpensive</v>
      </c>
      <c r="L478" s="37"/>
      <c r="N478" s="37"/>
      <c r="O478" s="37"/>
      <c r="P478" s="37"/>
      <c r="Q478" s="37"/>
      <c r="R478" s="37"/>
      <c r="S478" s="37"/>
      <c r="T478" s="37"/>
      <c r="V478"/>
      <c r="X478"/>
    </row>
    <row r="479" spans="1:24" ht="15" customHeight="1" thickBot="1" x14ac:dyDescent="0.35">
      <c r="A479" s="38">
        <v>43467.5</v>
      </c>
      <c r="B479" s="39">
        <v>141700</v>
      </c>
      <c r="C479" s="36" t="s">
        <v>118</v>
      </c>
      <c r="D479" s="17">
        <v>4650000000000</v>
      </c>
      <c r="E479" s="16" t="s">
        <v>132</v>
      </c>
      <c r="F479" s="17">
        <v>1</v>
      </c>
      <c r="G479" s="18">
        <v>150</v>
      </c>
      <c r="H479" s="17">
        <v>97.5</v>
      </c>
      <c r="I479" s="18">
        <v>150</v>
      </c>
      <c r="J479" s="18">
        <v>52.5</v>
      </c>
      <c r="K479" s="37" t="str">
        <f t="shared" si="9"/>
        <v>Inexpensive</v>
      </c>
      <c r="L479" s="37"/>
      <c r="N479" s="37"/>
      <c r="O479" s="37"/>
      <c r="P479" s="37"/>
      <c r="Q479" s="37"/>
      <c r="R479" s="37"/>
      <c r="S479" s="37"/>
      <c r="T479" s="37"/>
      <c r="V479"/>
      <c r="X479"/>
    </row>
    <row r="480" spans="1:24" ht="15" customHeight="1" thickBot="1" x14ac:dyDescent="0.35">
      <c r="A480" s="38">
        <v>43483.814583333333</v>
      </c>
      <c r="B480" s="39">
        <v>141701</v>
      </c>
      <c r="C480" s="36" t="s">
        <v>119</v>
      </c>
      <c r="D480" s="17">
        <v>4130000000000</v>
      </c>
      <c r="E480" s="16" t="s">
        <v>130</v>
      </c>
      <c r="F480" s="17">
        <v>1</v>
      </c>
      <c r="G480" s="18">
        <v>1700</v>
      </c>
      <c r="H480" s="17">
        <v>561</v>
      </c>
      <c r="I480" s="18">
        <v>1700</v>
      </c>
      <c r="J480" s="18">
        <v>1139</v>
      </c>
      <c r="K480" s="37" t="str">
        <f t="shared" si="9"/>
        <v>Expensive</v>
      </c>
      <c r="L480" s="37"/>
      <c r="N480" s="37"/>
      <c r="O480" s="37"/>
      <c r="P480" s="37"/>
      <c r="Q480" s="37"/>
      <c r="R480" s="37"/>
      <c r="S480" s="37"/>
      <c r="T480" s="37"/>
      <c r="V480"/>
      <c r="X480"/>
    </row>
    <row r="481" spans="1:24" ht="15" customHeight="1" thickBot="1" x14ac:dyDescent="0.35">
      <c r="A481" s="38">
        <v>43492.772916666669</v>
      </c>
      <c r="B481" s="39">
        <v>141702</v>
      </c>
      <c r="C481" s="36" t="s">
        <v>110</v>
      </c>
      <c r="D481" s="17">
        <v>2730000000000</v>
      </c>
      <c r="E481" s="16" t="s">
        <v>131</v>
      </c>
      <c r="F481" s="17">
        <v>1</v>
      </c>
      <c r="G481" s="18">
        <v>700</v>
      </c>
      <c r="H481" s="17">
        <v>231</v>
      </c>
      <c r="I481" s="18">
        <v>700</v>
      </c>
      <c r="J481" s="18">
        <v>469</v>
      </c>
      <c r="K481" s="37" t="str">
        <f t="shared" si="9"/>
        <v>Expensive</v>
      </c>
      <c r="L481" s="37"/>
      <c r="N481" s="37"/>
      <c r="O481" s="37"/>
      <c r="P481" s="37"/>
      <c r="Q481" s="37"/>
      <c r="R481" s="37"/>
      <c r="S481" s="37"/>
      <c r="T481" s="37"/>
      <c r="V481"/>
      <c r="X481"/>
    </row>
    <row r="482" spans="1:24" ht="15" customHeight="1" thickBot="1" x14ac:dyDescent="0.35">
      <c r="A482" s="38">
        <v>43494.461111111108</v>
      </c>
      <c r="B482" s="39">
        <v>141703</v>
      </c>
      <c r="C482" s="36" t="s">
        <v>110</v>
      </c>
      <c r="D482" s="17">
        <v>2540000000000</v>
      </c>
      <c r="E482" s="16" t="s">
        <v>130</v>
      </c>
      <c r="F482" s="17">
        <v>1</v>
      </c>
      <c r="G482" s="18">
        <v>700</v>
      </c>
      <c r="H482" s="17">
        <v>231</v>
      </c>
      <c r="I482" s="18">
        <v>700</v>
      </c>
      <c r="J482" s="18">
        <v>469</v>
      </c>
      <c r="K482" s="37" t="str">
        <f t="shared" si="9"/>
        <v>Expensive</v>
      </c>
      <c r="L482" s="37"/>
      <c r="N482" s="37"/>
      <c r="O482" s="37"/>
      <c r="P482" s="37"/>
      <c r="Q482" s="37"/>
      <c r="R482" s="37"/>
      <c r="S482" s="37"/>
      <c r="T482" s="37"/>
      <c r="V482"/>
      <c r="X482"/>
    </row>
    <row r="483" spans="1:24" ht="15" customHeight="1" thickBot="1" x14ac:dyDescent="0.35">
      <c r="A483" s="38">
        <v>43496.830555555556</v>
      </c>
      <c r="B483" s="39">
        <v>141704</v>
      </c>
      <c r="C483" s="36" t="s">
        <v>115</v>
      </c>
      <c r="D483" s="17">
        <v>2860000000000</v>
      </c>
      <c r="E483" s="16" t="s">
        <v>132</v>
      </c>
      <c r="F483" s="17">
        <v>1</v>
      </c>
      <c r="G483" s="18">
        <v>389.99</v>
      </c>
      <c r="H483" s="17">
        <v>128.69669999999999</v>
      </c>
      <c r="I483" s="18">
        <v>389.99</v>
      </c>
      <c r="J483" s="18">
        <v>261.29329999999999</v>
      </c>
      <c r="K483" s="37" t="str">
        <f t="shared" si="9"/>
        <v>Inexpensive</v>
      </c>
      <c r="L483" s="37"/>
      <c r="N483" s="37"/>
      <c r="O483" s="37"/>
      <c r="P483" s="37"/>
      <c r="Q483" s="37"/>
      <c r="R483" s="37"/>
      <c r="S483" s="37"/>
      <c r="T483" s="37"/>
      <c r="V483"/>
      <c r="X483"/>
    </row>
    <row r="484" spans="1:24" ht="15" customHeight="1" thickBot="1" x14ac:dyDescent="0.35">
      <c r="A484" s="38">
        <v>43466.59375</v>
      </c>
      <c r="B484" s="39">
        <v>141705</v>
      </c>
      <c r="C484" s="36" t="s">
        <v>118</v>
      </c>
      <c r="D484" s="17">
        <v>2750000000000</v>
      </c>
      <c r="E484" s="16" t="s">
        <v>131</v>
      </c>
      <c r="F484" s="17">
        <v>1</v>
      </c>
      <c r="G484" s="18">
        <v>150</v>
      </c>
      <c r="H484" s="17">
        <v>97.5</v>
      </c>
      <c r="I484" s="18">
        <v>150</v>
      </c>
      <c r="J484" s="18">
        <v>52.5</v>
      </c>
      <c r="K484" s="37" t="str">
        <f t="shared" si="9"/>
        <v>Inexpensive</v>
      </c>
      <c r="L484" s="37"/>
      <c r="N484" s="37"/>
      <c r="O484" s="37"/>
      <c r="P484" s="37"/>
      <c r="Q484" s="37"/>
      <c r="R484" s="37"/>
      <c r="S484" s="37"/>
      <c r="T484" s="37"/>
      <c r="V484"/>
      <c r="X484"/>
    </row>
    <row r="485" spans="1:24" ht="15" customHeight="1" thickBot="1" x14ac:dyDescent="0.35">
      <c r="A485" s="38">
        <v>43484.568055555559</v>
      </c>
      <c r="B485" s="39">
        <v>141706</v>
      </c>
      <c r="C485" s="36" t="s">
        <v>116</v>
      </c>
      <c r="D485" s="17">
        <v>8040000000000</v>
      </c>
      <c r="E485" s="16" t="s">
        <v>132</v>
      </c>
      <c r="F485" s="17">
        <v>1</v>
      </c>
      <c r="G485" s="18">
        <v>11.95</v>
      </c>
      <c r="H485" s="17">
        <v>5.9749999999999996</v>
      </c>
      <c r="I485" s="18">
        <v>11.95</v>
      </c>
      <c r="J485" s="18">
        <v>5.9749999999999996</v>
      </c>
      <c r="K485" s="37" t="str">
        <f t="shared" si="9"/>
        <v>Inexpensive</v>
      </c>
      <c r="L485" s="37"/>
      <c r="N485" s="37"/>
      <c r="O485" s="37"/>
      <c r="P485" s="37"/>
      <c r="Q485" s="37"/>
      <c r="R485" s="37"/>
      <c r="S485" s="37"/>
      <c r="T485" s="37"/>
      <c r="V485"/>
      <c r="X485"/>
    </row>
    <row r="486" spans="1:24" ht="15" customHeight="1" thickBot="1" x14ac:dyDescent="0.35">
      <c r="A486" s="38">
        <v>43478.036805555559</v>
      </c>
      <c r="B486" s="39">
        <v>141707</v>
      </c>
      <c r="C486" s="36" t="s">
        <v>122</v>
      </c>
      <c r="D486" s="17">
        <v>7650000000000</v>
      </c>
      <c r="E486" s="16" t="s">
        <v>132</v>
      </c>
      <c r="F486" s="17">
        <v>1</v>
      </c>
      <c r="G486" s="18">
        <v>3.84</v>
      </c>
      <c r="H486" s="17">
        <v>1.92</v>
      </c>
      <c r="I486" s="18">
        <v>3.84</v>
      </c>
      <c r="J486" s="18">
        <v>1.92</v>
      </c>
      <c r="K486" s="37" t="str">
        <f t="shared" si="9"/>
        <v>Inexpensive</v>
      </c>
      <c r="L486" s="37"/>
      <c r="N486" s="37"/>
      <c r="O486" s="37"/>
      <c r="P486" s="37"/>
      <c r="Q486" s="37"/>
      <c r="R486" s="37"/>
      <c r="S486" s="37"/>
      <c r="T486" s="37"/>
      <c r="V486"/>
      <c r="X486"/>
    </row>
    <row r="487" spans="1:24" ht="15" customHeight="1" thickBot="1" x14ac:dyDescent="0.35">
      <c r="A487" s="38">
        <v>43487.396527777775</v>
      </c>
      <c r="B487" s="39">
        <v>141708</v>
      </c>
      <c r="C487" s="36" t="s">
        <v>112</v>
      </c>
      <c r="D487" s="17">
        <v>9100000000000</v>
      </c>
      <c r="E487" s="16" t="s">
        <v>132</v>
      </c>
      <c r="F487" s="17">
        <v>1</v>
      </c>
      <c r="G487" s="18">
        <v>11.99</v>
      </c>
      <c r="H487" s="17">
        <v>5.9950000000000001</v>
      </c>
      <c r="I487" s="18">
        <v>11.99</v>
      </c>
      <c r="J487" s="18">
        <v>5.9950000000000001</v>
      </c>
      <c r="K487" s="37" t="str">
        <f t="shared" si="9"/>
        <v>Inexpensive</v>
      </c>
      <c r="L487" s="37"/>
      <c r="N487" s="37"/>
      <c r="O487" s="37"/>
      <c r="P487" s="37"/>
      <c r="Q487" s="37"/>
      <c r="R487" s="37"/>
      <c r="S487" s="37"/>
      <c r="T487" s="37"/>
      <c r="V487"/>
      <c r="X487"/>
    </row>
    <row r="488" spans="1:24" ht="15" customHeight="1" thickBot="1" x14ac:dyDescent="0.35">
      <c r="A488" s="38">
        <v>43489.989583333336</v>
      </c>
      <c r="B488" s="39">
        <v>141709</v>
      </c>
      <c r="C488" s="36" t="s">
        <v>123</v>
      </c>
      <c r="D488" s="17">
        <v>7390000000000</v>
      </c>
      <c r="E488" s="16" t="s">
        <v>132</v>
      </c>
      <c r="F488" s="17">
        <v>1</v>
      </c>
      <c r="G488" s="18">
        <v>600</v>
      </c>
      <c r="H488" s="17">
        <v>198</v>
      </c>
      <c r="I488" s="18">
        <v>600</v>
      </c>
      <c r="J488" s="18">
        <v>402</v>
      </c>
      <c r="K488" s="37" t="str">
        <f t="shared" si="9"/>
        <v>Inexpensive</v>
      </c>
      <c r="L488" s="37"/>
      <c r="N488" s="37"/>
      <c r="O488" s="37"/>
      <c r="P488" s="37"/>
      <c r="Q488" s="37"/>
      <c r="R488" s="37"/>
      <c r="S488" s="37"/>
      <c r="T488" s="37"/>
      <c r="V488"/>
      <c r="X488"/>
    </row>
    <row r="489" spans="1:24" ht="15" customHeight="1" thickBot="1" x14ac:dyDescent="0.35">
      <c r="A489" s="38">
        <v>43488</v>
      </c>
      <c r="B489" s="39">
        <v>141710</v>
      </c>
      <c r="C489" s="36" t="s">
        <v>116</v>
      </c>
      <c r="D489" s="17">
        <v>7380000000000</v>
      </c>
      <c r="E489" s="16" t="s">
        <v>131</v>
      </c>
      <c r="F489" s="17">
        <v>1</v>
      </c>
      <c r="G489" s="18">
        <v>11.95</v>
      </c>
      <c r="H489" s="17">
        <v>5.9749999999999996</v>
      </c>
      <c r="I489" s="18">
        <v>11.95</v>
      </c>
      <c r="J489" s="18">
        <v>5.9749999999999996</v>
      </c>
      <c r="K489" s="37" t="str">
        <f t="shared" si="9"/>
        <v>Inexpensive</v>
      </c>
      <c r="L489" s="37"/>
      <c r="N489" s="37"/>
      <c r="O489" s="37"/>
      <c r="P489" s="37"/>
      <c r="Q489" s="37"/>
      <c r="R489" s="37"/>
      <c r="S489" s="37"/>
      <c r="T489" s="37"/>
      <c r="V489"/>
      <c r="X489"/>
    </row>
    <row r="490" spans="1:24" ht="15" customHeight="1" thickBot="1" x14ac:dyDescent="0.35">
      <c r="A490" s="38">
        <v>43483.549305555556</v>
      </c>
      <c r="B490" s="39">
        <v>141711</v>
      </c>
      <c r="C490" s="36" t="s">
        <v>116</v>
      </c>
      <c r="D490" s="17">
        <v>8100000000000</v>
      </c>
      <c r="E490" s="16" t="s">
        <v>130</v>
      </c>
      <c r="F490" s="17">
        <v>1</v>
      </c>
      <c r="G490" s="18">
        <v>11.95</v>
      </c>
      <c r="H490" s="17">
        <v>5.9749999999999996</v>
      </c>
      <c r="I490" s="18">
        <v>11.95</v>
      </c>
      <c r="J490" s="18">
        <v>5.9749999999999996</v>
      </c>
      <c r="K490" s="37" t="str">
        <f t="shared" si="9"/>
        <v>Inexpensive</v>
      </c>
      <c r="L490" s="37"/>
      <c r="N490" s="37"/>
      <c r="O490" s="37"/>
      <c r="P490" s="37"/>
      <c r="Q490" s="37"/>
      <c r="R490" s="37"/>
      <c r="S490" s="37"/>
      <c r="T490" s="37"/>
      <c r="V490"/>
      <c r="X490"/>
    </row>
    <row r="491" spans="1:24" ht="15" customHeight="1" thickBot="1" x14ac:dyDescent="0.35">
      <c r="A491" s="38">
        <v>43472.508333333331</v>
      </c>
      <c r="B491" s="39">
        <v>141712</v>
      </c>
      <c r="C491" s="36" t="s">
        <v>122</v>
      </c>
      <c r="D491" s="17">
        <v>2380000000000</v>
      </c>
      <c r="E491" s="16" t="s">
        <v>131</v>
      </c>
      <c r="F491" s="17">
        <v>1</v>
      </c>
      <c r="G491" s="18">
        <v>3.84</v>
      </c>
      <c r="H491" s="17">
        <v>1.92</v>
      </c>
      <c r="I491" s="18">
        <v>3.84</v>
      </c>
      <c r="J491" s="18">
        <v>1.92</v>
      </c>
      <c r="K491" s="37" t="str">
        <f t="shared" si="9"/>
        <v>Inexpensive</v>
      </c>
      <c r="L491" s="37"/>
      <c r="N491" s="37"/>
      <c r="O491" s="37"/>
      <c r="P491" s="37"/>
      <c r="Q491" s="37"/>
      <c r="R491" s="37"/>
      <c r="S491" s="37"/>
      <c r="T491" s="37"/>
      <c r="V491"/>
      <c r="X491"/>
    </row>
    <row r="492" spans="1:24" ht="15" customHeight="1" thickBot="1" x14ac:dyDescent="0.35">
      <c r="A492" s="38">
        <v>43490.575694444444</v>
      </c>
      <c r="B492" s="39">
        <v>141713</v>
      </c>
      <c r="C492" s="36" t="s">
        <v>116</v>
      </c>
      <c r="D492" s="17">
        <v>3890000000000</v>
      </c>
      <c r="E492" s="16" t="s">
        <v>132</v>
      </c>
      <c r="F492" s="17">
        <v>1</v>
      </c>
      <c r="G492" s="18">
        <v>11.95</v>
      </c>
      <c r="H492" s="17">
        <v>5.9749999999999996</v>
      </c>
      <c r="I492" s="18">
        <v>11.95</v>
      </c>
      <c r="J492" s="18">
        <v>5.9749999999999996</v>
      </c>
      <c r="K492" s="37" t="str">
        <f t="shared" si="9"/>
        <v>Inexpensive</v>
      </c>
      <c r="L492" s="37"/>
      <c r="N492" s="37"/>
      <c r="O492" s="37"/>
      <c r="P492" s="37"/>
      <c r="Q492" s="37"/>
      <c r="R492" s="37"/>
      <c r="S492" s="37"/>
      <c r="T492" s="37"/>
      <c r="V492"/>
      <c r="X492"/>
    </row>
    <row r="493" spans="1:24" ht="15" customHeight="1" thickBot="1" x14ac:dyDescent="0.35">
      <c r="A493" s="38">
        <v>43492.852083333331</v>
      </c>
      <c r="B493" s="39">
        <v>141714</v>
      </c>
      <c r="C493" s="36" t="s">
        <v>116</v>
      </c>
      <c r="D493" s="17">
        <v>1310000000000</v>
      </c>
      <c r="E493" s="16" t="s">
        <v>131</v>
      </c>
      <c r="F493" s="17">
        <v>1</v>
      </c>
      <c r="G493" s="18">
        <v>11.95</v>
      </c>
      <c r="H493" s="17">
        <v>5.9749999999999996</v>
      </c>
      <c r="I493" s="18">
        <v>11.95</v>
      </c>
      <c r="J493" s="18">
        <v>5.9749999999999996</v>
      </c>
      <c r="K493" s="37" t="str">
        <f t="shared" si="9"/>
        <v>Inexpensive</v>
      </c>
      <c r="L493" s="37"/>
      <c r="N493" s="37"/>
      <c r="O493" s="37"/>
      <c r="P493" s="37"/>
      <c r="Q493" s="37"/>
      <c r="R493" s="37"/>
      <c r="S493" s="37"/>
      <c r="T493" s="37"/>
      <c r="V493"/>
      <c r="X493"/>
    </row>
    <row r="494" spans="1:24" ht="15" customHeight="1" thickBot="1" x14ac:dyDescent="0.35">
      <c r="A494" s="38">
        <v>43487.020833333336</v>
      </c>
      <c r="B494" s="39">
        <v>141715</v>
      </c>
      <c r="C494" s="36" t="s">
        <v>117</v>
      </c>
      <c r="D494" s="17">
        <v>5160000000000</v>
      </c>
      <c r="E494" s="16" t="s">
        <v>130</v>
      </c>
      <c r="F494" s="17">
        <v>1</v>
      </c>
      <c r="G494" s="18">
        <v>99.99</v>
      </c>
      <c r="H494" s="17">
        <v>49.994999999999997</v>
      </c>
      <c r="I494" s="18">
        <v>99.99</v>
      </c>
      <c r="J494" s="18">
        <v>49.994999999999997</v>
      </c>
      <c r="K494" s="37" t="str">
        <f t="shared" si="9"/>
        <v>Inexpensive</v>
      </c>
      <c r="L494" s="37"/>
      <c r="N494" s="37"/>
      <c r="O494" s="37"/>
      <c r="P494" s="37"/>
      <c r="Q494" s="37"/>
      <c r="R494" s="37"/>
      <c r="S494" s="37"/>
      <c r="T494" s="37"/>
      <c r="V494"/>
      <c r="X494"/>
    </row>
    <row r="495" spans="1:24" ht="15" customHeight="1" thickBot="1" x14ac:dyDescent="0.35">
      <c r="A495" s="38">
        <v>43482.415277777778</v>
      </c>
      <c r="B495" s="39">
        <v>141716</v>
      </c>
      <c r="C495" s="36" t="s">
        <v>117</v>
      </c>
      <c r="D495" s="17">
        <v>6820000000000</v>
      </c>
      <c r="E495" s="16" t="s">
        <v>132</v>
      </c>
      <c r="F495" s="17">
        <v>1</v>
      </c>
      <c r="G495" s="18">
        <v>99.99</v>
      </c>
      <c r="H495" s="17">
        <v>49.994999999999997</v>
      </c>
      <c r="I495" s="18">
        <v>99.99</v>
      </c>
      <c r="J495" s="18">
        <v>49.994999999999997</v>
      </c>
      <c r="K495" s="37" t="str">
        <f t="shared" si="9"/>
        <v>Inexpensive</v>
      </c>
      <c r="L495" s="37"/>
      <c r="N495" s="37"/>
      <c r="O495" s="37"/>
      <c r="P495" s="37"/>
      <c r="Q495" s="37"/>
      <c r="R495" s="37"/>
      <c r="S495" s="37"/>
      <c r="T495" s="37"/>
      <c r="V495"/>
      <c r="X495"/>
    </row>
    <row r="496" spans="1:24" ht="15" customHeight="1" thickBot="1" x14ac:dyDescent="0.35">
      <c r="A496" s="38">
        <v>43496.71875</v>
      </c>
      <c r="B496" s="39">
        <v>141717</v>
      </c>
      <c r="C496" s="36" t="s">
        <v>114</v>
      </c>
      <c r="D496" s="17">
        <v>9800000000000</v>
      </c>
      <c r="E496" s="16" t="s">
        <v>132</v>
      </c>
      <c r="F496" s="17">
        <v>1</v>
      </c>
      <c r="G496" s="18">
        <v>2.99</v>
      </c>
      <c r="H496" s="17">
        <v>1.4950000000000001</v>
      </c>
      <c r="I496" s="18">
        <v>2.99</v>
      </c>
      <c r="J496" s="18">
        <v>1.4950000000000001</v>
      </c>
      <c r="K496" s="37" t="str">
        <f t="shared" si="9"/>
        <v>Inexpensive</v>
      </c>
      <c r="L496" s="37"/>
      <c r="N496" s="37"/>
      <c r="O496" s="37"/>
      <c r="P496" s="37"/>
      <c r="Q496" s="37"/>
      <c r="R496" s="37"/>
      <c r="S496" s="37"/>
      <c r="T496" s="37"/>
      <c r="V496"/>
      <c r="X496"/>
    </row>
    <row r="497" spans="1:24" ht="15" customHeight="1" thickBot="1" x14ac:dyDescent="0.35">
      <c r="A497" s="38">
        <v>43481.626388888886</v>
      </c>
      <c r="B497" s="39">
        <v>141718</v>
      </c>
      <c r="C497" s="36" t="s">
        <v>123</v>
      </c>
      <c r="D497" s="17">
        <v>4760000000000</v>
      </c>
      <c r="E497" s="16" t="s">
        <v>131</v>
      </c>
      <c r="F497" s="17">
        <v>1</v>
      </c>
      <c r="G497" s="18">
        <v>600</v>
      </c>
      <c r="H497" s="17">
        <v>198</v>
      </c>
      <c r="I497" s="18">
        <v>600</v>
      </c>
      <c r="J497" s="18">
        <v>402</v>
      </c>
      <c r="K497" s="37" t="str">
        <f t="shared" si="9"/>
        <v>Inexpensive</v>
      </c>
      <c r="L497" s="37"/>
      <c r="N497" s="37"/>
      <c r="O497" s="37"/>
      <c r="P497" s="37"/>
      <c r="Q497" s="37"/>
      <c r="R497" s="37"/>
      <c r="S497" s="37"/>
      <c r="T497" s="37"/>
      <c r="V497"/>
      <c r="X497"/>
    </row>
    <row r="498" spans="1:24" ht="15" customHeight="1" thickBot="1" x14ac:dyDescent="0.35">
      <c r="A498" s="38">
        <v>43475.56527777778</v>
      </c>
      <c r="B498" s="39">
        <v>141719</v>
      </c>
      <c r="C498" s="36" t="s">
        <v>115</v>
      </c>
      <c r="D498" s="17">
        <v>2580000000000</v>
      </c>
      <c r="E498" s="16" t="s">
        <v>131</v>
      </c>
      <c r="F498" s="17">
        <v>1</v>
      </c>
      <c r="G498" s="18">
        <v>389.99</v>
      </c>
      <c r="H498" s="17">
        <v>128.69669999999999</v>
      </c>
      <c r="I498" s="18">
        <v>389.99</v>
      </c>
      <c r="J498" s="18">
        <v>261.29329999999999</v>
      </c>
      <c r="K498" s="37" t="str">
        <f t="shared" si="9"/>
        <v>Inexpensive</v>
      </c>
      <c r="L498" s="37"/>
      <c r="N498" s="37"/>
      <c r="O498" s="37"/>
      <c r="P498" s="37"/>
      <c r="Q498" s="37"/>
      <c r="R498" s="37"/>
      <c r="S498" s="37"/>
      <c r="T498" s="37"/>
      <c r="V498"/>
      <c r="X498"/>
    </row>
    <row r="499" spans="1:24" ht="15" customHeight="1" thickBot="1" x14ac:dyDescent="0.35">
      <c r="A499" s="38">
        <v>43490.831944444442</v>
      </c>
      <c r="B499" s="39">
        <v>141720</v>
      </c>
      <c r="C499" s="36" t="s">
        <v>116</v>
      </c>
      <c r="D499" s="17">
        <v>5450000000000</v>
      </c>
      <c r="E499" s="16" t="s">
        <v>130</v>
      </c>
      <c r="F499" s="17">
        <v>1</v>
      </c>
      <c r="G499" s="18">
        <v>11.95</v>
      </c>
      <c r="H499" s="17">
        <v>5.9749999999999996</v>
      </c>
      <c r="I499" s="18">
        <v>11.95</v>
      </c>
      <c r="J499" s="18">
        <v>5.9749999999999996</v>
      </c>
      <c r="K499" s="37" t="str">
        <f t="shared" si="9"/>
        <v>Inexpensive</v>
      </c>
      <c r="L499" s="37"/>
      <c r="N499" s="37"/>
      <c r="O499" s="37"/>
      <c r="P499" s="37"/>
      <c r="Q499" s="37"/>
      <c r="R499" s="37"/>
      <c r="S499" s="37"/>
      <c r="T499" s="37"/>
      <c r="V499"/>
      <c r="X499"/>
    </row>
    <row r="500" spans="1:24" ht="15" customHeight="1" thickBot="1" x14ac:dyDescent="0.35">
      <c r="A500" s="38">
        <v>43476.502083333333</v>
      </c>
      <c r="B500" s="39">
        <v>141721</v>
      </c>
      <c r="C500" s="36" t="s">
        <v>122</v>
      </c>
      <c r="D500" s="17">
        <v>1300000000000</v>
      </c>
      <c r="E500" s="16" t="s">
        <v>130</v>
      </c>
      <c r="F500" s="17">
        <v>1</v>
      </c>
      <c r="G500" s="18">
        <v>3.84</v>
      </c>
      <c r="H500" s="17">
        <v>1.92</v>
      </c>
      <c r="I500" s="18">
        <v>3.84</v>
      </c>
      <c r="J500" s="18">
        <v>1.92</v>
      </c>
      <c r="K500" s="37" t="str">
        <f t="shared" si="9"/>
        <v>Inexpensive</v>
      </c>
      <c r="L500" s="37"/>
      <c r="N500" s="37"/>
      <c r="O500" s="37"/>
      <c r="P500" s="37"/>
      <c r="Q500" s="37"/>
      <c r="R500" s="37"/>
      <c r="S500" s="37"/>
      <c r="T500" s="37"/>
      <c r="V500"/>
      <c r="X500"/>
    </row>
    <row r="501" spans="1:24" ht="15" customHeight="1" thickBot="1" x14ac:dyDescent="0.35">
      <c r="A501" s="38">
        <v>43471.587500000001</v>
      </c>
      <c r="B501" s="39">
        <v>141722</v>
      </c>
      <c r="C501" s="36" t="s">
        <v>119</v>
      </c>
      <c r="D501" s="17">
        <v>7960000000000</v>
      </c>
      <c r="E501" s="16" t="s">
        <v>132</v>
      </c>
      <c r="F501" s="17">
        <v>1</v>
      </c>
      <c r="G501" s="18">
        <v>1700</v>
      </c>
      <c r="H501" s="17">
        <v>561</v>
      </c>
      <c r="I501" s="18">
        <v>1700</v>
      </c>
      <c r="J501" s="18">
        <v>1139</v>
      </c>
      <c r="K501" s="37" t="str">
        <f t="shared" si="9"/>
        <v>Expensive</v>
      </c>
      <c r="L501" s="37"/>
      <c r="N501" s="37"/>
      <c r="O501" s="37"/>
      <c r="P501" s="37"/>
      <c r="Q501" s="37"/>
      <c r="R501" s="37"/>
      <c r="S501" s="37"/>
      <c r="T501" s="37"/>
      <c r="V501"/>
      <c r="X501"/>
    </row>
    <row r="502" spans="1:24" ht="15" customHeight="1" thickBot="1" x14ac:dyDescent="0.35">
      <c r="A502" s="38">
        <v>43479.920138888891</v>
      </c>
      <c r="B502" s="39">
        <v>141723</v>
      </c>
      <c r="C502" s="36" t="s">
        <v>112</v>
      </c>
      <c r="D502" s="17">
        <v>1850000000000</v>
      </c>
      <c r="E502" s="16" t="s">
        <v>131</v>
      </c>
      <c r="F502" s="17">
        <v>1</v>
      </c>
      <c r="G502" s="18">
        <v>11.99</v>
      </c>
      <c r="H502" s="17">
        <v>5.9950000000000001</v>
      </c>
      <c r="I502" s="18">
        <v>11.99</v>
      </c>
      <c r="J502" s="18">
        <v>5.9950000000000001</v>
      </c>
      <c r="K502" s="37" t="str">
        <f t="shared" si="9"/>
        <v>Inexpensive</v>
      </c>
      <c r="L502" s="37"/>
      <c r="N502" s="37"/>
      <c r="O502" s="37"/>
      <c r="P502" s="37"/>
      <c r="Q502" s="37"/>
      <c r="R502" s="37"/>
      <c r="S502" s="37"/>
      <c r="T502" s="37"/>
      <c r="V502"/>
      <c r="X502"/>
    </row>
    <row r="503" spans="1:24" ht="15" customHeight="1" thickBot="1" x14ac:dyDescent="0.35">
      <c r="A503" s="38">
        <v>43471.779861111114</v>
      </c>
      <c r="B503" s="39">
        <v>141724</v>
      </c>
      <c r="C503" s="36" t="s">
        <v>111</v>
      </c>
      <c r="D503" s="17">
        <v>1230000000000</v>
      </c>
      <c r="E503" s="16" t="s">
        <v>132</v>
      </c>
      <c r="F503" s="17">
        <v>1</v>
      </c>
      <c r="G503" s="18">
        <v>14.95</v>
      </c>
      <c r="H503" s="17">
        <v>7.4749999999999996</v>
      </c>
      <c r="I503" s="18">
        <v>14.95</v>
      </c>
      <c r="J503" s="18">
        <v>7.4749999999999996</v>
      </c>
      <c r="K503" s="37" t="str">
        <f t="shared" si="9"/>
        <v>Inexpensive</v>
      </c>
      <c r="L503" s="37"/>
      <c r="N503" s="37"/>
      <c r="O503" s="37"/>
      <c r="P503" s="37"/>
      <c r="Q503" s="37"/>
      <c r="R503" s="37"/>
      <c r="S503" s="37"/>
      <c r="T503" s="37"/>
      <c r="V503"/>
      <c r="X503"/>
    </row>
    <row r="504" spans="1:24" ht="15" customHeight="1" thickBot="1" x14ac:dyDescent="0.35">
      <c r="A504" s="38">
        <v>43474.761111111111</v>
      </c>
      <c r="B504" s="39">
        <v>141725</v>
      </c>
      <c r="C504" s="36" t="s">
        <v>112</v>
      </c>
      <c r="D504" s="17">
        <v>5230000000000</v>
      </c>
      <c r="E504" s="16" t="s">
        <v>130</v>
      </c>
      <c r="F504" s="17">
        <v>1</v>
      </c>
      <c r="G504" s="18">
        <v>11.99</v>
      </c>
      <c r="H504" s="17">
        <v>5.9950000000000001</v>
      </c>
      <c r="I504" s="18">
        <v>11.99</v>
      </c>
      <c r="J504" s="18">
        <v>5.9950000000000001</v>
      </c>
      <c r="K504" s="37" t="str">
        <f t="shared" si="9"/>
        <v>Inexpensive</v>
      </c>
      <c r="L504" s="37"/>
      <c r="N504" s="37"/>
      <c r="O504" s="37"/>
      <c r="P504" s="37"/>
      <c r="Q504" s="37"/>
      <c r="R504" s="37"/>
      <c r="S504" s="37"/>
      <c r="T504" s="37"/>
      <c r="V504"/>
      <c r="X504"/>
    </row>
    <row r="505" spans="1:24" ht="15" customHeight="1" thickBot="1" x14ac:dyDescent="0.35">
      <c r="A505" s="38">
        <v>43485.300694444442</v>
      </c>
      <c r="B505" s="39">
        <v>141726</v>
      </c>
      <c r="C505" s="36" t="s">
        <v>116</v>
      </c>
      <c r="D505" s="17">
        <v>2920000000000</v>
      </c>
      <c r="E505" s="16" t="s">
        <v>132</v>
      </c>
      <c r="F505" s="17">
        <v>1</v>
      </c>
      <c r="G505" s="18">
        <v>11.95</v>
      </c>
      <c r="H505" s="17">
        <v>5.9749999999999996</v>
      </c>
      <c r="I505" s="18">
        <v>11.95</v>
      </c>
      <c r="J505" s="18">
        <v>5.9749999999999996</v>
      </c>
      <c r="K505" s="37" t="str">
        <f t="shared" si="9"/>
        <v>Inexpensive</v>
      </c>
      <c r="L505" s="37"/>
      <c r="N505" s="37"/>
      <c r="O505" s="37"/>
      <c r="P505" s="37"/>
      <c r="Q505" s="37"/>
      <c r="R505" s="37"/>
      <c r="S505" s="37"/>
      <c r="T505" s="37"/>
      <c r="V505"/>
      <c r="X505"/>
    </row>
    <row r="506" spans="1:24" ht="15" customHeight="1" thickBot="1" x14ac:dyDescent="0.35">
      <c r="A506" s="38">
        <v>43496.568055555559</v>
      </c>
      <c r="B506" s="39">
        <v>141727</v>
      </c>
      <c r="C506" s="36" t="s">
        <v>111</v>
      </c>
      <c r="D506" s="17">
        <v>2990000000000</v>
      </c>
      <c r="E506" s="16" t="s">
        <v>131</v>
      </c>
      <c r="F506" s="17">
        <v>2</v>
      </c>
      <c r="G506" s="18">
        <v>14.95</v>
      </c>
      <c r="H506" s="17">
        <v>7.4749999999999996</v>
      </c>
      <c r="I506" s="18">
        <v>29.9</v>
      </c>
      <c r="J506" s="18">
        <v>14.95</v>
      </c>
      <c r="K506" s="37" t="str">
        <f t="shared" si="9"/>
        <v>Inexpensive</v>
      </c>
      <c r="L506" s="37"/>
      <c r="N506" s="37"/>
      <c r="O506" s="37"/>
      <c r="P506" s="37"/>
      <c r="Q506" s="37"/>
      <c r="R506" s="37"/>
      <c r="S506" s="37"/>
      <c r="T506" s="37"/>
      <c r="V506"/>
      <c r="X506"/>
    </row>
    <row r="507" spans="1:24" ht="15" customHeight="1" thickBot="1" x14ac:dyDescent="0.35">
      <c r="A507" s="38">
        <v>43479</v>
      </c>
      <c r="B507" s="39">
        <v>141728</v>
      </c>
      <c r="C507" s="36" t="s">
        <v>114</v>
      </c>
      <c r="D507" s="17">
        <v>2820000000000</v>
      </c>
      <c r="E507" s="16" t="s">
        <v>131</v>
      </c>
      <c r="F507" s="17">
        <v>1</v>
      </c>
      <c r="G507" s="18">
        <v>2.99</v>
      </c>
      <c r="H507" s="17">
        <v>1.4950000000000001</v>
      </c>
      <c r="I507" s="18">
        <v>2.99</v>
      </c>
      <c r="J507" s="18">
        <v>1.4950000000000001</v>
      </c>
      <c r="K507" s="37" t="str">
        <f t="shared" si="9"/>
        <v>Inexpensive</v>
      </c>
      <c r="L507" s="37"/>
      <c r="N507" s="37"/>
      <c r="O507" s="37"/>
      <c r="P507" s="37"/>
      <c r="Q507" s="37"/>
      <c r="R507" s="37"/>
      <c r="S507" s="37"/>
      <c r="T507" s="37"/>
      <c r="V507"/>
      <c r="X507"/>
    </row>
    <row r="508" spans="1:24" ht="15" customHeight="1" thickBot="1" x14ac:dyDescent="0.35">
      <c r="A508" s="38">
        <v>43474.459027777775</v>
      </c>
      <c r="B508" s="39">
        <v>141729</v>
      </c>
      <c r="C508" s="36" t="s">
        <v>112</v>
      </c>
      <c r="D508" s="17">
        <v>7110000000000</v>
      </c>
      <c r="E508" s="16" t="s">
        <v>132</v>
      </c>
      <c r="F508" s="17">
        <v>1</v>
      </c>
      <c r="G508" s="18">
        <v>11.99</v>
      </c>
      <c r="H508" s="17">
        <v>5.9950000000000001</v>
      </c>
      <c r="I508" s="18">
        <v>11.99</v>
      </c>
      <c r="J508" s="18">
        <v>5.9950000000000001</v>
      </c>
      <c r="K508" s="37" t="str">
        <f t="shared" si="9"/>
        <v>Inexpensive</v>
      </c>
      <c r="L508" s="37"/>
      <c r="N508" s="37"/>
      <c r="O508" s="37"/>
      <c r="P508" s="37"/>
      <c r="Q508" s="37"/>
      <c r="R508" s="37"/>
      <c r="S508" s="37"/>
      <c r="T508" s="37"/>
      <c r="V508"/>
      <c r="X508"/>
    </row>
    <row r="509" spans="1:24" ht="15" customHeight="1" thickBot="1" x14ac:dyDescent="0.35">
      <c r="A509" s="38">
        <v>43488.682638888888</v>
      </c>
      <c r="B509" s="39">
        <v>141730</v>
      </c>
      <c r="C509" s="36" t="s">
        <v>111</v>
      </c>
      <c r="D509" s="17">
        <v>4390000000000</v>
      </c>
      <c r="E509" s="16" t="s">
        <v>130</v>
      </c>
      <c r="F509" s="17">
        <v>1</v>
      </c>
      <c r="G509" s="18">
        <v>14.95</v>
      </c>
      <c r="H509" s="17">
        <v>7.4749999999999996</v>
      </c>
      <c r="I509" s="18">
        <v>14.95</v>
      </c>
      <c r="J509" s="18">
        <v>7.4749999999999996</v>
      </c>
      <c r="K509" s="37" t="str">
        <f t="shared" si="9"/>
        <v>Inexpensive</v>
      </c>
      <c r="L509" s="37"/>
      <c r="N509" s="37"/>
      <c r="O509" s="37"/>
      <c r="P509" s="37"/>
      <c r="Q509" s="37"/>
      <c r="R509" s="37"/>
      <c r="S509" s="37"/>
      <c r="T509" s="37"/>
      <c r="V509"/>
      <c r="X509"/>
    </row>
    <row r="510" spans="1:24" ht="15" customHeight="1" thickBot="1" x14ac:dyDescent="0.35">
      <c r="A510" s="38">
        <v>43494.808333333334</v>
      </c>
      <c r="B510" s="39">
        <v>141731</v>
      </c>
      <c r="C510" s="36" t="s">
        <v>119</v>
      </c>
      <c r="D510" s="17">
        <v>7480000000000</v>
      </c>
      <c r="E510" s="16" t="s">
        <v>131</v>
      </c>
      <c r="F510" s="17">
        <v>1</v>
      </c>
      <c r="G510" s="18">
        <v>1700</v>
      </c>
      <c r="H510" s="17">
        <v>561</v>
      </c>
      <c r="I510" s="18">
        <v>1700</v>
      </c>
      <c r="J510" s="18">
        <v>1139</v>
      </c>
      <c r="K510" s="37" t="str">
        <f t="shared" si="9"/>
        <v>Expensive</v>
      </c>
      <c r="L510" s="37"/>
      <c r="N510" s="37"/>
      <c r="O510" s="37"/>
      <c r="P510" s="37"/>
      <c r="Q510" s="37"/>
      <c r="R510" s="37"/>
      <c r="S510" s="37"/>
      <c r="T510" s="37"/>
      <c r="V510"/>
      <c r="X510"/>
    </row>
    <row r="511" spans="1:24" ht="15" customHeight="1" thickBot="1" x14ac:dyDescent="0.35">
      <c r="A511" s="38">
        <v>43466.259027777778</v>
      </c>
      <c r="B511" s="39">
        <v>141732</v>
      </c>
      <c r="C511" s="36" t="s">
        <v>110</v>
      </c>
      <c r="D511" s="17">
        <v>7420000000000</v>
      </c>
      <c r="E511" s="16" t="s">
        <v>132</v>
      </c>
      <c r="F511" s="17">
        <v>1</v>
      </c>
      <c r="G511" s="18">
        <v>700</v>
      </c>
      <c r="H511" s="17">
        <v>231</v>
      </c>
      <c r="I511" s="18">
        <v>700</v>
      </c>
      <c r="J511" s="18">
        <v>469</v>
      </c>
      <c r="K511" s="37" t="str">
        <f t="shared" si="9"/>
        <v>Expensive</v>
      </c>
      <c r="L511" s="37"/>
      <c r="N511" s="37"/>
      <c r="O511" s="37"/>
      <c r="P511" s="37"/>
      <c r="Q511" s="37"/>
      <c r="R511" s="37"/>
      <c r="S511" s="37"/>
      <c r="T511" s="37"/>
      <c r="V511"/>
      <c r="X511"/>
    </row>
    <row r="512" spans="1:24" ht="15" customHeight="1" thickBot="1" x14ac:dyDescent="0.35">
      <c r="A512" s="38">
        <v>43489.526388888888</v>
      </c>
      <c r="B512" s="39">
        <v>141733</v>
      </c>
      <c r="C512" s="36" t="s">
        <v>115</v>
      </c>
      <c r="D512" s="17">
        <v>6620000000000</v>
      </c>
      <c r="E512" s="16" t="s">
        <v>130</v>
      </c>
      <c r="F512" s="17">
        <v>1</v>
      </c>
      <c r="G512" s="18">
        <v>389.99</v>
      </c>
      <c r="H512" s="17">
        <v>128.69669999999999</v>
      </c>
      <c r="I512" s="18">
        <v>389.99</v>
      </c>
      <c r="J512" s="18">
        <v>261.29329999999999</v>
      </c>
      <c r="K512" s="37" t="str">
        <f t="shared" si="9"/>
        <v>Inexpensive</v>
      </c>
      <c r="L512" s="37"/>
      <c r="N512" s="37"/>
      <c r="O512" s="37"/>
      <c r="P512" s="37"/>
      <c r="Q512" s="37"/>
      <c r="R512" s="37"/>
      <c r="S512" s="37"/>
      <c r="T512" s="37"/>
      <c r="V512"/>
      <c r="X512"/>
    </row>
    <row r="513" spans="1:24" ht="15" customHeight="1" thickBot="1" x14ac:dyDescent="0.35">
      <c r="A513" s="38">
        <v>43494.658333333333</v>
      </c>
      <c r="B513" s="39">
        <v>141734</v>
      </c>
      <c r="C513" s="36" t="s">
        <v>117</v>
      </c>
      <c r="D513" s="17">
        <v>7560000000000</v>
      </c>
      <c r="E513" s="16" t="s">
        <v>131</v>
      </c>
      <c r="F513" s="17">
        <v>1</v>
      </c>
      <c r="G513" s="18">
        <v>99.99</v>
      </c>
      <c r="H513" s="17">
        <v>49.994999999999997</v>
      </c>
      <c r="I513" s="18">
        <v>99.99</v>
      </c>
      <c r="J513" s="18">
        <v>49.994999999999997</v>
      </c>
      <c r="K513" s="37" t="str">
        <f t="shared" si="9"/>
        <v>Inexpensive</v>
      </c>
      <c r="L513" s="37"/>
      <c r="N513" s="37"/>
      <c r="O513" s="37"/>
      <c r="P513" s="37"/>
      <c r="Q513" s="37"/>
      <c r="R513" s="37"/>
      <c r="S513" s="37"/>
      <c r="T513" s="37"/>
      <c r="V513"/>
      <c r="X513"/>
    </row>
    <row r="514" spans="1:24" ht="15" customHeight="1" thickBot="1" x14ac:dyDescent="0.35">
      <c r="A514" s="38">
        <v>43490.523611111108</v>
      </c>
      <c r="B514" s="39">
        <v>141735</v>
      </c>
      <c r="C514" s="36" t="s">
        <v>125</v>
      </c>
      <c r="D514" s="17">
        <v>3010000000000</v>
      </c>
      <c r="E514" s="16" t="s">
        <v>130</v>
      </c>
      <c r="F514" s="17">
        <v>1</v>
      </c>
      <c r="G514" s="18">
        <v>379.99</v>
      </c>
      <c r="H514" s="17">
        <v>125.3967</v>
      </c>
      <c r="I514" s="18">
        <v>379.99</v>
      </c>
      <c r="J514" s="18">
        <v>254.5933</v>
      </c>
      <c r="K514" s="37" t="str">
        <f t="shared" si="9"/>
        <v>Inexpensive</v>
      </c>
      <c r="L514" s="37"/>
      <c r="N514" s="37"/>
      <c r="O514" s="37"/>
      <c r="P514" s="37"/>
      <c r="Q514" s="37"/>
      <c r="R514" s="37"/>
      <c r="S514" s="37"/>
      <c r="T514" s="37"/>
      <c r="V514"/>
      <c r="X514"/>
    </row>
    <row r="515" spans="1:24" ht="15" customHeight="1" thickBot="1" x14ac:dyDescent="0.35">
      <c r="A515" s="38">
        <v>43483.532638888886</v>
      </c>
      <c r="B515" s="39">
        <v>141736</v>
      </c>
      <c r="C515" s="36" t="s">
        <v>116</v>
      </c>
      <c r="D515" s="17">
        <v>4430000000000</v>
      </c>
      <c r="E515" s="16" t="s">
        <v>131</v>
      </c>
      <c r="F515" s="17">
        <v>1</v>
      </c>
      <c r="G515" s="18">
        <v>11.95</v>
      </c>
      <c r="H515" s="17">
        <v>5.9749999999999996</v>
      </c>
      <c r="I515" s="18">
        <v>11.95</v>
      </c>
      <c r="J515" s="18">
        <v>5.9749999999999996</v>
      </c>
      <c r="K515" s="37" t="str">
        <f t="shared" ref="K515:K578" si="10">IF(G515&gt;=700,"Expensive","Inexpensive")</f>
        <v>Inexpensive</v>
      </c>
      <c r="L515" s="37"/>
      <c r="N515" s="37"/>
      <c r="O515" s="37"/>
      <c r="P515" s="37"/>
      <c r="Q515" s="37"/>
      <c r="R515" s="37"/>
      <c r="S515" s="37"/>
      <c r="T515" s="37"/>
      <c r="V515"/>
      <c r="X515"/>
    </row>
    <row r="516" spans="1:24" ht="15" customHeight="1" thickBot="1" x14ac:dyDescent="0.35">
      <c r="A516" s="38">
        <v>43467.359027777777</v>
      </c>
      <c r="B516" s="39">
        <v>141737</v>
      </c>
      <c r="C516" s="36" t="s">
        <v>126</v>
      </c>
      <c r="D516" s="17">
        <v>8590000000000</v>
      </c>
      <c r="E516" s="16" t="s">
        <v>131</v>
      </c>
      <c r="F516" s="17">
        <v>1</v>
      </c>
      <c r="G516" s="18">
        <v>999.99</v>
      </c>
      <c r="H516" s="17">
        <v>329.99669999999998</v>
      </c>
      <c r="I516" s="18">
        <v>999.99</v>
      </c>
      <c r="J516" s="18">
        <v>669.99329999999998</v>
      </c>
      <c r="K516" s="37" t="str">
        <f t="shared" si="10"/>
        <v>Expensive</v>
      </c>
      <c r="L516" s="37"/>
      <c r="N516" s="37"/>
      <c r="O516" s="37"/>
      <c r="P516" s="37"/>
      <c r="Q516" s="37"/>
      <c r="R516" s="37"/>
      <c r="S516" s="37"/>
      <c r="T516" s="37"/>
      <c r="V516"/>
      <c r="X516"/>
    </row>
    <row r="517" spans="1:24" ht="15" customHeight="1" thickBot="1" x14ac:dyDescent="0.35">
      <c r="A517" s="38">
        <v>43479.870138888888</v>
      </c>
      <c r="B517" s="40">
        <v>141738</v>
      </c>
      <c r="C517" s="36" t="s">
        <v>110</v>
      </c>
      <c r="D517" s="17">
        <v>7240000000000</v>
      </c>
      <c r="E517" s="16" t="s">
        <v>131</v>
      </c>
      <c r="F517" s="17">
        <v>1</v>
      </c>
      <c r="G517" s="18">
        <v>700</v>
      </c>
      <c r="H517" s="17">
        <v>231</v>
      </c>
      <c r="I517" s="18">
        <v>700</v>
      </c>
      <c r="J517" s="18">
        <v>469</v>
      </c>
      <c r="K517" s="37" t="str">
        <f t="shared" si="10"/>
        <v>Expensive</v>
      </c>
      <c r="L517" s="37"/>
      <c r="N517" s="37"/>
      <c r="O517" s="37"/>
      <c r="P517" s="37"/>
      <c r="Q517" s="37"/>
      <c r="R517" s="37"/>
      <c r="S517" s="37"/>
      <c r="T517" s="37"/>
      <c r="V517"/>
      <c r="X517"/>
    </row>
    <row r="518" spans="1:24" ht="15" customHeight="1" thickBot="1" x14ac:dyDescent="0.35">
      <c r="A518" s="38">
        <v>43479.870138888888</v>
      </c>
      <c r="B518" s="40">
        <v>141738</v>
      </c>
      <c r="C518" s="36" t="s">
        <v>111</v>
      </c>
      <c r="D518" s="17">
        <v>2060000000000</v>
      </c>
      <c r="E518" s="16" t="s">
        <v>132</v>
      </c>
      <c r="F518" s="17">
        <v>1</v>
      </c>
      <c r="G518" s="18">
        <v>14.95</v>
      </c>
      <c r="H518" s="17">
        <v>7.4749999999999996</v>
      </c>
      <c r="I518" s="18">
        <v>14.95</v>
      </c>
      <c r="J518" s="18">
        <v>7.4749999999999996</v>
      </c>
      <c r="K518" s="37" t="str">
        <f t="shared" si="10"/>
        <v>Inexpensive</v>
      </c>
      <c r="L518" s="37"/>
      <c r="N518" s="37"/>
      <c r="O518" s="37"/>
      <c r="P518" s="37"/>
      <c r="Q518" s="37"/>
      <c r="R518" s="37"/>
      <c r="S518" s="37"/>
      <c r="T518" s="37"/>
      <c r="V518"/>
      <c r="X518"/>
    </row>
    <row r="519" spans="1:24" ht="15" customHeight="1" thickBot="1" x14ac:dyDescent="0.35">
      <c r="A519" s="38">
        <v>43492.454861111109</v>
      </c>
      <c r="B519" s="39">
        <v>141739</v>
      </c>
      <c r="C519" s="36" t="s">
        <v>122</v>
      </c>
      <c r="D519" s="17">
        <v>5410000000000</v>
      </c>
      <c r="E519" s="16" t="s">
        <v>132</v>
      </c>
      <c r="F519" s="17">
        <v>1</v>
      </c>
      <c r="G519" s="18">
        <v>3.84</v>
      </c>
      <c r="H519" s="17">
        <v>1.92</v>
      </c>
      <c r="I519" s="18">
        <v>3.84</v>
      </c>
      <c r="J519" s="18">
        <v>1.92</v>
      </c>
      <c r="K519" s="37" t="str">
        <f t="shared" si="10"/>
        <v>Inexpensive</v>
      </c>
      <c r="L519" s="37"/>
      <c r="N519" s="37"/>
      <c r="O519" s="37"/>
      <c r="P519" s="37"/>
      <c r="Q519" s="37"/>
      <c r="R519" s="37"/>
      <c r="S519" s="37"/>
      <c r="T519" s="37"/>
      <c r="V519"/>
      <c r="X519"/>
    </row>
    <row r="520" spans="1:24" ht="15" customHeight="1" thickBot="1" x14ac:dyDescent="0.35">
      <c r="A520" s="38">
        <v>43477.945833333331</v>
      </c>
      <c r="B520" s="39">
        <v>141740</v>
      </c>
      <c r="C520" s="36" t="s">
        <v>122</v>
      </c>
      <c r="D520" s="17">
        <v>2720000000000</v>
      </c>
      <c r="E520" s="16" t="s">
        <v>131</v>
      </c>
      <c r="F520" s="17">
        <v>1</v>
      </c>
      <c r="G520" s="18">
        <v>3.84</v>
      </c>
      <c r="H520" s="17">
        <v>1.92</v>
      </c>
      <c r="I520" s="18">
        <v>3.84</v>
      </c>
      <c r="J520" s="18">
        <v>1.92</v>
      </c>
      <c r="K520" s="37" t="str">
        <f t="shared" si="10"/>
        <v>Inexpensive</v>
      </c>
      <c r="L520" s="37"/>
      <c r="N520" s="37"/>
      <c r="O520" s="37"/>
      <c r="P520" s="37"/>
      <c r="Q520" s="37"/>
      <c r="R520" s="37"/>
      <c r="S520" s="37"/>
      <c r="T520" s="37"/>
      <c r="V520"/>
      <c r="X520"/>
    </row>
    <row r="521" spans="1:24" ht="15" customHeight="1" thickBot="1" x14ac:dyDescent="0.35">
      <c r="A521" s="38">
        <v>43484.788888888892</v>
      </c>
      <c r="B521" s="39">
        <v>141741</v>
      </c>
      <c r="C521" s="36" t="s">
        <v>117</v>
      </c>
      <c r="D521" s="17">
        <v>7360000000000</v>
      </c>
      <c r="E521" s="16" t="s">
        <v>130</v>
      </c>
      <c r="F521" s="17">
        <v>1</v>
      </c>
      <c r="G521" s="18">
        <v>99.99</v>
      </c>
      <c r="H521" s="17">
        <v>49.994999999999997</v>
      </c>
      <c r="I521" s="18">
        <v>99.99</v>
      </c>
      <c r="J521" s="18">
        <v>49.994999999999997</v>
      </c>
      <c r="K521" s="37" t="str">
        <f t="shared" si="10"/>
        <v>Inexpensive</v>
      </c>
      <c r="L521" s="37"/>
      <c r="N521" s="37"/>
      <c r="O521" s="37"/>
      <c r="P521" s="37"/>
      <c r="Q521" s="37"/>
      <c r="R521" s="37"/>
      <c r="S521" s="37"/>
      <c r="T521" s="37"/>
      <c r="V521"/>
      <c r="X521"/>
    </row>
    <row r="522" spans="1:24" ht="15" customHeight="1" thickBot="1" x14ac:dyDescent="0.35">
      <c r="A522" s="38">
        <v>43485.436805555553</v>
      </c>
      <c r="B522" s="39">
        <v>141742</v>
      </c>
      <c r="C522" s="36" t="s">
        <v>116</v>
      </c>
      <c r="D522" s="17">
        <v>5630000000000</v>
      </c>
      <c r="E522" s="16" t="s">
        <v>130</v>
      </c>
      <c r="F522" s="17">
        <v>1</v>
      </c>
      <c r="G522" s="18">
        <v>11.95</v>
      </c>
      <c r="H522" s="17">
        <v>5.9749999999999996</v>
      </c>
      <c r="I522" s="18">
        <v>11.95</v>
      </c>
      <c r="J522" s="18">
        <v>5.9749999999999996</v>
      </c>
      <c r="K522" s="37" t="str">
        <f t="shared" si="10"/>
        <v>Inexpensive</v>
      </c>
      <c r="L522" s="37"/>
      <c r="N522" s="37"/>
      <c r="O522" s="37"/>
      <c r="P522" s="37"/>
      <c r="Q522" s="37"/>
      <c r="R522" s="37"/>
      <c r="S522" s="37"/>
      <c r="T522" s="37"/>
      <c r="V522"/>
      <c r="X522"/>
    </row>
    <row r="523" spans="1:24" ht="15" customHeight="1" thickBot="1" x14ac:dyDescent="0.35">
      <c r="A523" s="38">
        <v>43483.447222222225</v>
      </c>
      <c r="B523" s="39">
        <v>141743</v>
      </c>
      <c r="C523" s="36" t="s">
        <v>116</v>
      </c>
      <c r="D523" s="17">
        <v>3370000000000</v>
      </c>
      <c r="E523" s="16" t="s">
        <v>132</v>
      </c>
      <c r="F523" s="17">
        <v>1</v>
      </c>
      <c r="G523" s="18">
        <v>11.95</v>
      </c>
      <c r="H523" s="17">
        <v>5.9749999999999996</v>
      </c>
      <c r="I523" s="18">
        <v>11.95</v>
      </c>
      <c r="J523" s="18">
        <v>5.9749999999999996</v>
      </c>
      <c r="K523" s="37" t="str">
        <f t="shared" si="10"/>
        <v>Inexpensive</v>
      </c>
      <c r="L523" s="37"/>
      <c r="N523" s="37"/>
      <c r="O523" s="37"/>
      <c r="P523" s="37"/>
      <c r="Q523" s="37"/>
      <c r="R523" s="37"/>
      <c r="S523" s="37"/>
      <c r="T523" s="37"/>
      <c r="V523"/>
      <c r="X523"/>
    </row>
    <row r="524" spans="1:24" ht="15" customHeight="1" thickBot="1" x14ac:dyDescent="0.35">
      <c r="A524" s="38">
        <v>43475.663194444445</v>
      </c>
      <c r="B524" s="39">
        <v>141744</v>
      </c>
      <c r="C524" s="36" t="s">
        <v>118</v>
      </c>
      <c r="D524" s="17">
        <v>4450000000000</v>
      </c>
      <c r="E524" s="16" t="s">
        <v>130</v>
      </c>
      <c r="F524" s="17">
        <v>1</v>
      </c>
      <c r="G524" s="18">
        <v>150</v>
      </c>
      <c r="H524" s="17">
        <v>97.5</v>
      </c>
      <c r="I524" s="18">
        <v>150</v>
      </c>
      <c r="J524" s="18">
        <v>52.5</v>
      </c>
      <c r="K524" s="37" t="str">
        <f t="shared" si="10"/>
        <v>Inexpensive</v>
      </c>
      <c r="L524" s="37"/>
      <c r="N524" s="37"/>
      <c r="O524" s="37"/>
      <c r="P524" s="37"/>
      <c r="Q524" s="37"/>
      <c r="R524" s="37"/>
      <c r="S524" s="37"/>
      <c r="T524" s="37"/>
      <c r="V524"/>
      <c r="X524"/>
    </row>
    <row r="525" spans="1:24" ht="15" customHeight="1" thickBot="1" x14ac:dyDescent="0.35">
      <c r="A525" s="38">
        <v>43484.01666666667</v>
      </c>
      <c r="B525" s="39">
        <v>141745</v>
      </c>
      <c r="C525" s="36" t="s">
        <v>114</v>
      </c>
      <c r="D525" s="17">
        <v>8580000000000</v>
      </c>
      <c r="E525" s="16" t="s">
        <v>130</v>
      </c>
      <c r="F525" s="17">
        <v>2</v>
      </c>
      <c r="G525" s="18">
        <v>2.99</v>
      </c>
      <c r="H525" s="17">
        <v>1.4950000000000001</v>
      </c>
      <c r="I525" s="18">
        <v>5.98</v>
      </c>
      <c r="J525" s="18">
        <v>2.99</v>
      </c>
      <c r="K525" s="37" t="str">
        <f t="shared" si="10"/>
        <v>Inexpensive</v>
      </c>
      <c r="L525" s="37"/>
      <c r="N525" s="37"/>
      <c r="O525" s="37"/>
      <c r="P525" s="37"/>
      <c r="Q525" s="37"/>
      <c r="R525" s="37"/>
      <c r="S525" s="37"/>
      <c r="T525" s="37"/>
      <c r="V525"/>
      <c r="X525"/>
    </row>
    <row r="526" spans="1:24" ht="15" customHeight="1" thickBot="1" x14ac:dyDescent="0.35">
      <c r="A526" s="38">
        <v>43479.902083333334</v>
      </c>
      <c r="B526" s="39">
        <v>141746</v>
      </c>
      <c r="C526" s="36" t="s">
        <v>111</v>
      </c>
      <c r="D526" s="17">
        <v>1590000000000</v>
      </c>
      <c r="E526" s="16" t="s">
        <v>131</v>
      </c>
      <c r="F526" s="17">
        <v>2</v>
      </c>
      <c r="G526" s="18">
        <v>14.95</v>
      </c>
      <c r="H526" s="17">
        <v>7.4749999999999996</v>
      </c>
      <c r="I526" s="18">
        <v>29.9</v>
      </c>
      <c r="J526" s="18">
        <v>14.95</v>
      </c>
      <c r="K526" s="37" t="str">
        <f t="shared" si="10"/>
        <v>Inexpensive</v>
      </c>
      <c r="L526" s="37"/>
      <c r="N526" s="37"/>
      <c r="O526" s="37"/>
      <c r="P526" s="37"/>
      <c r="Q526" s="37"/>
      <c r="R526" s="37"/>
      <c r="S526" s="37"/>
      <c r="T526" s="37"/>
      <c r="V526"/>
      <c r="X526"/>
    </row>
    <row r="527" spans="1:24" ht="15" customHeight="1" thickBot="1" x14ac:dyDescent="0.35">
      <c r="A527" s="38">
        <v>43477.216666666667</v>
      </c>
      <c r="B527" s="39">
        <v>141747</v>
      </c>
      <c r="C527" s="36" t="s">
        <v>113</v>
      </c>
      <c r="D527" s="17">
        <v>9120000000000</v>
      </c>
      <c r="E527" s="16" t="s">
        <v>131</v>
      </c>
      <c r="F527" s="17">
        <v>1</v>
      </c>
      <c r="G527" s="18">
        <v>149.99</v>
      </c>
      <c r="H527" s="17">
        <v>97.493499999999997</v>
      </c>
      <c r="I527" s="18">
        <v>149.99</v>
      </c>
      <c r="J527" s="18">
        <v>52.496499999999997</v>
      </c>
      <c r="K527" s="37" t="str">
        <f t="shared" si="10"/>
        <v>Inexpensive</v>
      </c>
      <c r="L527" s="37"/>
      <c r="N527" s="37"/>
      <c r="O527" s="37"/>
      <c r="P527" s="37"/>
      <c r="Q527" s="37"/>
      <c r="R527" s="37"/>
      <c r="S527" s="37"/>
      <c r="T527" s="37"/>
      <c r="V527"/>
      <c r="X527"/>
    </row>
    <row r="528" spans="1:24" ht="15" customHeight="1" thickBot="1" x14ac:dyDescent="0.35">
      <c r="A528" s="38">
        <v>43474.406944444447</v>
      </c>
      <c r="B528" s="39">
        <v>141748</v>
      </c>
      <c r="C528" s="36" t="s">
        <v>118</v>
      </c>
      <c r="D528" s="17">
        <v>5650000000000</v>
      </c>
      <c r="E528" s="16" t="s">
        <v>132</v>
      </c>
      <c r="F528" s="17">
        <v>1</v>
      </c>
      <c r="G528" s="18">
        <v>150</v>
      </c>
      <c r="H528" s="17">
        <v>97.5</v>
      </c>
      <c r="I528" s="18">
        <v>150</v>
      </c>
      <c r="J528" s="18">
        <v>52.5</v>
      </c>
      <c r="K528" s="37" t="str">
        <f t="shared" si="10"/>
        <v>Inexpensive</v>
      </c>
      <c r="L528" s="37"/>
      <c r="N528" s="37"/>
      <c r="O528" s="37"/>
      <c r="P528" s="37"/>
      <c r="Q528" s="37"/>
      <c r="R528" s="37"/>
      <c r="S528" s="37"/>
      <c r="T528" s="37"/>
      <c r="V528"/>
      <c r="X528"/>
    </row>
    <row r="529" spans="1:24" ht="15" customHeight="1" thickBot="1" x14ac:dyDescent="0.35">
      <c r="A529" s="38">
        <v>43489.636111111111</v>
      </c>
      <c r="B529" s="39">
        <v>141749</v>
      </c>
      <c r="C529" s="36" t="s">
        <v>120</v>
      </c>
      <c r="D529" s="17">
        <v>6200000000000</v>
      </c>
      <c r="E529" s="16" t="s">
        <v>130</v>
      </c>
      <c r="F529" s="17">
        <v>1</v>
      </c>
      <c r="G529" s="18">
        <v>300</v>
      </c>
      <c r="H529" s="17">
        <v>99</v>
      </c>
      <c r="I529" s="18">
        <v>300</v>
      </c>
      <c r="J529" s="18">
        <v>201</v>
      </c>
      <c r="K529" s="37" t="str">
        <f t="shared" si="10"/>
        <v>Inexpensive</v>
      </c>
      <c r="L529" s="37"/>
      <c r="N529" s="37"/>
      <c r="O529" s="37"/>
      <c r="P529" s="37"/>
      <c r="Q529" s="37"/>
      <c r="R529" s="37"/>
      <c r="S529" s="37"/>
      <c r="T529" s="37"/>
      <c r="V529"/>
      <c r="X529"/>
    </row>
    <row r="530" spans="1:24" ht="15" customHeight="1" thickBot="1" x14ac:dyDescent="0.35">
      <c r="A530" s="38">
        <v>43488.698611111111</v>
      </c>
      <c r="B530" s="39">
        <v>141750</v>
      </c>
      <c r="C530" s="36" t="s">
        <v>113</v>
      </c>
      <c r="D530" s="17">
        <v>3970000000000</v>
      </c>
      <c r="E530" s="16" t="s">
        <v>130</v>
      </c>
      <c r="F530" s="17">
        <v>1</v>
      </c>
      <c r="G530" s="18">
        <v>149.99</v>
      </c>
      <c r="H530" s="17">
        <v>97.493499999999997</v>
      </c>
      <c r="I530" s="18">
        <v>149.99</v>
      </c>
      <c r="J530" s="18">
        <v>52.496499999999997</v>
      </c>
      <c r="K530" s="37" t="str">
        <f t="shared" si="10"/>
        <v>Inexpensive</v>
      </c>
      <c r="L530" s="37"/>
      <c r="N530" s="37"/>
      <c r="O530" s="37"/>
      <c r="P530" s="37"/>
      <c r="Q530" s="37"/>
      <c r="R530" s="37"/>
      <c r="S530" s="37"/>
      <c r="T530" s="37"/>
      <c r="V530"/>
      <c r="X530"/>
    </row>
    <row r="531" spans="1:24" ht="15" customHeight="1" thickBot="1" x14ac:dyDescent="0.35">
      <c r="A531" s="38">
        <v>43473.560416666667</v>
      </c>
      <c r="B531" s="39">
        <v>141751</v>
      </c>
      <c r="C531" s="36" t="s">
        <v>115</v>
      </c>
      <c r="D531" s="17">
        <v>7820000000000</v>
      </c>
      <c r="E531" s="16" t="s">
        <v>132</v>
      </c>
      <c r="F531" s="17">
        <v>1</v>
      </c>
      <c r="G531" s="18">
        <v>389.99</v>
      </c>
      <c r="H531" s="17">
        <v>128.69669999999999</v>
      </c>
      <c r="I531" s="18">
        <v>389.99</v>
      </c>
      <c r="J531" s="18">
        <v>261.29329999999999</v>
      </c>
      <c r="K531" s="37" t="str">
        <f t="shared" si="10"/>
        <v>Inexpensive</v>
      </c>
      <c r="L531" s="37"/>
      <c r="N531" s="37"/>
      <c r="O531" s="37"/>
      <c r="P531" s="37"/>
      <c r="Q531" s="37"/>
      <c r="R531" s="37"/>
      <c r="S531" s="37"/>
      <c r="T531" s="37"/>
      <c r="V531"/>
      <c r="X531"/>
    </row>
    <row r="532" spans="1:24" ht="15" customHeight="1" thickBot="1" x14ac:dyDescent="0.35">
      <c r="A532" s="38">
        <v>43483.967361111114</v>
      </c>
      <c r="B532" s="39">
        <v>141752</v>
      </c>
      <c r="C532" s="36" t="s">
        <v>111</v>
      </c>
      <c r="D532" s="17">
        <v>7160000000000</v>
      </c>
      <c r="E532" s="16" t="s">
        <v>130</v>
      </c>
      <c r="F532" s="17">
        <v>1</v>
      </c>
      <c r="G532" s="18">
        <v>14.95</v>
      </c>
      <c r="H532" s="17">
        <v>7.4749999999999996</v>
      </c>
      <c r="I532" s="18">
        <v>14.95</v>
      </c>
      <c r="J532" s="18">
        <v>7.4749999999999996</v>
      </c>
      <c r="K532" s="37" t="str">
        <f t="shared" si="10"/>
        <v>Inexpensive</v>
      </c>
      <c r="L532" s="37"/>
      <c r="N532" s="37"/>
      <c r="O532" s="37"/>
      <c r="P532" s="37"/>
      <c r="Q532" s="37"/>
      <c r="R532" s="37"/>
      <c r="S532" s="37"/>
      <c r="T532" s="37"/>
      <c r="V532"/>
      <c r="X532"/>
    </row>
    <row r="533" spans="1:24" ht="15" customHeight="1" thickBot="1" x14ac:dyDescent="0.35">
      <c r="A533" s="38">
        <v>43480.8125</v>
      </c>
      <c r="B533" s="39">
        <v>141753</v>
      </c>
      <c r="C533" s="36" t="s">
        <v>116</v>
      </c>
      <c r="D533" s="17">
        <v>2260000000000</v>
      </c>
      <c r="E533" s="16" t="s">
        <v>131</v>
      </c>
      <c r="F533" s="17">
        <v>2</v>
      </c>
      <c r="G533" s="18">
        <v>11.95</v>
      </c>
      <c r="H533" s="17">
        <v>5.9749999999999996</v>
      </c>
      <c r="I533" s="18">
        <v>23.9</v>
      </c>
      <c r="J533" s="18">
        <v>11.95</v>
      </c>
      <c r="K533" s="37" t="str">
        <f t="shared" si="10"/>
        <v>Inexpensive</v>
      </c>
      <c r="L533" s="37"/>
      <c r="N533" s="37"/>
      <c r="O533" s="37"/>
      <c r="P533" s="37"/>
      <c r="Q533" s="37"/>
      <c r="R533" s="37"/>
      <c r="S533" s="37"/>
      <c r="T533" s="37"/>
      <c r="V533"/>
      <c r="X533"/>
    </row>
    <row r="534" spans="1:24" ht="15" customHeight="1" thickBot="1" x14ac:dyDescent="0.35">
      <c r="A534" s="38">
        <v>43467.964583333334</v>
      </c>
      <c r="B534" s="39">
        <v>141754</v>
      </c>
      <c r="C534" s="36" t="s">
        <v>118</v>
      </c>
      <c r="D534" s="17">
        <v>6470000000000</v>
      </c>
      <c r="E534" s="16" t="s">
        <v>131</v>
      </c>
      <c r="F534" s="17">
        <v>2</v>
      </c>
      <c r="G534" s="18">
        <v>150</v>
      </c>
      <c r="H534" s="17">
        <v>97.5</v>
      </c>
      <c r="I534" s="18">
        <v>300</v>
      </c>
      <c r="J534" s="18">
        <v>105</v>
      </c>
      <c r="K534" s="37" t="str">
        <f t="shared" si="10"/>
        <v>Inexpensive</v>
      </c>
      <c r="L534" s="37"/>
      <c r="N534" s="37"/>
      <c r="O534" s="37"/>
      <c r="P534" s="37"/>
      <c r="Q534" s="37"/>
      <c r="R534" s="37"/>
      <c r="S534" s="37"/>
      <c r="T534" s="37"/>
      <c r="V534"/>
      <c r="X534"/>
    </row>
    <row r="535" spans="1:24" ht="15" customHeight="1" thickBot="1" x14ac:dyDescent="0.35">
      <c r="A535" s="38">
        <v>43467.841666666667</v>
      </c>
      <c r="B535" s="39">
        <v>141755</v>
      </c>
      <c r="C535" s="36" t="s">
        <v>122</v>
      </c>
      <c r="D535" s="17">
        <v>8760000000000</v>
      </c>
      <c r="E535" s="16" t="s">
        <v>130</v>
      </c>
      <c r="F535" s="17">
        <v>3</v>
      </c>
      <c r="G535" s="18">
        <v>3.84</v>
      </c>
      <c r="H535" s="17">
        <v>1.92</v>
      </c>
      <c r="I535" s="18">
        <v>11.52</v>
      </c>
      <c r="J535" s="18">
        <v>5.76</v>
      </c>
      <c r="K535" s="37" t="str">
        <f t="shared" si="10"/>
        <v>Inexpensive</v>
      </c>
      <c r="L535" s="37"/>
      <c r="N535" s="37"/>
      <c r="O535" s="37"/>
      <c r="P535" s="37"/>
      <c r="Q535" s="37"/>
      <c r="R535" s="37"/>
      <c r="S535" s="37"/>
      <c r="T535" s="37"/>
      <c r="V535"/>
      <c r="X535"/>
    </row>
    <row r="536" spans="1:24" ht="15" customHeight="1" thickBot="1" x14ac:dyDescent="0.35">
      <c r="A536" s="38">
        <v>43484.911805555559</v>
      </c>
      <c r="B536" s="39">
        <v>141756</v>
      </c>
      <c r="C536" s="36" t="s">
        <v>117</v>
      </c>
      <c r="D536" s="17">
        <v>3140000000000</v>
      </c>
      <c r="E536" s="16" t="s">
        <v>132</v>
      </c>
      <c r="F536" s="17">
        <v>1</v>
      </c>
      <c r="G536" s="18">
        <v>99.99</v>
      </c>
      <c r="H536" s="17">
        <v>49.994999999999997</v>
      </c>
      <c r="I536" s="18">
        <v>99.99</v>
      </c>
      <c r="J536" s="18">
        <v>49.994999999999997</v>
      </c>
      <c r="K536" s="37" t="str">
        <f t="shared" si="10"/>
        <v>Inexpensive</v>
      </c>
      <c r="L536" s="37"/>
      <c r="N536" s="37"/>
      <c r="O536" s="37"/>
      <c r="P536" s="37"/>
      <c r="Q536" s="37"/>
      <c r="R536" s="37"/>
      <c r="S536" s="37"/>
      <c r="T536" s="37"/>
      <c r="V536"/>
      <c r="X536"/>
    </row>
    <row r="537" spans="1:24" ht="15" customHeight="1" thickBot="1" x14ac:dyDescent="0.35">
      <c r="A537" s="38">
        <v>43478.615972222222</v>
      </c>
      <c r="B537" s="39">
        <v>141757</v>
      </c>
      <c r="C537" s="36" t="s">
        <v>113</v>
      </c>
      <c r="D537" s="17">
        <v>9120000000000</v>
      </c>
      <c r="E537" s="16" t="s">
        <v>132</v>
      </c>
      <c r="F537" s="17">
        <v>1</v>
      </c>
      <c r="G537" s="18">
        <v>149.99</v>
      </c>
      <c r="H537" s="17">
        <v>97.493499999999997</v>
      </c>
      <c r="I537" s="18">
        <v>149.99</v>
      </c>
      <c r="J537" s="18">
        <v>52.496499999999997</v>
      </c>
      <c r="K537" s="37" t="str">
        <f t="shared" si="10"/>
        <v>Inexpensive</v>
      </c>
      <c r="L537" s="37"/>
      <c r="N537" s="37"/>
      <c r="O537" s="37"/>
      <c r="P537" s="37"/>
      <c r="Q537" s="37"/>
      <c r="R537" s="37"/>
      <c r="S537" s="37"/>
      <c r="T537" s="37"/>
      <c r="V537"/>
      <c r="X537"/>
    </row>
    <row r="538" spans="1:24" ht="15" customHeight="1" thickBot="1" x14ac:dyDescent="0.35">
      <c r="A538" s="38">
        <v>43486.63958333333</v>
      </c>
      <c r="B538" s="39">
        <v>141758</v>
      </c>
      <c r="C538" s="36" t="s">
        <v>112</v>
      </c>
      <c r="D538" s="17">
        <v>3770000000000</v>
      </c>
      <c r="E538" s="16" t="s">
        <v>131</v>
      </c>
      <c r="F538" s="17">
        <v>1</v>
      </c>
      <c r="G538" s="18">
        <v>11.99</v>
      </c>
      <c r="H538" s="17">
        <v>5.9950000000000001</v>
      </c>
      <c r="I538" s="18">
        <v>11.99</v>
      </c>
      <c r="J538" s="18">
        <v>5.9950000000000001</v>
      </c>
      <c r="K538" s="37" t="str">
        <f t="shared" si="10"/>
        <v>Inexpensive</v>
      </c>
      <c r="L538" s="37"/>
      <c r="N538" s="37"/>
      <c r="O538" s="37"/>
      <c r="P538" s="37"/>
      <c r="Q538" s="37"/>
      <c r="R538" s="37"/>
      <c r="S538" s="37"/>
      <c r="T538" s="37"/>
      <c r="V538"/>
      <c r="X538"/>
    </row>
    <row r="539" spans="1:24" ht="15" customHeight="1" thickBot="1" x14ac:dyDescent="0.35">
      <c r="A539" s="38">
        <v>43467.804166666669</v>
      </c>
      <c r="B539" s="39">
        <v>141759</v>
      </c>
      <c r="C539" s="36" t="s">
        <v>114</v>
      </c>
      <c r="D539" s="17">
        <v>3070000000000</v>
      </c>
      <c r="E539" s="16" t="s">
        <v>132</v>
      </c>
      <c r="F539" s="17">
        <v>1</v>
      </c>
      <c r="G539" s="18">
        <v>2.99</v>
      </c>
      <c r="H539" s="17">
        <v>1.4950000000000001</v>
      </c>
      <c r="I539" s="18">
        <v>2.99</v>
      </c>
      <c r="J539" s="18">
        <v>1.4950000000000001</v>
      </c>
      <c r="K539" s="37" t="str">
        <f t="shared" si="10"/>
        <v>Inexpensive</v>
      </c>
      <c r="L539" s="37"/>
      <c r="N539" s="37"/>
      <c r="O539" s="37"/>
      <c r="P539" s="37"/>
      <c r="Q539" s="37"/>
      <c r="R539" s="37"/>
      <c r="S539" s="37"/>
      <c r="T539" s="37"/>
      <c r="V539"/>
      <c r="X539"/>
    </row>
    <row r="540" spans="1:24" ht="15" customHeight="1" thickBot="1" x14ac:dyDescent="0.35">
      <c r="A540" s="38">
        <v>43486.464583333334</v>
      </c>
      <c r="B540" s="39">
        <v>141760</v>
      </c>
      <c r="C540" s="36" t="s">
        <v>121</v>
      </c>
      <c r="D540" s="17">
        <v>9650000000000</v>
      </c>
      <c r="E540" s="16" t="s">
        <v>132</v>
      </c>
      <c r="F540" s="17">
        <v>1</v>
      </c>
      <c r="G540" s="18">
        <v>400</v>
      </c>
      <c r="H540" s="17">
        <v>132</v>
      </c>
      <c r="I540" s="18">
        <v>400</v>
      </c>
      <c r="J540" s="18">
        <v>268</v>
      </c>
      <c r="K540" s="37" t="str">
        <f t="shared" si="10"/>
        <v>Inexpensive</v>
      </c>
      <c r="L540" s="37"/>
      <c r="N540" s="37"/>
      <c r="O540" s="37"/>
      <c r="P540" s="37"/>
      <c r="Q540" s="37"/>
      <c r="R540" s="37"/>
      <c r="S540" s="37"/>
      <c r="T540" s="37"/>
      <c r="V540"/>
      <c r="X540"/>
    </row>
    <row r="541" spans="1:24" ht="15" customHeight="1" thickBot="1" x14ac:dyDescent="0.35">
      <c r="A541" s="38">
        <v>43476.793055555558</v>
      </c>
      <c r="B541" s="39">
        <v>141761</v>
      </c>
      <c r="C541" s="36" t="s">
        <v>111</v>
      </c>
      <c r="D541" s="17">
        <v>4540000000000</v>
      </c>
      <c r="E541" s="16" t="s">
        <v>132</v>
      </c>
      <c r="F541" s="17">
        <v>1</v>
      </c>
      <c r="G541" s="18">
        <v>14.95</v>
      </c>
      <c r="H541" s="17">
        <v>7.4749999999999996</v>
      </c>
      <c r="I541" s="18">
        <v>14.95</v>
      </c>
      <c r="J541" s="18">
        <v>7.4749999999999996</v>
      </c>
      <c r="K541" s="37" t="str">
        <f t="shared" si="10"/>
        <v>Inexpensive</v>
      </c>
      <c r="L541" s="37"/>
      <c r="N541" s="37"/>
      <c r="O541" s="37"/>
      <c r="P541" s="37"/>
      <c r="Q541" s="37"/>
      <c r="R541" s="37"/>
      <c r="S541" s="37"/>
      <c r="T541" s="37"/>
      <c r="V541"/>
      <c r="X541"/>
    </row>
    <row r="542" spans="1:24" ht="15" customHeight="1" thickBot="1" x14ac:dyDescent="0.35">
      <c r="A542" s="38">
        <v>43493.744444444441</v>
      </c>
      <c r="B542" s="39">
        <v>141762</v>
      </c>
      <c r="C542" s="36" t="s">
        <v>117</v>
      </c>
      <c r="D542" s="17">
        <v>9630000000000</v>
      </c>
      <c r="E542" s="16" t="s">
        <v>131</v>
      </c>
      <c r="F542" s="17">
        <v>1</v>
      </c>
      <c r="G542" s="18">
        <v>99.99</v>
      </c>
      <c r="H542" s="17">
        <v>49.994999999999997</v>
      </c>
      <c r="I542" s="18">
        <v>99.99</v>
      </c>
      <c r="J542" s="18">
        <v>49.994999999999997</v>
      </c>
      <c r="K542" s="37" t="str">
        <f t="shared" si="10"/>
        <v>Inexpensive</v>
      </c>
      <c r="L542" s="37"/>
      <c r="N542" s="37"/>
      <c r="O542" s="37"/>
      <c r="P542" s="37"/>
      <c r="Q542" s="37"/>
      <c r="R542" s="37"/>
      <c r="S542" s="37"/>
      <c r="T542" s="37"/>
      <c r="V542"/>
      <c r="X542"/>
    </row>
    <row r="543" spans="1:24" ht="15" customHeight="1" thickBot="1" x14ac:dyDescent="0.35">
      <c r="A543" s="38">
        <v>43470.118750000001</v>
      </c>
      <c r="B543" s="39">
        <v>141763</v>
      </c>
      <c r="C543" s="36" t="s">
        <v>113</v>
      </c>
      <c r="D543" s="17">
        <v>1580000000000</v>
      </c>
      <c r="E543" s="16" t="s">
        <v>131</v>
      </c>
      <c r="F543" s="17">
        <v>2</v>
      </c>
      <c r="G543" s="18">
        <v>149.99</v>
      </c>
      <c r="H543" s="17">
        <v>97.493499999999997</v>
      </c>
      <c r="I543" s="18">
        <v>299.98</v>
      </c>
      <c r="J543" s="18">
        <v>104.99299999999999</v>
      </c>
      <c r="K543" s="37" t="str">
        <f t="shared" si="10"/>
        <v>Inexpensive</v>
      </c>
      <c r="L543" s="37"/>
      <c r="N543" s="37"/>
      <c r="O543" s="37"/>
      <c r="P543" s="37"/>
      <c r="Q543" s="37"/>
      <c r="R543" s="37"/>
      <c r="S543" s="37"/>
      <c r="T543" s="37"/>
      <c r="V543"/>
      <c r="X543"/>
    </row>
    <row r="544" spans="1:24" ht="15" customHeight="1" thickBot="1" x14ac:dyDescent="0.35">
      <c r="A544" s="38">
        <v>43469.738194444442</v>
      </c>
      <c r="B544" s="39">
        <v>141764</v>
      </c>
      <c r="C544" s="36" t="s">
        <v>116</v>
      </c>
      <c r="D544" s="17">
        <v>2000000000000</v>
      </c>
      <c r="E544" s="16" t="s">
        <v>130</v>
      </c>
      <c r="F544" s="17">
        <v>1</v>
      </c>
      <c r="G544" s="18">
        <v>11.95</v>
      </c>
      <c r="H544" s="17">
        <v>5.9749999999999996</v>
      </c>
      <c r="I544" s="18">
        <v>11.95</v>
      </c>
      <c r="J544" s="18">
        <v>5.9749999999999996</v>
      </c>
      <c r="K544" s="37" t="str">
        <f t="shared" si="10"/>
        <v>Inexpensive</v>
      </c>
      <c r="L544" s="37"/>
      <c r="N544" s="37"/>
      <c r="O544" s="37"/>
      <c r="P544" s="37"/>
      <c r="Q544" s="37"/>
      <c r="R544" s="37"/>
      <c r="S544" s="37"/>
      <c r="T544" s="37"/>
      <c r="V544"/>
      <c r="X544"/>
    </row>
    <row r="545" spans="1:24" ht="15" customHeight="1" thickBot="1" x14ac:dyDescent="0.35">
      <c r="A545" s="38">
        <v>43489.515972222223</v>
      </c>
      <c r="B545" s="39">
        <v>141765</v>
      </c>
      <c r="C545" s="36" t="s">
        <v>111</v>
      </c>
      <c r="D545" s="17">
        <v>7080000000000</v>
      </c>
      <c r="E545" s="16" t="s">
        <v>131</v>
      </c>
      <c r="F545" s="17">
        <v>1</v>
      </c>
      <c r="G545" s="18">
        <v>14.95</v>
      </c>
      <c r="H545" s="17">
        <v>7.4749999999999996</v>
      </c>
      <c r="I545" s="18">
        <v>14.95</v>
      </c>
      <c r="J545" s="18">
        <v>7.4749999999999996</v>
      </c>
      <c r="K545" s="37" t="str">
        <f t="shared" si="10"/>
        <v>Inexpensive</v>
      </c>
      <c r="L545" s="37"/>
      <c r="N545" s="37"/>
      <c r="O545" s="37"/>
      <c r="P545" s="37"/>
      <c r="Q545" s="37"/>
      <c r="R545" s="37"/>
      <c r="S545" s="37"/>
      <c r="T545" s="37"/>
      <c r="V545"/>
      <c r="X545"/>
    </row>
    <row r="546" spans="1:24" ht="15" customHeight="1" thickBot="1" x14ac:dyDescent="0.35">
      <c r="A546" s="38">
        <v>43481.880555555559</v>
      </c>
      <c r="B546" s="39">
        <v>141766</v>
      </c>
      <c r="C546" s="36" t="s">
        <v>128</v>
      </c>
      <c r="D546" s="17">
        <v>9370000000000</v>
      </c>
      <c r="E546" s="16" t="s">
        <v>130</v>
      </c>
      <c r="F546" s="17">
        <v>1</v>
      </c>
      <c r="G546" s="18">
        <v>600</v>
      </c>
      <c r="H546" s="17">
        <v>198</v>
      </c>
      <c r="I546" s="18">
        <v>600</v>
      </c>
      <c r="J546" s="18">
        <v>402</v>
      </c>
      <c r="K546" s="37" t="str">
        <f t="shared" si="10"/>
        <v>Inexpensive</v>
      </c>
      <c r="L546" s="37"/>
      <c r="N546" s="37"/>
      <c r="O546" s="37"/>
      <c r="P546" s="37"/>
      <c r="Q546" s="37"/>
      <c r="R546" s="37"/>
      <c r="S546" s="37"/>
      <c r="T546" s="37"/>
      <c r="V546"/>
      <c r="X546"/>
    </row>
    <row r="547" spans="1:24" ht="15" customHeight="1" thickBot="1" x14ac:dyDescent="0.35">
      <c r="A547" s="38">
        <v>43488.9375</v>
      </c>
      <c r="B547" s="39">
        <v>141767</v>
      </c>
      <c r="C547" s="36" t="s">
        <v>124</v>
      </c>
      <c r="D547" s="17">
        <v>5580000000000</v>
      </c>
      <c r="E547" s="16" t="s">
        <v>130</v>
      </c>
      <c r="F547" s="17">
        <v>1</v>
      </c>
      <c r="G547" s="18">
        <v>109.99</v>
      </c>
      <c r="H547" s="17">
        <v>71.493499999999997</v>
      </c>
      <c r="I547" s="18">
        <v>109.99</v>
      </c>
      <c r="J547" s="18">
        <v>38.496499999999997</v>
      </c>
      <c r="K547" s="37" t="str">
        <f t="shared" si="10"/>
        <v>Inexpensive</v>
      </c>
      <c r="L547" s="37"/>
      <c r="N547" s="37"/>
      <c r="O547" s="37"/>
      <c r="P547" s="37"/>
      <c r="Q547" s="37"/>
      <c r="R547" s="37"/>
      <c r="S547" s="37"/>
      <c r="T547" s="37"/>
      <c r="V547"/>
      <c r="X547"/>
    </row>
    <row r="548" spans="1:24" ht="15" customHeight="1" thickBot="1" x14ac:dyDescent="0.35">
      <c r="A548" s="38">
        <v>43479.493055555555</v>
      </c>
      <c r="B548" s="39">
        <v>141768</v>
      </c>
      <c r="C548" s="36" t="s">
        <v>116</v>
      </c>
      <c r="D548" s="17">
        <v>9100000000000</v>
      </c>
      <c r="E548" s="16" t="s">
        <v>132</v>
      </c>
      <c r="F548" s="17">
        <v>1</v>
      </c>
      <c r="G548" s="18">
        <v>11.95</v>
      </c>
      <c r="H548" s="17">
        <v>5.9749999999999996</v>
      </c>
      <c r="I548" s="18">
        <v>11.95</v>
      </c>
      <c r="J548" s="18">
        <v>5.9749999999999996</v>
      </c>
      <c r="K548" s="37" t="str">
        <f t="shared" si="10"/>
        <v>Inexpensive</v>
      </c>
      <c r="L548" s="37"/>
      <c r="N548" s="37"/>
      <c r="O548" s="37"/>
      <c r="P548" s="37"/>
      <c r="Q548" s="37"/>
      <c r="R548" s="37"/>
      <c r="S548" s="37"/>
      <c r="T548" s="37"/>
      <c r="V548"/>
      <c r="X548"/>
    </row>
    <row r="549" spans="1:24" ht="15" customHeight="1" thickBot="1" x14ac:dyDescent="0.35">
      <c r="A549" s="38">
        <v>43486.453472222223</v>
      </c>
      <c r="B549" s="39">
        <v>141769</v>
      </c>
      <c r="C549" s="36" t="s">
        <v>122</v>
      </c>
      <c r="D549" s="17">
        <v>9030000000000</v>
      </c>
      <c r="E549" s="16" t="s">
        <v>132</v>
      </c>
      <c r="F549" s="17">
        <v>2</v>
      </c>
      <c r="G549" s="18">
        <v>3.84</v>
      </c>
      <c r="H549" s="17">
        <v>1.92</v>
      </c>
      <c r="I549" s="18">
        <v>7.68</v>
      </c>
      <c r="J549" s="18">
        <v>3.84</v>
      </c>
      <c r="K549" s="37" t="str">
        <f t="shared" si="10"/>
        <v>Inexpensive</v>
      </c>
      <c r="L549" s="37"/>
      <c r="N549" s="37"/>
      <c r="O549" s="37"/>
      <c r="P549" s="37"/>
      <c r="Q549" s="37"/>
      <c r="R549" s="37"/>
      <c r="S549" s="37"/>
      <c r="T549" s="37"/>
      <c r="V549"/>
      <c r="X549"/>
    </row>
    <row r="550" spans="1:24" ht="15" customHeight="1" thickBot="1" x14ac:dyDescent="0.35">
      <c r="A550" s="38">
        <v>43469.826388888891</v>
      </c>
      <c r="B550" s="39">
        <v>141770</v>
      </c>
      <c r="C550" s="36" t="s">
        <v>112</v>
      </c>
      <c r="D550" s="17">
        <v>5950000000000</v>
      </c>
      <c r="E550" s="16" t="s">
        <v>130</v>
      </c>
      <c r="F550" s="17">
        <v>1</v>
      </c>
      <c r="G550" s="18">
        <v>11.99</v>
      </c>
      <c r="H550" s="17">
        <v>5.9950000000000001</v>
      </c>
      <c r="I550" s="18">
        <v>11.99</v>
      </c>
      <c r="J550" s="18">
        <v>5.9950000000000001</v>
      </c>
      <c r="K550" s="37" t="str">
        <f t="shared" si="10"/>
        <v>Inexpensive</v>
      </c>
      <c r="L550" s="37"/>
      <c r="N550" s="37"/>
      <c r="O550" s="37"/>
      <c r="P550" s="37"/>
      <c r="Q550" s="37"/>
      <c r="R550" s="37"/>
      <c r="S550" s="37"/>
      <c r="T550" s="37"/>
      <c r="V550"/>
      <c r="X550"/>
    </row>
    <row r="551" spans="1:24" ht="15" customHeight="1" thickBot="1" x14ac:dyDescent="0.35">
      <c r="A551" s="38">
        <v>43476.791666666664</v>
      </c>
      <c r="B551" s="39">
        <v>141771</v>
      </c>
      <c r="C551" s="36" t="s">
        <v>111</v>
      </c>
      <c r="D551" s="17">
        <v>9530000000000</v>
      </c>
      <c r="E551" s="16" t="s">
        <v>130</v>
      </c>
      <c r="F551" s="17">
        <v>1</v>
      </c>
      <c r="G551" s="18">
        <v>14.95</v>
      </c>
      <c r="H551" s="17">
        <v>7.4749999999999996</v>
      </c>
      <c r="I551" s="18">
        <v>14.95</v>
      </c>
      <c r="J551" s="18">
        <v>7.4749999999999996</v>
      </c>
      <c r="K551" s="37" t="str">
        <f t="shared" si="10"/>
        <v>Inexpensive</v>
      </c>
      <c r="L551" s="37"/>
      <c r="N551" s="37"/>
      <c r="O551" s="37"/>
      <c r="P551" s="37"/>
      <c r="Q551" s="37"/>
      <c r="R551" s="37"/>
      <c r="S551" s="37"/>
      <c r="T551" s="37"/>
      <c r="V551"/>
      <c r="X551"/>
    </row>
    <row r="552" spans="1:24" ht="15" customHeight="1" thickBot="1" x14ac:dyDescent="0.35">
      <c r="A552" s="38">
        <v>43495.344444444447</v>
      </c>
      <c r="B552" s="39">
        <v>141772</v>
      </c>
      <c r="C552" s="36" t="s">
        <v>118</v>
      </c>
      <c r="D552" s="17">
        <v>9480000000000</v>
      </c>
      <c r="E552" s="16" t="s">
        <v>130</v>
      </c>
      <c r="F552" s="17">
        <v>1</v>
      </c>
      <c r="G552" s="18">
        <v>150</v>
      </c>
      <c r="H552" s="17">
        <v>97.5</v>
      </c>
      <c r="I552" s="18">
        <v>150</v>
      </c>
      <c r="J552" s="18">
        <v>52.5</v>
      </c>
      <c r="K552" s="37" t="str">
        <f t="shared" si="10"/>
        <v>Inexpensive</v>
      </c>
      <c r="L552" s="37"/>
      <c r="N552" s="37"/>
      <c r="O552" s="37"/>
      <c r="P552" s="37"/>
      <c r="Q552" s="37"/>
      <c r="R552" s="37"/>
      <c r="S552" s="37"/>
      <c r="T552" s="37"/>
      <c r="V552"/>
      <c r="X552"/>
    </row>
    <row r="553" spans="1:24" ht="15" customHeight="1" thickBot="1" x14ac:dyDescent="0.35">
      <c r="A553" s="38">
        <v>43495.67291666667</v>
      </c>
      <c r="B553" s="39">
        <v>141773</v>
      </c>
      <c r="C553" s="36" t="s">
        <v>116</v>
      </c>
      <c r="D553" s="17">
        <v>1690000000000</v>
      </c>
      <c r="E553" s="16" t="s">
        <v>131</v>
      </c>
      <c r="F553" s="17">
        <v>1</v>
      </c>
      <c r="G553" s="18">
        <v>11.95</v>
      </c>
      <c r="H553" s="17">
        <v>5.9749999999999996</v>
      </c>
      <c r="I553" s="18">
        <v>11.95</v>
      </c>
      <c r="J553" s="18">
        <v>5.9749999999999996</v>
      </c>
      <c r="K553" s="37" t="str">
        <f t="shared" si="10"/>
        <v>Inexpensive</v>
      </c>
      <c r="L553" s="37"/>
      <c r="N553" s="37"/>
      <c r="O553" s="37"/>
      <c r="P553" s="37"/>
      <c r="Q553" s="37"/>
      <c r="R553" s="37"/>
      <c r="S553" s="37"/>
      <c r="T553" s="37"/>
      <c r="V553"/>
      <c r="X553"/>
    </row>
    <row r="554" spans="1:24" ht="15" customHeight="1" thickBot="1" x14ac:dyDescent="0.35">
      <c r="A554" s="38">
        <v>43467.924305555556</v>
      </c>
      <c r="B554" s="39">
        <v>141774</v>
      </c>
      <c r="C554" s="36" t="s">
        <v>117</v>
      </c>
      <c r="D554" s="17">
        <v>1270000000000</v>
      </c>
      <c r="E554" s="16" t="s">
        <v>130</v>
      </c>
      <c r="F554" s="17">
        <v>1</v>
      </c>
      <c r="G554" s="18">
        <v>99.99</v>
      </c>
      <c r="H554" s="17">
        <v>49.994999999999997</v>
      </c>
      <c r="I554" s="18">
        <v>99.99</v>
      </c>
      <c r="J554" s="18">
        <v>49.994999999999997</v>
      </c>
      <c r="K554" s="37" t="str">
        <f t="shared" si="10"/>
        <v>Inexpensive</v>
      </c>
      <c r="L554" s="37"/>
      <c r="N554" s="37"/>
      <c r="O554" s="37"/>
      <c r="P554" s="37"/>
      <c r="Q554" s="37"/>
      <c r="R554" s="37"/>
      <c r="S554" s="37"/>
      <c r="T554" s="37"/>
      <c r="V554"/>
      <c r="X554"/>
    </row>
    <row r="555" spans="1:24" ht="15" customHeight="1" thickBot="1" x14ac:dyDescent="0.35">
      <c r="A555" s="38">
        <v>43472.71875</v>
      </c>
      <c r="B555" s="39">
        <v>141775</v>
      </c>
      <c r="C555" s="36" t="s">
        <v>116</v>
      </c>
      <c r="D555" s="17">
        <v>4250000000000</v>
      </c>
      <c r="E555" s="16" t="s">
        <v>130</v>
      </c>
      <c r="F555" s="17">
        <v>1</v>
      </c>
      <c r="G555" s="18">
        <v>11.95</v>
      </c>
      <c r="H555" s="17">
        <v>5.9749999999999996</v>
      </c>
      <c r="I555" s="18">
        <v>11.95</v>
      </c>
      <c r="J555" s="18">
        <v>5.9749999999999996</v>
      </c>
      <c r="K555" s="37" t="str">
        <f t="shared" si="10"/>
        <v>Inexpensive</v>
      </c>
      <c r="L555" s="37"/>
      <c r="N555" s="37"/>
      <c r="O555" s="37"/>
      <c r="P555" s="37"/>
      <c r="Q555" s="37"/>
      <c r="R555" s="37"/>
      <c r="S555" s="37"/>
      <c r="T555" s="37"/>
      <c r="V555"/>
      <c r="X555"/>
    </row>
    <row r="556" spans="1:24" ht="15" customHeight="1" thickBot="1" x14ac:dyDescent="0.35">
      <c r="A556" s="38">
        <v>43486.805555555555</v>
      </c>
      <c r="B556" s="39">
        <v>141776</v>
      </c>
      <c r="C556" s="36" t="s">
        <v>111</v>
      </c>
      <c r="D556" s="17">
        <v>4840000000000</v>
      </c>
      <c r="E556" s="16" t="s">
        <v>132</v>
      </c>
      <c r="F556" s="17">
        <v>1</v>
      </c>
      <c r="G556" s="18">
        <v>14.95</v>
      </c>
      <c r="H556" s="17">
        <v>7.4749999999999996</v>
      </c>
      <c r="I556" s="18">
        <v>14.95</v>
      </c>
      <c r="J556" s="18">
        <v>7.4749999999999996</v>
      </c>
      <c r="K556" s="37" t="str">
        <f t="shared" si="10"/>
        <v>Inexpensive</v>
      </c>
      <c r="L556" s="37"/>
      <c r="N556" s="37"/>
      <c r="O556" s="37"/>
      <c r="P556" s="37"/>
      <c r="Q556" s="37"/>
      <c r="R556" s="37"/>
      <c r="S556" s="37"/>
      <c r="T556" s="37"/>
      <c r="V556"/>
      <c r="X556"/>
    </row>
    <row r="557" spans="1:24" ht="15" customHeight="1" thickBot="1" x14ac:dyDescent="0.35">
      <c r="A557" s="38">
        <v>43479.821527777778</v>
      </c>
      <c r="B557" s="39">
        <v>141777</v>
      </c>
      <c r="C557" s="36" t="s">
        <v>116</v>
      </c>
      <c r="D557" s="17">
        <v>8490000000000</v>
      </c>
      <c r="E557" s="16" t="s">
        <v>132</v>
      </c>
      <c r="F557" s="17">
        <v>1</v>
      </c>
      <c r="G557" s="18">
        <v>11.95</v>
      </c>
      <c r="H557" s="17">
        <v>5.9749999999999996</v>
      </c>
      <c r="I557" s="18">
        <v>11.95</v>
      </c>
      <c r="J557" s="18">
        <v>5.9749999999999996</v>
      </c>
      <c r="K557" s="37" t="str">
        <f t="shared" si="10"/>
        <v>Inexpensive</v>
      </c>
      <c r="L557" s="37"/>
      <c r="N557" s="37"/>
      <c r="O557" s="37"/>
      <c r="P557" s="37"/>
      <c r="Q557" s="37"/>
      <c r="R557" s="37"/>
      <c r="S557" s="37"/>
      <c r="T557" s="37"/>
      <c r="V557"/>
      <c r="X557"/>
    </row>
    <row r="558" spans="1:24" ht="15" customHeight="1" thickBot="1" x14ac:dyDescent="0.35">
      <c r="A558" s="38">
        <v>43492.225694444445</v>
      </c>
      <c r="B558" s="39">
        <v>141778</v>
      </c>
      <c r="C558" s="36" t="s">
        <v>111</v>
      </c>
      <c r="D558" s="17">
        <v>1720000000000</v>
      </c>
      <c r="E558" s="16" t="s">
        <v>131</v>
      </c>
      <c r="F558" s="17">
        <v>1</v>
      </c>
      <c r="G558" s="18">
        <v>14.95</v>
      </c>
      <c r="H558" s="17">
        <v>7.4749999999999996</v>
      </c>
      <c r="I558" s="18">
        <v>14.95</v>
      </c>
      <c r="J558" s="18">
        <v>7.4749999999999996</v>
      </c>
      <c r="K558" s="37" t="str">
        <f t="shared" si="10"/>
        <v>Inexpensive</v>
      </c>
      <c r="L558" s="37"/>
      <c r="N558" s="37"/>
      <c r="O558" s="37"/>
      <c r="P558" s="37"/>
      <c r="Q558" s="37"/>
      <c r="R558" s="37"/>
      <c r="S558" s="37"/>
      <c r="T558" s="37"/>
      <c r="V558"/>
      <c r="X558"/>
    </row>
    <row r="559" spans="1:24" ht="15" customHeight="1" thickBot="1" x14ac:dyDescent="0.35">
      <c r="A559" s="38">
        <v>43467.474305555559</v>
      </c>
      <c r="B559" s="39">
        <v>141779</v>
      </c>
      <c r="C559" s="36" t="s">
        <v>111</v>
      </c>
      <c r="D559" s="17">
        <v>1610000000000</v>
      </c>
      <c r="E559" s="16" t="s">
        <v>130</v>
      </c>
      <c r="F559" s="17">
        <v>1</v>
      </c>
      <c r="G559" s="18">
        <v>14.95</v>
      </c>
      <c r="H559" s="17">
        <v>7.4749999999999996</v>
      </c>
      <c r="I559" s="18">
        <v>14.95</v>
      </c>
      <c r="J559" s="18">
        <v>7.4749999999999996</v>
      </c>
      <c r="K559" s="37" t="str">
        <f t="shared" si="10"/>
        <v>Inexpensive</v>
      </c>
      <c r="L559" s="37"/>
      <c r="N559" s="37"/>
      <c r="O559" s="37"/>
      <c r="P559" s="37"/>
      <c r="Q559" s="37"/>
      <c r="R559" s="37"/>
      <c r="S559" s="37"/>
      <c r="T559" s="37"/>
      <c r="V559"/>
      <c r="X559"/>
    </row>
    <row r="560" spans="1:24" ht="15" customHeight="1" thickBot="1" x14ac:dyDescent="0.35">
      <c r="A560" s="38">
        <v>43485.84375</v>
      </c>
      <c r="B560" s="39">
        <v>141780</v>
      </c>
      <c r="C560" s="36" t="s">
        <v>112</v>
      </c>
      <c r="D560" s="17">
        <v>3520000000000</v>
      </c>
      <c r="E560" s="16" t="s">
        <v>132</v>
      </c>
      <c r="F560" s="17">
        <v>1</v>
      </c>
      <c r="G560" s="18">
        <v>11.99</v>
      </c>
      <c r="H560" s="17">
        <v>5.9950000000000001</v>
      </c>
      <c r="I560" s="18">
        <v>11.99</v>
      </c>
      <c r="J560" s="18">
        <v>5.9950000000000001</v>
      </c>
      <c r="K560" s="37" t="str">
        <f t="shared" si="10"/>
        <v>Inexpensive</v>
      </c>
      <c r="L560" s="37"/>
      <c r="N560" s="37"/>
      <c r="O560" s="37"/>
      <c r="P560" s="37"/>
      <c r="Q560" s="37"/>
      <c r="R560" s="37"/>
      <c r="S560" s="37"/>
      <c r="T560" s="37"/>
      <c r="V560"/>
      <c r="X560"/>
    </row>
    <row r="561" spans="1:24" ht="15" customHeight="1" thickBot="1" x14ac:dyDescent="0.35">
      <c r="A561" s="38">
        <v>43485.296527777777</v>
      </c>
      <c r="B561" s="39">
        <v>141781</v>
      </c>
      <c r="C561" s="36" t="s">
        <v>118</v>
      </c>
      <c r="D561" s="17">
        <v>7640000000000</v>
      </c>
      <c r="E561" s="16" t="s">
        <v>132</v>
      </c>
      <c r="F561" s="17">
        <v>1</v>
      </c>
      <c r="G561" s="18">
        <v>150</v>
      </c>
      <c r="H561" s="17">
        <v>97.5</v>
      </c>
      <c r="I561" s="18">
        <v>150</v>
      </c>
      <c r="J561" s="18">
        <v>52.5</v>
      </c>
      <c r="K561" s="37" t="str">
        <f t="shared" si="10"/>
        <v>Inexpensive</v>
      </c>
      <c r="L561" s="37"/>
      <c r="N561" s="37"/>
      <c r="O561" s="37"/>
      <c r="P561" s="37"/>
      <c r="Q561" s="37"/>
      <c r="R561" s="37"/>
      <c r="S561" s="37"/>
      <c r="T561" s="37"/>
      <c r="V561"/>
      <c r="X561"/>
    </row>
    <row r="562" spans="1:24" ht="15" customHeight="1" thickBot="1" x14ac:dyDescent="0.35">
      <c r="A562" s="38">
        <v>43476.884027777778</v>
      </c>
      <c r="B562" s="40">
        <v>141782</v>
      </c>
      <c r="C562" s="36" t="s">
        <v>113</v>
      </c>
      <c r="D562" s="17">
        <v>1050000000000</v>
      </c>
      <c r="E562" s="16" t="s">
        <v>130</v>
      </c>
      <c r="F562" s="17">
        <v>1</v>
      </c>
      <c r="G562" s="18">
        <v>149.99</v>
      </c>
      <c r="H562" s="17">
        <v>97.493499999999997</v>
      </c>
      <c r="I562" s="18">
        <v>149.99</v>
      </c>
      <c r="J562" s="18">
        <v>52.496499999999997</v>
      </c>
      <c r="K562" s="37" t="str">
        <f t="shared" si="10"/>
        <v>Inexpensive</v>
      </c>
      <c r="L562" s="37"/>
      <c r="N562" s="37"/>
      <c r="O562" s="37"/>
      <c r="P562" s="37"/>
      <c r="Q562" s="37"/>
      <c r="R562" s="37"/>
      <c r="S562" s="37"/>
      <c r="T562" s="37"/>
      <c r="V562"/>
      <c r="X562"/>
    </row>
    <row r="563" spans="1:24" ht="15" customHeight="1" thickBot="1" x14ac:dyDescent="0.35">
      <c r="A563" s="38">
        <v>43476.884027777778</v>
      </c>
      <c r="B563" s="40">
        <v>141782</v>
      </c>
      <c r="C563" s="36" t="s">
        <v>117</v>
      </c>
      <c r="D563" s="17">
        <v>4260000000000</v>
      </c>
      <c r="E563" s="16" t="s">
        <v>132</v>
      </c>
      <c r="F563" s="17">
        <v>1</v>
      </c>
      <c r="G563" s="18">
        <v>99.99</v>
      </c>
      <c r="H563" s="17">
        <v>49.994999999999997</v>
      </c>
      <c r="I563" s="18">
        <v>99.99</v>
      </c>
      <c r="J563" s="18">
        <v>49.994999999999997</v>
      </c>
      <c r="K563" s="37" t="str">
        <f t="shared" si="10"/>
        <v>Inexpensive</v>
      </c>
      <c r="L563" s="37"/>
      <c r="N563" s="37"/>
      <c r="O563" s="37"/>
      <c r="P563" s="37"/>
      <c r="Q563" s="37"/>
      <c r="R563" s="37"/>
      <c r="S563" s="37"/>
      <c r="T563" s="37"/>
      <c r="V563"/>
      <c r="X563"/>
    </row>
    <row r="564" spans="1:24" ht="15" customHeight="1" thickBot="1" x14ac:dyDescent="0.35">
      <c r="A564" s="38">
        <v>43492.741666666669</v>
      </c>
      <c r="B564" s="39">
        <v>141783</v>
      </c>
      <c r="C564" s="36" t="s">
        <v>117</v>
      </c>
      <c r="D564" s="17">
        <v>2840000000000</v>
      </c>
      <c r="E564" s="16" t="s">
        <v>131</v>
      </c>
      <c r="F564" s="17">
        <v>1</v>
      </c>
      <c r="G564" s="18">
        <v>99.99</v>
      </c>
      <c r="H564" s="17">
        <v>49.994999999999997</v>
      </c>
      <c r="I564" s="18">
        <v>99.99</v>
      </c>
      <c r="J564" s="18">
        <v>49.994999999999997</v>
      </c>
      <c r="K564" s="37" t="str">
        <f t="shared" si="10"/>
        <v>Inexpensive</v>
      </c>
      <c r="L564" s="37"/>
      <c r="N564" s="37"/>
      <c r="O564" s="37"/>
      <c r="P564" s="37"/>
      <c r="Q564" s="37"/>
      <c r="R564" s="37"/>
      <c r="S564" s="37"/>
      <c r="T564" s="37"/>
      <c r="V564"/>
      <c r="X564"/>
    </row>
    <row r="565" spans="1:24" ht="15" customHeight="1" thickBot="1" x14ac:dyDescent="0.35">
      <c r="A565" s="38">
        <v>43472.495833333334</v>
      </c>
      <c r="B565" s="39">
        <v>141784</v>
      </c>
      <c r="C565" s="36" t="s">
        <v>115</v>
      </c>
      <c r="D565" s="17">
        <v>3230000000000</v>
      </c>
      <c r="E565" s="16" t="s">
        <v>131</v>
      </c>
      <c r="F565" s="17">
        <v>1</v>
      </c>
      <c r="G565" s="18">
        <v>389.99</v>
      </c>
      <c r="H565" s="17">
        <v>128.69669999999999</v>
      </c>
      <c r="I565" s="18">
        <v>389.99</v>
      </c>
      <c r="J565" s="18">
        <v>261.29329999999999</v>
      </c>
      <c r="K565" s="37" t="str">
        <f t="shared" si="10"/>
        <v>Inexpensive</v>
      </c>
      <c r="L565" s="37"/>
      <c r="N565" s="37"/>
      <c r="O565" s="37"/>
      <c r="P565" s="37"/>
      <c r="Q565" s="37"/>
      <c r="R565" s="37"/>
      <c r="S565" s="37"/>
      <c r="T565" s="37"/>
      <c r="V565"/>
      <c r="X565"/>
    </row>
    <row r="566" spans="1:24" ht="15" customHeight="1" thickBot="1" x14ac:dyDescent="0.35">
      <c r="A566" s="38">
        <v>43485.768750000003</v>
      </c>
      <c r="B566" s="39">
        <v>141785</v>
      </c>
      <c r="C566" s="36" t="s">
        <v>118</v>
      </c>
      <c r="D566" s="17">
        <v>4690000000000</v>
      </c>
      <c r="E566" s="16" t="s">
        <v>131</v>
      </c>
      <c r="F566" s="17">
        <v>1</v>
      </c>
      <c r="G566" s="18">
        <v>150</v>
      </c>
      <c r="H566" s="17">
        <v>97.5</v>
      </c>
      <c r="I566" s="18">
        <v>150</v>
      </c>
      <c r="J566" s="18">
        <v>52.5</v>
      </c>
      <c r="K566" s="37" t="str">
        <f t="shared" si="10"/>
        <v>Inexpensive</v>
      </c>
      <c r="L566" s="37"/>
      <c r="N566" s="37"/>
      <c r="O566" s="37"/>
      <c r="P566" s="37"/>
      <c r="Q566" s="37"/>
      <c r="R566" s="37"/>
      <c r="S566" s="37"/>
      <c r="T566" s="37"/>
      <c r="V566"/>
      <c r="X566"/>
    </row>
    <row r="567" spans="1:24" ht="15" customHeight="1" thickBot="1" x14ac:dyDescent="0.35">
      <c r="A567" s="38">
        <v>43492.540277777778</v>
      </c>
      <c r="B567" s="39">
        <v>141786</v>
      </c>
      <c r="C567" s="36" t="s">
        <v>119</v>
      </c>
      <c r="D567" s="17">
        <v>1500000000000</v>
      </c>
      <c r="E567" s="16" t="s">
        <v>130</v>
      </c>
      <c r="F567" s="17">
        <v>1</v>
      </c>
      <c r="G567" s="18">
        <v>1700</v>
      </c>
      <c r="H567" s="17">
        <v>561</v>
      </c>
      <c r="I567" s="18">
        <v>1700</v>
      </c>
      <c r="J567" s="18">
        <v>1139</v>
      </c>
      <c r="K567" s="37" t="str">
        <f t="shared" si="10"/>
        <v>Expensive</v>
      </c>
      <c r="L567" s="37"/>
      <c r="N567" s="37"/>
      <c r="O567" s="37"/>
      <c r="P567" s="37"/>
      <c r="Q567" s="37"/>
      <c r="R567" s="37"/>
      <c r="S567" s="37"/>
      <c r="T567" s="37"/>
      <c r="V567"/>
      <c r="X567"/>
    </row>
    <row r="568" spans="1:24" ht="15" customHeight="1" thickBot="1" x14ac:dyDescent="0.35">
      <c r="A568" s="38">
        <v>43480.882638888892</v>
      </c>
      <c r="B568" s="39">
        <v>141787</v>
      </c>
      <c r="C568" s="36" t="s">
        <v>118</v>
      </c>
      <c r="D568" s="17">
        <v>3930000000000</v>
      </c>
      <c r="E568" s="16" t="s">
        <v>130</v>
      </c>
      <c r="F568" s="17">
        <v>1</v>
      </c>
      <c r="G568" s="18">
        <v>150</v>
      </c>
      <c r="H568" s="17">
        <v>97.5</v>
      </c>
      <c r="I568" s="18">
        <v>150</v>
      </c>
      <c r="J568" s="18">
        <v>52.5</v>
      </c>
      <c r="K568" s="37" t="str">
        <f t="shared" si="10"/>
        <v>Inexpensive</v>
      </c>
      <c r="L568" s="37"/>
      <c r="N568" s="37"/>
      <c r="O568" s="37"/>
      <c r="P568" s="37"/>
      <c r="Q568" s="37"/>
      <c r="R568" s="37"/>
      <c r="S568" s="37"/>
      <c r="T568" s="37"/>
      <c r="V568"/>
      <c r="X568"/>
    </row>
    <row r="569" spans="1:24" ht="15" customHeight="1" thickBot="1" x14ac:dyDescent="0.35">
      <c r="A569" s="38">
        <v>43488.61041666667</v>
      </c>
      <c r="B569" s="39">
        <v>141788</v>
      </c>
      <c r="C569" s="36" t="s">
        <v>122</v>
      </c>
      <c r="D569" s="17">
        <v>4640000000000</v>
      </c>
      <c r="E569" s="16" t="s">
        <v>131</v>
      </c>
      <c r="F569" s="17">
        <v>2</v>
      </c>
      <c r="G569" s="18">
        <v>3.84</v>
      </c>
      <c r="H569" s="17">
        <v>1.92</v>
      </c>
      <c r="I569" s="18">
        <v>7.68</v>
      </c>
      <c r="J569" s="18">
        <v>3.84</v>
      </c>
      <c r="K569" s="37" t="str">
        <f t="shared" si="10"/>
        <v>Inexpensive</v>
      </c>
      <c r="L569" s="37"/>
      <c r="N569" s="37"/>
      <c r="O569" s="37"/>
      <c r="P569" s="37"/>
      <c r="Q569" s="37"/>
      <c r="R569" s="37"/>
      <c r="S569" s="37"/>
      <c r="T569" s="37"/>
      <c r="V569"/>
      <c r="X569"/>
    </row>
    <row r="570" spans="1:24" ht="15" customHeight="1" thickBot="1" x14ac:dyDescent="0.35">
      <c r="A570" s="38">
        <v>43466.842361111114</v>
      </c>
      <c r="B570" s="40">
        <v>141789</v>
      </c>
      <c r="C570" s="36" t="s">
        <v>123</v>
      </c>
      <c r="D570" s="17">
        <v>1870000000000</v>
      </c>
      <c r="E570" s="16" t="s">
        <v>130</v>
      </c>
      <c r="F570" s="17">
        <v>1</v>
      </c>
      <c r="G570" s="18">
        <v>600</v>
      </c>
      <c r="H570" s="17">
        <v>198</v>
      </c>
      <c r="I570" s="18">
        <v>600</v>
      </c>
      <c r="J570" s="18">
        <v>402</v>
      </c>
      <c r="K570" s="37" t="str">
        <f t="shared" si="10"/>
        <v>Inexpensive</v>
      </c>
      <c r="L570" s="37"/>
      <c r="N570" s="37"/>
      <c r="O570" s="37"/>
      <c r="P570" s="37"/>
      <c r="Q570" s="37"/>
      <c r="R570" s="37"/>
      <c r="S570" s="37"/>
      <c r="T570" s="37"/>
      <c r="V570"/>
      <c r="X570"/>
    </row>
    <row r="571" spans="1:24" ht="15" customHeight="1" thickBot="1" x14ac:dyDescent="0.35">
      <c r="A571" s="38">
        <v>43466.842361111114</v>
      </c>
      <c r="B571" s="40">
        <v>141789</v>
      </c>
      <c r="C571" s="36" t="s">
        <v>116</v>
      </c>
      <c r="D571" s="17">
        <v>4010000000000</v>
      </c>
      <c r="E571" s="16" t="s">
        <v>131</v>
      </c>
      <c r="F571" s="17">
        <v>2</v>
      </c>
      <c r="G571" s="18">
        <v>11.95</v>
      </c>
      <c r="H571" s="17">
        <v>5.9749999999999996</v>
      </c>
      <c r="I571" s="18">
        <v>23.9</v>
      </c>
      <c r="J571" s="18">
        <v>11.95</v>
      </c>
      <c r="K571" s="37" t="str">
        <f t="shared" si="10"/>
        <v>Inexpensive</v>
      </c>
      <c r="L571" s="37"/>
      <c r="N571" s="37"/>
      <c r="O571" s="37"/>
      <c r="P571" s="37"/>
      <c r="Q571" s="37"/>
      <c r="R571" s="37"/>
      <c r="S571" s="37"/>
      <c r="T571" s="37"/>
      <c r="V571"/>
      <c r="X571"/>
    </row>
    <row r="572" spans="1:24" ht="15" customHeight="1" thickBot="1" x14ac:dyDescent="0.35">
      <c r="A572" s="38">
        <v>43474.643750000003</v>
      </c>
      <c r="B572" s="39">
        <v>141790</v>
      </c>
      <c r="C572" s="36" t="s">
        <v>114</v>
      </c>
      <c r="D572" s="17">
        <v>6000000000000</v>
      </c>
      <c r="E572" s="16" t="s">
        <v>131</v>
      </c>
      <c r="F572" s="17">
        <v>1</v>
      </c>
      <c r="G572" s="18">
        <v>2.99</v>
      </c>
      <c r="H572" s="17">
        <v>1.4950000000000001</v>
      </c>
      <c r="I572" s="18">
        <v>2.99</v>
      </c>
      <c r="J572" s="18">
        <v>1.4950000000000001</v>
      </c>
      <c r="K572" s="37" t="str">
        <f t="shared" si="10"/>
        <v>Inexpensive</v>
      </c>
      <c r="L572" s="37"/>
      <c r="N572" s="37"/>
      <c r="O572" s="37"/>
      <c r="P572" s="37"/>
      <c r="Q572" s="37"/>
      <c r="R572" s="37"/>
      <c r="S572" s="37"/>
      <c r="T572" s="37"/>
      <c r="V572"/>
      <c r="X572"/>
    </row>
    <row r="573" spans="1:24" ht="15" customHeight="1" thickBot="1" x14ac:dyDescent="0.35">
      <c r="A573" s="38">
        <v>43481.441666666666</v>
      </c>
      <c r="B573" s="39">
        <v>141791</v>
      </c>
      <c r="C573" s="36" t="s">
        <v>116</v>
      </c>
      <c r="D573" s="17">
        <v>6620000000000</v>
      </c>
      <c r="E573" s="16" t="s">
        <v>130</v>
      </c>
      <c r="F573" s="17">
        <v>1</v>
      </c>
      <c r="G573" s="18">
        <v>11.95</v>
      </c>
      <c r="H573" s="17">
        <v>5.9749999999999996</v>
      </c>
      <c r="I573" s="18">
        <v>11.95</v>
      </c>
      <c r="J573" s="18">
        <v>5.9749999999999996</v>
      </c>
      <c r="K573" s="37" t="str">
        <f t="shared" si="10"/>
        <v>Inexpensive</v>
      </c>
      <c r="L573" s="37"/>
      <c r="N573" s="37"/>
      <c r="O573" s="37"/>
      <c r="P573" s="37"/>
      <c r="Q573" s="37"/>
      <c r="R573" s="37"/>
      <c r="S573" s="37"/>
      <c r="T573" s="37"/>
      <c r="V573"/>
      <c r="X573"/>
    </row>
    <row r="574" spans="1:24" ht="15" customHeight="1" thickBot="1" x14ac:dyDescent="0.35">
      <c r="A574" s="38">
        <v>43473.925694444442</v>
      </c>
      <c r="B574" s="39">
        <v>141792</v>
      </c>
      <c r="C574" s="36" t="s">
        <v>116</v>
      </c>
      <c r="D574" s="17">
        <v>9200000000000</v>
      </c>
      <c r="E574" s="16" t="s">
        <v>132</v>
      </c>
      <c r="F574" s="17">
        <v>1</v>
      </c>
      <c r="G574" s="18">
        <v>11.95</v>
      </c>
      <c r="H574" s="17">
        <v>5.9749999999999996</v>
      </c>
      <c r="I574" s="18">
        <v>11.95</v>
      </c>
      <c r="J574" s="18">
        <v>5.9749999999999996</v>
      </c>
      <c r="K574" s="37" t="str">
        <f t="shared" si="10"/>
        <v>Inexpensive</v>
      </c>
      <c r="L574" s="37"/>
      <c r="N574" s="37"/>
      <c r="O574" s="37"/>
      <c r="P574" s="37"/>
      <c r="Q574" s="37"/>
      <c r="R574" s="37"/>
      <c r="S574" s="37"/>
      <c r="T574" s="37"/>
      <c r="V574"/>
      <c r="X574"/>
    </row>
    <row r="575" spans="1:24" ht="15" customHeight="1" thickBot="1" x14ac:dyDescent="0.35">
      <c r="A575" s="38">
        <v>43484.459027777775</v>
      </c>
      <c r="B575" s="39">
        <v>141793</v>
      </c>
      <c r="C575" s="36" t="s">
        <v>122</v>
      </c>
      <c r="D575" s="17">
        <v>5190000000000</v>
      </c>
      <c r="E575" s="16" t="s">
        <v>130</v>
      </c>
      <c r="F575" s="17">
        <v>1</v>
      </c>
      <c r="G575" s="18">
        <v>3.84</v>
      </c>
      <c r="H575" s="17">
        <v>1.92</v>
      </c>
      <c r="I575" s="18">
        <v>3.84</v>
      </c>
      <c r="J575" s="18">
        <v>1.92</v>
      </c>
      <c r="K575" s="37" t="str">
        <f t="shared" si="10"/>
        <v>Inexpensive</v>
      </c>
      <c r="L575" s="37"/>
      <c r="N575" s="37"/>
      <c r="O575" s="37"/>
      <c r="P575" s="37"/>
      <c r="Q575" s="37"/>
      <c r="R575" s="37"/>
      <c r="S575" s="37"/>
      <c r="T575" s="37"/>
      <c r="V575"/>
      <c r="X575"/>
    </row>
    <row r="576" spans="1:24" ht="15" customHeight="1" thickBot="1" x14ac:dyDescent="0.35">
      <c r="A576" s="38">
        <v>43489.450694444444</v>
      </c>
      <c r="B576" s="39">
        <v>141794</v>
      </c>
      <c r="C576" s="36" t="s">
        <v>117</v>
      </c>
      <c r="D576" s="17">
        <v>3140000000000</v>
      </c>
      <c r="E576" s="16" t="s">
        <v>130</v>
      </c>
      <c r="F576" s="17">
        <v>1</v>
      </c>
      <c r="G576" s="18">
        <v>99.99</v>
      </c>
      <c r="H576" s="17">
        <v>49.994999999999997</v>
      </c>
      <c r="I576" s="18">
        <v>99.99</v>
      </c>
      <c r="J576" s="18">
        <v>49.994999999999997</v>
      </c>
      <c r="K576" s="37" t="str">
        <f t="shared" si="10"/>
        <v>Inexpensive</v>
      </c>
      <c r="L576" s="37"/>
      <c r="N576" s="37"/>
      <c r="O576" s="37"/>
      <c r="P576" s="37"/>
      <c r="Q576" s="37"/>
      <c r="R576" s="37"/>
      <c r="S576" s="37"/>
      <c r="T576" s="37"/>
      <c r="V576"/>
      <c r="X576"/>
    </row>
    <row r="577" spans="1:24" ht="15" customHeight="1" thickBot="1" x14ac:dyDescent="0.35">
      <c r="A577" s="38">
        <v>43484.854861111111</v>
      </c>
      <c r="B577" s="40">
        <v>141795</v>
      </c>
      <c r="C577" s="36" t="s">
        <v>110</v>
      </c>
      <c r="D577" s="17">
        <v>8810000000000</v>
      </c>
      <c r="E577" s="16" t="s">
        <v>130</v>
      </c>
      <c r="F577" s="17">
        <v>1</v>
      </c>
      <c r="G577" s="18">
        <v>700</v>
      </c>
      <c r="H577" s="17">
        <v>231</v>
      </c>
      <c r="I577" s="18">
        <v>700</v>
      </c>
      <c r="J577" s="18">
        <v>469</v>
      </c>
      <c r="K577" s="37" t="str">
        <f t="shared" si="10"/>
        <v>Expensive</v>
      </c>
      <c r="L577" s="37"/>
      <c r="N577" s="37"/>
      <c r="O577" s="37"/>
      <c r="P577" s="37"/>
      <c r="Q577" s="37"/>
      <c r="R577" s="37"/>
      <c r="S577" s="37"/>
      <c r="T577" s="37"/>
      <c r="V577"/>
      <c r="X577"/>
    </row>
    <row r="578" spans="1:24" ht="15" customHeight="1" thickBot="1" x14ac:dyDescent="0.35">
      <c r="A578" s="38">
        <v>43484.854861111111</v>
      </c>
      <c r="B578" s="40">
        <v>141795</v>
      </c>
      <c r="C578" s="36" t="s">
        <v>112</v>
      </c>
      <c r="D578" s="17">
        <v>2750000000000</v>
      </c>
      <c r="E578" s="16" t="s">
        <v>131</v>
      </c>
      <c r="F578" s="17">
        <v>1</v>
      </c>
      <c r="G578" s="18">
        <v>11.99</v>
      </c>
      <c r="H578" s="17">
        <v>5.9950000000000001</v>
      </c>
      <c r="I578" s="18">
        <v>11.99</v>
      </c>
      <c r="J578" s="18">
        <v>5.9950000000000001</v>
      </c>
      <c r="K578" s="37" t="str">
        <f t="shared" si="10"/>
        <v>Inexpensive</v>
      </c>
      <c r="L578" s="37"/>
      <c r="N578" s="37"/>
      <c r="O578" s="37"/>
      <c r="P578" s="37"/>
      <c r="Q578" s="37"/>
      <c r="R578" s="37"/>
      <c r="S578" s="37"/>
      <c r="T578" s="37"/>
      <c r="V578"/>
      <c r="X578"/>
    </row>
    <row r="579" spans="1:24" ht="15" customHeight="1" thickBot="1" x14ac:dyDescent="0.35">
      <c r="A579" s="38">
        <v>43488.852777777778</v>
      </c>
      <c r="B579" s="39">
        <v>141796</v>
      </c>
      <c r="C579" s="36" t="s">
        <v>114</v>
      </c>
      <c r="D579" s="17">
        <v>7790000000000</v>
      </c>
      <c r="E579" s="16" t="s">
        <v>130</v>
      </c>
      <c r="F579" s="17">
        <v>1</v>
      </c>
      <c r="G579" s="18">
        <v>2.99</v>
      </c>
      <c r="H579" s="17">
        <v>1.4950000000000001</v>
      </c>
      <c r="I579" s="18">
        <v>2.99</v>
      </c>
      <c r="J579" s="18">
        <v>1.4950000000000001</v>
      </c>
      <c r="K579" s="37" t="str">
        <f t="shared" ref="K579:K642" si="11">IF(G579&gt;=700,"Expensive","Inexpensive")</f>
        <v>Inexpensive</v>
      </c>
      <c r="L579" s="37"/>
      <c r="N579" s="37"/>
      <c r="O579" s="37"/>
      <c r="P579" s="37"/>
      <c r="Q579" s="37"/>
      <c r="R579" s="37"/>
      <c r="S579" s="37"/>
      <c r="T579" s="37"/>
      <c r="V579"/>
      <c r="X579"/>
    </row>
    <row r="580" spans="1:24" ht="15" customHeight="1" thickBot="1" x14ac:dyDescent="0.35">
      <c r="A580" s="38">
        <v>43467.436805555553</v>
      </c>
      <c r="B580" s="39">
        <v>141797</v>
      </c>
      <c r="C580" s="36" t="s">
        <v>113</v>
      </c>
      <c r="D580" s="17">
        <v>5770000000000</v>
      </c>
      <c r="E580" s="16" t="s">
        <v>132</v>
      </c>
      <c r="F580" s="17">
        <v>1</v>
      </c>
      <c r="G580" s="18">
        <v>149.99</v>
      </c>
      <c r="H580" s="17">
        <v>97.493499999999997</v>
      </c>
      <c r="I580" s="18">
        <v>149.99</v>
      </c>
      <c r="J580" s="18">
        <v>52.496499999999997</v>
      </c>
      <c r="K580" s="37" t="str">
        <f t="shared" si="11"/>
        <v>Inexpensive</v>
      </c>
      <c r="L580" s="37"/>
      <c r="N580" s="37"/>
      <c r="O580" s="37"/>
      <c r="P580" s="37"/>
      <c r="Q580" s="37"/>
      <c r="R580" s="37"/>
      <c r="S580" s="37"/>
      <c r="T580" s="37"/>
      <c r="V580"/>
      <c r="X580"/>
    </row>
    <row r="581" spans="1:24" ht="15" customHeight="1" thickBot="1" x14ac:dyDescent="0.35">
      <c r="A581" s="38">
        <v>43483.324999999997</v>
      </c>
      <c r="B581" s="39">
        <v>141798</v>
      </c>
      <c r="C581" s="36" t="s">
        <v>124</v>
      </c>
      <c r="D581" s="17">
        <v>4320000000000</v>
      </c>
      <c r="E581" s="16" t="s">
        <v>130</v>
      </c>
      <c r="F581" s="17">
        <v>1</v>
      </c>
      <c r="G581" s="18">
        <v>109.99</v>
      </c>
      <c r="H581" s="17">
        <v>71.493499999999997</v>
      </c>
      <c r="I581" s="18">
        <v>109.99</v>
      </c>
      <c r="J581" s="18">
        <v>38.496499999999997</v>
      </c>
      <c r="K581" s="37" t="str">
        <f t="shared" si="11"/>
        <v>Inexpensive</v>
      </c>
      <c r="L581" s="37"/>
      <c r="N581" s="37"/>
      <c r="O581" s="37"/>
      <c r="P581" s="37"/>
      <c r="Q581" s="37"/>
      <c r="R581" s="37"/>
      <c r="S581" s="37"/>
      <c r="T581" s="37"/>
      <c r="V581"/>
      <c r="X581"/>
    </row>
    <row r="582" spans="1:24" ht="15" customHeight="1" thickBot="1" x14ac:dyDescent="0.35">
      <c r="A582" s="38">
        <v>43467.840277777781</v>
      </c>
      <c r="B582" s="39">
        <v>141799</v>
      </c>
      <c r="C582" s="36" t="s">
        <v>122</v>
      </c>
      <c r="D582" s="17">
        <v>6940000000000</v>
      </c>
      <c r="E582" s="16" t="s">
        <v>132</v>
      </c>
      <c r="F582" s="17">
        <v>1</v>
      </c>
      <c r="G582" s="18">
        <v>3.84</v>
      </c>
      <c r="H582" s="17">
        <v>1.92</v>
      </c>
      <c r="I582" s="18">
        <v>3.84</v>
      </c>
      <c r="J582" s="18">
        <v>1.92</v>
      </c>
      <c r="K582" s="37" t="str">
        <f t="shared" si="11"/>
        <v>Inexpensive</v>
      </c>
      <c r="L582" s="37"/>
      <c r="N582" s="37"/>
      <c r="O582" s="37"/>
      <c r="P582" s="37"/>
      <c r="Q582" s="37"/>
      <c r="R582" s="37"/>
      <c r="S582" s="37"/>
      <c r="T582" s="37"/>
      <c r="V582"/>
      <c r="X582"/>
    </row>
    <row r="583" spans="1:24" ht="15" customHeight="1" thickBot="1" x14ac:dyDescent="0.35">
      <c r="A583" s="38">
        <v>43491.507638888892</v>
      </c>
      <c r="B583" s="39">
        <v>141800</v>
      </c>
      <c r="C583" s="36" t="s">
        <v>113</v>
      </c>
      <c r="D583" s="17">
        <v>5530000000000</v>
      </c>
      <c r="E583" s="16" t="s">
        <v>131</v>
      </c>
      <c r="F583" s="17">
        <v>1</v>
      </c>
      <c r="G583" s="18">
        <v>149.99</v>
      </c>
      <c r="H583" s="17">
        <v>97.493499999999997</v>
      </c>
      <c r="I583" s="18">
        <v>149.99</v>
      </c>
      <c r="J583" s="18">
        <v>52.496499999999997</v>
      </c>
      <c r="K583" s="37" t="str">
        <f t="shared" si="11"/>
        <v>Inexpensive</v>
      </c>
      <c r="L583" s="37"/>
      <c r="N583" s="37"/>
      <c r="O583" s="37"/>
      <c r="P583" s="37"/>
      <c r="Q583" s="37"/>
      <c r="R583" s="37"/>
      <c r="S583" s="37"/>
      <c r="T583" s="37"/>
      <c r="V583"/>
      <c r="X583"/>
    </row>
    <row r="584" spans="1:24" ht="15" customHeight="1" thickBot="1" x14ac:dyDescent="0.35">
      <c r="A584" s="38">
        <v>43486.724999999999</v>
      </c>
      <c r="B584" s="39">
        <v>141801</v>
      </c>
      <c r="C584" s="36" t="s">
        <v>116</v>
      </c>
      <c r="D584" s="17">
        <v>6610000000000</v>
      </c>
      <c r="E584" s="16" t="s">
        <v>131</v>
      </c>
      <c r="F584" s="17">
        <v>1</v>
      </c>
      <c r="G584" s="18">
        <v>11.95</v>
      </c>
      <c r="H584" s="17">
        <v>5.9749999999999996</v>
      </c>
      <c r="I584" s="18">
        <v>11.95</v>
      </c>
      <c r="J584" s="18">
        <v>5.9749999999999996</v>
      </c>
      <c r="K584" s="37" t="str">
        <f t="shared" si="11"/>
        <v>Inexpensive</v>
      </c>
      <c r="L584" s="37"/>
      <c r="N584" s="37"/>
      <c r="O584" s="37"/>
      <c r="P584" s="37"/>
      <c r="Q584" s="37"/>
      <c r="R584" s="37"/>
      <c r="S584" s="37"/>
      <c r="T584" s="37"/>
      <c r="V584"/>
      <c r="X584"/>
    </row>
    <row r="585" spans="1:24" ht="15" customHeight="1" thickBot="1" x14ac:dyDescent="0.35">
      <c r="A585" s="38">
        <v>43474.256249999999</v>
      </c>
      <c r="B585" s="39">
        <v>141802</v>
      </c>
      <c r="C585" s="36" t="s">
        <v>120</v>
      </c>
      <c r="D585" s="17">
        <v>2640000000000</v>
      </c>
      <c r="E585" s="16" t="s">
        <v>132</v>
      </c>
      <c r="F585" s="17">
        <v>1</v>
      </c>
      <c r="G585" s="18">
        <v>300</v>
      </c>
      <c r="H585" s="17">
        <v>99</v>
      </c>
      <c r="I585" s="18">
        <v>300</v>
      </c>
      <c r="J585" s="18">
        <v>201</v>
      </c>
      <c r="K585" s="37" t="str">
        <f t="shared" si="11"/>
        <v>Inexpensive</v>
      </c>
      <c r="L585" s="37"/>
      <c r="N585" s="37"/>
      <c r="O585" s="37"/>
      <c r="P585" s="37"/>
      <c r="Q585" s="37"/>
      <c r="R585" s="37"/>
      <c r="S585" s="37"/>
      <c r="T585" s="37"/>
      <c r="V585"/>
      <c r="X585"/>
    </row>
    <row r="586" spans="1:24" ht="15" customHeight="1" thickBot="1" x14ac:dyDescent="0.35">
      <c r="A586" s="38">
        <v>43467.411805555559</v>
      </c>
      <c r="B586" s="39">
        <v>141803</v>
      </c>
      <c r="C586" s="36" t="s">
        <v>115</v>
      </c>
      <c r="D586" s="17">
        <v>2140000000000</v>
      </c>
      <c r="E586" s="16" t="s">
        <v>130</v>
      </c>
      <c r="F586" s="17">
        <v>1</v>
      </c>
      <c r="G586" s="18">
        <v>389.99</v>
      </c>
      <c r="H586" s="17">
        <v>128.69669999999999</v>
      </c>
      <c r="I586" s="18">
        <v>389.99</v>
      </c>
      <c r="J586" s="18">
        <v>261.29329999999999</v>
      </c>
      <c r="K586" s="37" t="str">
        <f t="shared" si="11"/>
        <v>Inexpensive</v>
      </c>
      <c r="L586" s="37"/>
      <c r="N586" s="37"/>
      <c r="O586" s="37"/>
      <c r="P586" s="37"/>
      <c r="Q586" s="37"/>
      <c r="R586" s="37"/>
      <c r="S586" s="37"/>
      <c r="T586" s="37"/>
      <c r="V586"/>
      <c r="X586"/>
    </row>
    <row r="587" spans="1:24" ht="15" customHeight="1" thickBot="1" x14ac:dyDescent="0.35">
      <c r="A587" s="38">
        <v>43488.827777777777</v>
      </c>
      <c r="B587" s="39">
        <v>141804</v>
      </c>
      <c r="C587" s="36" t="s">
        <v>117</v>
      </c>
      <c r="D587" s="17">
        <v>5210000000000</v>
      </c>
      <c r="E587" s="16" t="s">
        <v>132</v>
      </c>
      <c r="F587" s="17">
        <v>1</v>
      </c>
      <c r="G587" s="18">
        <v>99.99</v>
      </c>
      <c r="H587" s="17">
        <v>49.994999999999997</v>
      </c>
      <c r="I587" s="18">
        <v>99.99</v>
      </c>
      <c r="J587" s="18">
        <v>49.994999999999997</v>
      </c>
      <c r="K587" s="37" t="str">
        <f t="shared" si="11"/>
        <v>Inexpensive</v>
      </c>
      <c r="L587" s="37"/>
      <c r="N587" s="37"/>
      <c r="O587" s="37"/>
      <c r="P587" s="37"/>
      <c r="Q587" s="37"/>
      <c r="R587" s="37"/>
      <c r="S587" s="37"/>
      <c r="T587" s="37"/>
      <c r="V587"/>
      <c r="X587"/>
    </row>
    <row r="588" spans="1:24" ht="15" customHeight="1" thickBot="1" x14ac:dyDescent="0.35">
      <c r="A588" s="38">
        <v>43483.35833333333</v>
      </c>
      <c r="B588" s="39">
        <v>141805</v>
      </c>
      <c r="C588" s="36" t="s">
        <v>117</v>
      </c>
      <c r="D588" s="17">
        <v>3320000000000</v>
      </c>
      <c r="E588" s="16" t="s">
        <v>131</v>
      </c>
      <c r="F588" s="17">
        <v>1</v>
      </c>
      <c r="G588" s="18">
        <v>99.99</v>
      </c>
      <c r="H588" s="17">
        <v>49.994999999999997</v>
      </c>
      <c r="I588" s="18">
        <v>99.99</v>
      </c>
      <c r="J588" s="18">
        <v>49.994999999999997</v>
      </c>
      <c r="K588" s="37" t="str">
        <f t="shared" si="11"/>
        <v>Inexpensive</v>
      </c>
      <c r="L588" s="37"/>
      <c r="N588" s="37"/>
      <c r="O588" s="37"/>
      <c r="P588" s="37"/>
      <c r="Q588" s="37"/>
      <c r="R588" s="37"/>
      <c r="S588" s="37"/>
      <c r="T588" s="37"/>
      <c r="V588"/>
      <c r="X588"/>
    </row>
    <row r="589" spans="1:24" ht="15" customHeight="1" thickBot="1" x14ac:dyDescent="0.35">
      <c r="A589" s="38">
        <v>43491.959722222222</v>
      </c>
      <c r="B589" s="39">
        <v>141806</v>
      </c>
      <c r="C589" s="36" t="s">
        <v>115</v>
      </c>
      <c r="D589" s="17">
        <v>5750000000000</v>
      </c>
      <c r="E589" s="16" t="s">
        <v>132</v>
      </c>
      <c r="F589" s="17">
        <v>1</v>
      </c>
      <c r="G589" s="18">
        <v>389.99</v>
      </c>
      <c r="H589" s="17">
        <v>128.69669999999999</v>
      </c>
      <c r="I589" s="18">
        <v>389.99</v>
      </c>
      <c r="J589" s="18">
        <v>261.29329999999999</v>
      </c>
      <c r="K589" s="37" t="str">
        <f t="shared" si="11"/>
        <v>Inexpensive</v>
      </c>
      <c r="L589" s="37"/>
      <c r="N589" s="37"/>
      <c r="O589" s="37"/>
      <c r="P589" s="37"/>
      <c r="Q589" s="37"/>
      <c r="R589" s="37"/>
      <c r="S589" s="37"/>
      <c r="T589" s="37"/>
      <c r="V589"/>
      <c r="X589"/>
    </row>
    <row r="590" spans="1:24" ht="15" customHeight="1" thickBot="1" x14ac:dyDescent="0.35">
      <c r="A590" s="38">
        <v>43476.849305555559</v>
      </c>
      <c r="B590" s="39">
        <v>141807</v>
      </c>
      <c r="C590" s="36" t="s">
        <v>121</v>
      </c>
      <c r="D590" s="17">
        <v>5860000000000</v>
      </c>
      <c r="E590" s="16" t="s">
        <v>131</v>
      </c>
      <c r="F590" s="17">
        <v>1</v>
      </c>
      <c r="G590" s="18">
        <v>400</v>
      </c>
      <c r="H590" s="17">
        <v>132</v>
      </c>
      <c r="I590" s="18">
        <v>400</v>
      </c>
      <c r="J590" s="18">
        <v>268</v>
      </c>
      <c r="K590" s="37" t="str">
        <f t="shared" si="11"/>
        <v>Inexpensive</v>
      </c>
      <c r="L590" s="37"/>
      <c r="N590" s="37"/>
      <c r="O590" s="37"/>
      <c r="P590" s="37"/>
      <c r="Q590" s="37"/>
      <c r="R590" s="37"/>
      <c r="S590" s="37"/>
      <c r="T590" s="37"/>
      <c r="V590"/>
      <c r="X590"/>
    </row>
    <row r="591" spans="1:24" ht="15" customHeight="1" thickBot="1" x14ac:dyDescent="0.35">
      <c r="A591" s="38">
        <v>43475.775000000001</v>
      </c>
      <c r="B591" s="39">
        <v>141808</v>
      </c>
      <c r="C591" s="36" t="s">
        <v>111</v>
      </c>
      <c r="D591" s="17">
        <v>3400000000000</v>
      </c>
      <c r="E591" s="16" t="s">
        <v>132</v>
      </c>
      <c r="F591" s="17">
        <v>1</v>
      </c>
      <c r="G591" s="18">
        <v>14.95</v>
      </c>
      <c r="H591" s="17">
        <v>7.4749999999999996</v>
      </c>
      <c r="I591" s="18">
        <v>14.95</v>
      </c>
      <c r="J591" s="18">
        <v>7.4749999999999996</v>
      </c>
      <c r="K591" s="37" t="str">
        <f t="shared" si="11"/>
        <v>Inexpensive</v>
      </c>
      <c r="L591" s="37"/>
      <c r="N591" s="37"/>
      <c r="O591" s="37"/>
      <c r="P591" s="37"/>
      <c r="Q591" s="37"/>
      <c r="R591" s="37"/>
      <c r="S591" s="37"/>
      <c r="T591" s="37"/>
      <c r="V591"/>
      <c r="X591"/>
    </row>
    <row r="592" spans="1:24" ht="15" customHeight="1" thickBot="1" x14ac:dyDescent="0.35">
      <c r="A592" s="38">
        <v>43473.651388888888</v>
      </c>
      <c r="B592" s="40">
        <v>141809</v>
      </c>
      <c r="C592" s="36" t="s">
        <v>123</v>
      </c>
      <c r="D592" s="17">
        <v>9840000000000</v>
      </c>
      <c r="E592" s="16" t="s">
        <v>132</v>
      </c>
      <c r="F592" s="17">
        <v>1</v>
      </c>
      <c r="G592" s="18">
        <v>600</v>
      </c>
      <c r="H592" s="17">
        <v>198</v>
      </c>
      <c r="I592" s="18">
        <v>600</v>
      </c>
      <c r="J592" s="18">
        <v>402</v>
      </c>
      <c r="K592" s="37" t="str">
        <f t="shared" si="11"/>
        <v>Inexpensive</v>
      </c>
      <c r="L592" s="37"/>
      <c r="N592" s="37"/>
      <c r="O592" s="37"/>
      <c r="P592" s="37"/>
      <c r="Q592" s="37"/>
      <c r="R592" s="37"/>
      <c r="S592" s="37"/>
      <c r="T592" s="37"/>
      <c r="V592"/>
      <c r="X592"/>
    </row>
    <row r="593" spans="1:24" ht="15" customHeight="1" thickBot="1" x14ac:dyDescent="0.35">
      <c r="A593" s="38">
        <v>43473.651388888888</v>
      </c>
      <c r="B593" s="40">
        <v>141809</v>
      </c>
      <c r="C593" s="36" t="s">
        <v>116</v>
      </c>
      <c r="D593" s="17">
        <v>2230000000000</v>
      </c>
      <c r="E593" s="16" t="s">
        <v>130</v>
      </c>
      <c r="F593" s="17">
        <v>1</v>
      </c>
      <c r="G593" s="18">
        <v>11.95</v>
      </c>
      <c r="H593" s="17">
        <v>5.9749999999999996</v>
      </c>
      <c r="I593" s="18">
        <v>11.95</v>
      </c>
      <c r="J593" s="18">
        <v>5.9749999999999996</v>
      </c>
      <c r="K593" s="37" t="str">
        <f t="shared" si="11"/>
        <v>Inexpensive</v>
      </c>
      <c r="L593" s="37"/>
      <c r="N593" s="37"/>
      <c r="O593" s="37"/>
      <c r="P593" s="37"/>
      <c r="Q593" s="37"/>
      <c r="R593" s="37"/>
      <c r="S593" s="37"/>
      <c r="T593" s="37"/>
      <c r="V593"/>
      <c r="X593"/>
    </row>
    <row r="594" spans="1:24" ht="15" customHeight="1" thickBot="1" x14ac:dyDescent="0.35">
      <c r="A594" s="38">
        <v>43481.515972222223</v>
      </c>
      <c r="B594" s="39">
        <v>141810</v>
      </c>
      <c r="C594" s="36" t="s">
        <v>111</v>
      </c>
      <c r="D594" s="17">
        <v>3790000000000</v>
      </c>
      <c r="E594" s="16" t="s">
        <v>131</v>
      </c>
      <c r="F594" s="17">
        <v>1</v>
      </c>
      <c r="G594" s="18">
        <v>14.95</v>
      </c>
      <c r="H594" s="17">
        <v>7.4749999999999996</v>
      </c>
      <c r="I594" s="18">
        <v>14.95</v>
      </c>
      <c r="J594" s="18">
        <v>7.4749999999999996</v>
      </c>
      <c r="K594" s="37" t="str">
        <f t="shared" si="11"/>
        <v>Inexpensive</v>
      </c>
      <c r="L594" s="37"/>
      <c r="N594" s="37"/>
      <c r="O594" s="37"/>
      <c r="P594" s="37"/>
      <c r="Q594" s="37"/>
      <c r="R594" s="37"/>
      <c r="S594" s="37"/>
      <c r="T594" s="37"/>
      <c r="V594"/>
      <c r="X594"/>
    </row>
    <row r="595" spans="1:24" ht="15" customHeight="1" thickBot="1" x14ac:dyDescent="0.35">
      <c r="A595" s="38">
        <v>43468.865972222222</v>
      </c>
      <c r="B595" s="39">
        <v>141811</v>
      </c>
      <c r="C595" s="36" t="s">
        <v>114</v>
      </c>
      <c r="D595" s="17">
        <v>6280000000000</v>
      </c>
      <c r="E595" s="16" t="s">
        <v>132</v>
      </c>
      <c r="F595" s="17">
        <v>1</v>
      </c>
      <c r="G595" s="18">
        <v>2.99</v>
      </c>
      <c r="H595" s="17">
        <v>1.4950000000000001</v>
      </c>
      <c r="I595" s="18">
        <v>2.99</v>
      </c>
      <c r="J595" s="18">
        <v>1.4950000000000001</v>
      </c>
      <c r="K595" s="37" t="str">
        <f t="shared" si="11"/>
        <v>Inexpensive</v>
      </c>
      <c r="L595" s="37"/>
      <c r="N595" s="37"/>
      <c r="O595" s="37"/>
      <c r="P595" s="37"/>
      <c r="Q595" s="37"/>
      <c r="R595" s="37"/>
      <c r="S595" s="37"/>
      <c r="T595" s="37"/>
      <c r="V595"/>
      <c r="X595"/>
    </row>
    <row r="596" spans="1:24" ht="15" customHeight="1" thickBot="1" x14ac:dyDescent="0.35">
      <c r="A596" s="38">
        <v>43484.918749999997</v>
      </c>
      <c r="B596" s="39">
        <v>141812</v>
      </c>
      <c r="C596" s="36" t="s">
        <v>122</v>
      </c>
      <c r="D596" s="17">
        <v>9630000000000</v>
      </c>
      <c r="E596" s="16" t="s">
        <v>131</v>
      </c>
      <c r="F596" s="17">
        <v>1</v>
      </c>
      <c r="G596" s="18">
        <v>3.84</v>
      </c>
      <c r="H596" s="17">
        <v>1.92</v>
      </c>
      <c r="I596" s="18">
        <v>3.84</v>
      </c>
      <c r="J596" s="18">
        <v>1.92</v>
      </c>
      <c r="K596" s="37" t="str">
        <f t="shared" si="11"/>
        <v>Inexpensive</v>
      </c>
      <c r="L596" s="37"/>
      <c r="N596" s="37"/>
      <c r="O596" s="37"/>
      <c r="P596" s="37"/>
      <c r="Q596" s="37"/>
      <c r="R596" s="37"/>
      <c r="S596" s="37"/>
      <c r="T596" s="37"/>
      <c r="V596"/>
      <c r="X596"/>
    </row>
    <row r="597" spans="1:24" ht="15" customHeight="1" thickBot="1" x14ac:dyDescent="0.35">
      <c r="A597" s="38">
        <v>43475.418749999997</v>
      </c>
      <c r="B597" s="39">
        <v>141813</v>
      </c>
      <c r="C597" s="36" t="s">
        <v>116</v>
      </c>
      <c r="D597" s="17">
        <v>2580000000000</v>
      </c>
      <c r="E597" s="16" t="s">
        <v>132</v>
      </c>
      <c r="F597" s="17">
        <v>1</v>
      </c>
      <c r="G597" s="18">
        <v>11.95</v>
      </c>
      <c r="H597" s="17">
        <v>5.9749999999999996</v>
      </c>
      <c r="I597" s="18">
        <v>11.95</v>
      </c>
      <c r="J597" s="18">
        <v>5.9749999999999996</v>
      </c>
      <c r="K597" s="37" t="str">
        <f t="shared" si="11"/>
        <v>Inexpensive</v>
      </c>
      <c r="L597" s="37"/>
      <c r="N597" s="37"/>
      <c r="O597" s="37"/>
      <c r="P597" s="37"/>
      <c r="Q597" s="37"/>
      <c r="R597" s="37"/>
      <c r="S597" s="37"/>
      <c r="T597" s="37"/>
      <c r="V597"/>
      <c r="X597"/>
    </row>
    <row r="598" spans="1:24" ht="15" customHeight="1" thickBot="1" x14ac:dyDescent="0.35">
      <c r="A598" s="38">
        <v>43473.647222222222</v>
      </c>
      <c r="B598" s="39">
        <v>141814</v>
      </c>
      <c r="C598" s="36" t="s">
        <v>124</v>
      </c>
      <c r="D598" s="17">
        <v>9210000000000</v>
      </c>
      <c r="E598" s="16" t="s">
        <v>132</v>
      </c>
      <c r="F598" s="17">
        <v>1</v>
      </c>
      <c r="G598" s="18">
        <v>109.99</v>
      </c>
      <c r="H598" s="17">
        <v>71.493499999999997</v>
      </c>
      <c r="I598" s="18">
        <v>109.99</v>
      </c>
      <c r="J598" s="18">
        <v>38.496499999999997</v>
      </c>
      <c r="K598" s="37" t="str">
        <f t="shared" si="11"/>
        <v>Inexpensive</v>
      </c>
      <c r="L598" s="37"/>
      <c r="N598" s="37"/>
      <c r="O598" s="37"/>
      <c r="P598" s="37"/>
      <c r="Q598" s="37"/>
      <c r="R598" s="37"/>
      <c r="S598" s="37"/>
      <c r="T598" s="37"/>
      <c r="V598"/>
      <c r="X598"/>
    </row>
    <row r="599" spans="1:24" ht="15" customHeight="1" thickBot="1" x14ac:dyDescent="0.35">
      <c r="A599" s="38">
        <v>43487.451388888891</v>
      </c>
      <c r="B599" s="39">
        <v>141815</v>
      </c>
      <c r="C599" s="36" t="s">
        <v>114</v>
      </c>
      <c r="D599" s="17">
        <v>9220000000000</v>
      </c>
      <c r="E599" s="16" t="s">
        <v>131</v>
      </c>
      <c r="F599" s="17">
        <v>2</v>
      </c>
      <c r="G599" s="18">
        <v>2.99</v>
      </c>
      <c r="H599" s="17">
        <v>1.4950000000000001</v>
      </c>
      <c r="I599" s="18">
        <v>5.98</v>
      </c>
      <c r="J599" s="18">
        <v>2.99</v>
      </c>
      <c r="K599" s="37" t="str">
        <f t="shared" si="11"/>
        <v>Inexpensive</v>
      </c>
      <c r="L599" s="37"/>
      <c r="N599" s="37"/>
      <c r="O599" s="37"/>
      <c r="P599" s="37"/>
      <c r="Q599" s="37"/>
      <c r="R599" s="37"/>
      <c r="S599" s="37"/>
      <c r="T599" s="37"/>
      <c r="V599"/>
      <c r="X599"/>
    </row>
    <row r="600" spans="1:24" ht="15" customHeight="1" thickBot="1" x14ac:dyDescent="0.35">
      <c r="A600" s="38">
        <v>43474.390277777777</v>
      </c>
      <c r="B600" s="39">
        <v>141816</v>
      </c>
      <c r="C600" s="36" t="s">
        <v>125</v>
      </c>
      <c r="D600" s="17">
        <v>2910000000000</v>
      </c>
      <c r="E600" s="16" t="s">
        <v>132</v>
      </c>
      <c r="F600" s="17">
        <v>1</v>
      </c>
      <c r="G600" s="18">
        <v>379.99</v>
      </c>
      <c r="H600" s="17">
        <v>125.3967</v>
      </c>
      <c r="I600" s="18">
        <v>379.99</v>
      </c>
      <c r="J600" s="18">
        <v>254.5933</v>
      </c>
      <c r="K600" s="37" t="str">
        <f t="shared" si="11"/>
        <v>Inexpensive</v>
      </c>
      <c r="L600" s="37"/>
      <c r="N600" s="37"/>
      <c r="O600" s="37"/>
      <c r="P600" s="37"/>
      <c r="Q600" s="37"/>
      <c r="R600" s="37"/>
      <c r="S600" s="37"/>
      <c r="T600" s="37"/>
      <c r="V600"/>
      <c r="X600"/>
    </row>
    <row r="601" spans="1:24" ht="15" customHeight="1" thickBot="1" x14ac:dyDescent="0.35">
      <c r="A601" s="38">
        <v>43469.377083333333</v>
      </c>
      <c r="B601" s="39">
        <v>141817</v>
      </c>
      <c r="C601" s="36" t="s">
        <v>127</v>
      </c>
      <c r="D601" s="17">
        <v>7600000000000</v>
      </c>
      <c r="E601" s="16" t="s">
        <v>131</v>
      </c>
      <c r="F601" s="17">
        <v>1</v>
      </c>
      <c r="G601" s="18">
        <v>600</v>
      </c>
      <c r="H601" s="17">
        <v>198</v>
      </c>
      <c r="I601" s="18">
        <v>600</v>
      </c>
      <c r="J601" s="18">
        <v>402</v>
      </c>
      <c r="K601" s="37" t="str">
        <f t="shared" si="11"/>
        <v>Inexpensive</v>
      </c>
      <c r="L601" s="37"/>
      <c r="N601" s="37"/>
      <c r="O601" s="37"/>
      <c r="P601" s="37"/>
      <c r="Q601" s="37"/>
      <c r="R601" s="37"/>
      <c r="S601" s="37"/>
      <c r="T601" s="37"/>
      <c r="V601"/>
      <c r="X601"/>
    </row>
    <row r="602" spans="1:24" ht="15" customHeight="1" thickBot="1" x14ac:dyDescent="0.35">
      <c r="A602" s="38">
        <v>43471.286805555559</v>
      </c>
      <c r="B602" s="39">
        <v>141818</v>
      </c>
      <c r="C602" s="36" t="s">
        <v>122</v>
      </c>
      <c r="D602" s="17">
        <v>1600000000000</v>
      </c>
      <c r="E602" s="16" t="s">
        <v>130</v>
      </c>
      <c r="F602" s="17">
        <v>1</v>
      </c>
      <c r="G602" s="18">
        <v>3.84</v>
      </c>
      <c r="H602" s="17">
        <v>1.92</v>
      </c>
      <c r="I602" s="18">
        <v>3.84</v>
      </c>
      <c r="J602" s="18">
        <v>1.92</v>
      </c>
      <c r="K602" s="37" t="str">
        <f t="shared" si="11"/>
        <v>Inexpensive</v>
      </c>
      <c r="L602" s="37"/>
      <c r="N602" s="37"/>
      <c r="O602" s="37"/>
      <c r="P602" s="37"/>
      <c r="Q602" s="37"/>
      <c r="R602" s="37"/>
      <c r="S602" s="37"/>
      <c r="T602" s="37"/>
      <c r="V602"/>
      <c r="X602"/>
    </row>
    <row r="603" spans="1:24" ht="15" customHeight="1" thickBot="1" x14ac:dyDescent="0.35">
      <c r="A603" s="38">
        <v>43491.92083333333</v>
      </c>
      <c r="B603" s="39">
        <v>141819</v>
      </c>
      <c r="C603" s="36" t="s">
        <v>114</v>
      </c>
      <c r="D603" s="17">
        <v>9830000000000</v>
      </c>
      <c r="E603" s="16" t="s">
        <v>130</v>
      </c>
      <c r="F603" s="17">
        <v>2</v>
      </c>
      <c r="G603" s="18">
        <v>2.99</v>
      </c>
      <c r="H603" s="17">
        <v>1.4950000000000001</v>
      </c>
      <c r="I603" s="18">
        <v>5.98</v>
      </c>
      <c r="J603" s="18">
        <v>2.99</v>
      </c>
      <c r="K603" s="37" t="str">
        <f t="shared" si="11"/>
        <v>Inexpensive</v>
      </c>
      <c r="L603" s="37"/>
      <c r="N603" s="37"/>
      <c r="O603" s="37"/>
      <c r="P603" s="37"/>
      <c r="Q603" s="37"/>
      <c r="R603" s="37"/>
      <c r="S603" s="37"/>
      <c r="T603" s="37"/>
      <c r="V603"/>
      <c r="X603"/>
    </row>
    <row r="604" spans="1:24" ht="15" customHeight="1" thickBot="1" x14ac:dyDescent="0.35">
      <c r="A604" s="38">
        <v>43486.745138888888</v>
      </c>
      <c r="B604" s="39">
        <v>141820</v>
      </c>
      <c r="C604" s="36" t="s">
        <v>111</v>
      </c>
      <c r="D604" s="17">
        <v>3280000000000</v>
      </c>
      <c r="E604" s="16" t="s">
        <v>130</v>
      </c>
      <c r="F604" s="17">
        <v>1</v>
      </c>
      <c r="G604" s="18">
        <v>14.95</v>
      </c>
      <c r="H604" s="17">
        <v>7.4749999999999996</v>
      </c>
      <c r="I604" s="18">
        <v>14.95</v>
      </c>
      <c r="J604" s="18">
        <v>7.4749999999999996</v>
      </c>
      <c r="K604" s="37" t="str">
        <f t="shared" si="11"/>
        <v>Inexpensive</v>
      </c>
      <c r="L604" s="37"/>
      <c r="N604" s="37"/>
      <c r="O604" s="37"/>
      <c r="P604" s="37"/>
      <c r="Q604" s="37"/>
      <c r="R604" s="37"/>
      <c r="S604" s="37"/>
      <c r="T604" s="37"/>
      <c r="V604"/>
      <c r="X604"/>
    </row>
    <row r="605" spans="1:24" ht="15" customHeight="1" thickBot="1" x14ac:dyDescent="0.35">
      <c r="A605" s="38">
        <v>43486.51666666667</v>
      </c>
      <c r="B605" s="39">
        <v>141821</v>
      </c>
      <c r="C605" s="36" t="s">
        <v>116</v>
      </c>
      <c r="D605" s="17">
        <v>6780000000000</v>
      </c>
      <c r="E605" s="16" t="s">
        <v>131</v>
      </c>
      <c r="F605" s="17">
        <v>1</v>
      </c>
      <c r="G605" s="18">
        <v>11.95</v>
      </c>
      <c r="H605" s="17">
        <v>5.9749999999999996</v>
      </c>
      <c r="I605" s="18">
        <v>11.95</v>
      </c>
      <c r="J605" s="18">
        <v>5.9749999999999996</v>
      </c>
      <c r="K605" s="37" t="str">
        <f t="shared" si="11"/>
        <v>Inexpensive</v>
      </c>
      <c r="L605" s="37"/>
      <c r="N605" s="37"/>
      <c r="O605" s="37"/>
      <c r="P605" s="37"/>
      <c r="Q605" s="37"/>
      <c r="R605" s="37"/>
      <c r="S605" s="37"/>
      <c r="T605" s="37"/>
      <c r="V605"/>
      <c r="X605"/>
    </row>
    <row r="606" spans="1:24" ht="15" customHeight="1" thickBot="1" x14ac:dyDescent="0.35">
      <c r="A606" s="38">
        <v>43474.786805555559</v>
      </c>
      <c r="B606" s="39">
        <v>141822</v>
      </c>
      <c r="C606" s="36" t="s">
        <v>111</v>
      </c>
      <c r="D606" s="17">
        <v>4440000000000</v>
      </c>
      <c r="E606" s="16" t="s">
        <v>132</v>
      </c>
      <c r="F606" s="17">
        <v>1</v>
      </c>
      <c r="G606" s="18">
        <v>14.95</v>
      </c>
      <c r="H606" s="17">
        <v>7.4749999999999996</v>
      </c>
      <c r="I606" s="18">
        <v>14.95</v>
      </c>
      <c r="J606" s="18">
        <v>7.4749999999999996</v>
      </c>
      <c r="K606" s="37" t="str">
        <f t="shared" si="11"/>
        <v>Inexpensive</v>
      </c>
      <c r="L606" s="37"/>
      <c r="N606" s="37"/>
      <c r="O606" s="37"/>
      <c r="P606" s="37"/>
      <c r="Q606" s="37"/>
      <c r="R606" s="37"/>
      <c r="S606" s="37"/>
      <c r="T606" s="37"/>
      <c r="V606"/>
      <c r="X606"/>
    </row>
    <row r="607" spans="1:24" ht="15" customHeight="1" thickBot="1" x14ac:dyDescent="0.35">
      <c r="A607" s="38">
        <v>43492.729166666664</v>
      </c>
      <c r="B607" s="39">
        <v>141823</v>
      </c>
      <c r="C607" s="36" t="s">
        <v>116</v>
      </c>
      <c r="D607" s="17">
        <v>9130000000000</v>
      </c>
      <c r="E607" s="16" t="s">
        <v>130</v>
      </c>
      <c r="F607" s="17">
        <v>1</v>
      </c>
      <c r="G607" s="18">
        <v>11.95</v>
      </c>
      <c r="H607" s="17">
        <v>5.9749999999999996</v>
      </c>
      <c r="I607" s="18">
        <v>11.95</v>
      </c>
      <c r="J607" s="18">
        <v>5.9749999999999996</v>
      </c>
      <c r="K607" s="37" t="str">
        <f t="shared" si="11"/>
        <v>Inexpensive</v>
      </c>
      <c r="L607" s="37"/>
      <c r="N607" s="37"/>
      <c r="O607" s="37"/>
      <c r="P607" s="37"/>
      <c r="Q607" s="37"/>
      <c r="R607" s="37"/>
      <c r="S607" s="37"/>
      <c r="T607" s="37"/>
      <c r="V607"/>
      <c r="X607"/>
    </row>
    <row r="608" spans="1:24" ht="15" customHeight="1" thickBot="1" x14ac:dyDescent="0.35">
      <c r="A608" s="38">
        <v>43479.523611111108</v>
      </c>
      <c r="B608" s="39">
        <v>141824</v>
      </c>
      <c r="C608" s="36" t="s">
        <v>112</v>
      </c>
      <c r="D608" s="17">
        <v>6890000000000</v>
      </c>
      <c r="E608" s="16" t="s">
        <v>130</v>
      </c>
      <c r="F608" s="17">
        <v>1</v>
      </c>
      <c r="G608" s="18">
        <v>11.99</v>
      </c>
      <c r="H608" s="17">
        <v>5.9950000000000001</v>
      </c>
      <c r="I608" s="18">
        <v>11.99</v>
      </c>
      <c r="J608" s="18">
        <v>5.9950000000000001</v>
      </c>
      <c r="K608" s="37" t="str">
        <f t="shared" si="11"/>
        <v>Inexpensive</v>
      </c>
      <c r="L608" s="37"/>
      <c r="N608" s="37"/>
      <c r="O608" s="37"/>
      <c r="P608" s="37"/>
      <c r="Q608" s="37"/>
      <c r="R608" s="37"/>
      <c r="S608" s="37"/>
      <c r="T608" s="37"/>
      <c r="V608"/>
      <c r="X608"/>
    </row>
    <row r="609" spans="1:24" ht="15" customHeight="1" thickBot="1" x14ac:dyDescent="0.35">
      <c r="A609" s="38">
        <v>43481.543055555558</v>
      </c>
      <c r="B609" s="39">
        <v>141825</v>
      </c>
      <c r="C609" s="36" t="s">
        <v>111</v>
      </c>
      <c r="D609" s="17">
        <v>6490000000000</v>
      </c>
      <c r="E609" s="16" t="s">
        <v>131</v>
      </c>
      <c r="F609" s="17">
        <v>1</v>
      </c>
      <c r="G609" s="18">
        <v>14.95</v>
      </c>
      <c r="H609" s="17">
        <v>7.4749999999999996</v>
      </c>
      <c r="I609" s="18">
        <v>14.95</v>
      </c>
      <c r="J609" s="18">
        <v>7.4749999999999996</v>
      </c>
      <c r="K609" s="37" t="str">
        <f t="shared" si="11"/>
        <v>Inexpensive</v>
      </c>
      <c r="L609" s="37"/>
      <c r="N609" s="37"/>
      <c r="O609" s="37"/>
      <c r="P609" s="37"/>
      <c r="Q609" s="37"/>
      <c r="R609" s="37"/>
      <c r="S609" s="37"/>
      <c r="T609" s="37"/>
      <c r="V609"/>
      <c r="X609"/>
    </row>
    <row r="610" spans="1:24" ht="15" customHeight="1" thickBot="1" x14ac:dyDescent="0.35">
      <c r="A610" s="38">
        <v>43490.898611111108</v>
      </c>
      <c r="B610" s="39">
        <v>141826</v>
      </c>
      <c r="C610" s="36" t="s">
        <v>111</v>
      </c>
      <c r="D610" s="17">
        <v>5650000000000</v>
      </c>
      <c r="E610" s="16" t="s">
        <v>130</v>
      </c>
      <c r="F610" s="17">
        <v>1</v>
      </c>
      <c r="G610" s="18">
        <v>14.95</v>
      </c>
      <c r="H610" s="17">
        <v>7.4749999999999996</v>
      </c>
      <c r="I610" s="18">
        <v>14.95</v>
      </c>
      <c r="J610" s="18">
        <v>7.4749999999999996</v>
      </c>
      <c r="K610" s="37" t="str">
        <f t="shared" si="11"/>
        <v>Inexpensive</v>
      </c>
      <c r="L610" s="37"/>
      <c r="N610" s="37"/>
      <c r="O610" s="37"/>
      <c r="P610" s="37"/>
      <c r="Q610" s="37"/>
      <c r="R610" s="37"/>
      <c r="S610" s="37"/>
      <c r="T610" s="37"/>
      <c r="V610"/>
      <c r="X610"/>
    </row>
    <row r="611" spans="1:24" ht="15" customHeight="1" thickBot="1" x14ac:dyDescent="0.35">
      <c r="A611" s="38">
        <v>43483.897916666669</v>
      </c>
      <c r="B611" s="39">
        <v>141827</v>
      </c>
      <c r="C611" s="36" t="s">
        <v>124</v>
      </c>
      <c r="D611" s="17">
        <v>1050000000000</v>
      </c>
      <c r="E611" s="16" t="s">
        <v>131</v>
      </c>
      <c r="F611" s="17">
        <v>1</v>
      </c>
      <c r="G611" s="18">
        <v>109.99</v>
      </c>
      <c r="H611" s="17">
        <v>71.493499999999997</v>
      </c>
      <c r="I611" s="18">
        <v>109.99</v>
      </c>
      <c r="J611" s="18">
        <v>38.496499999999997</v>
      </c>
      <c r="K611" s="37" t="str">
        <f t="shared" si="11"/>
        <v>Inexpensive</v>
      </c>
      <c r="L611" s="37"/>
      <c r="N611" s="37"/>
      <c r="O611" s="37"/>
      <c r="P611" s="37"/>
      <c r="Q611" s="37"/>
      <c r="R611" s="37"/>
      <c r="S611" s="37"/>
      <c r="T611" s="37"/>
      <c r="V611"/>
      <c r="X611"/>
    </row>
    <row r="612" spans="1:24" ht="15" customHeight="1" thickBot="1" x14ac:dyDescent="0.35">
      <c r="A612" s="38">
        <v>43478.461805555555</v>
      </c>
      <c r="B612" s="39">
        <v>141828</v>
      </c>
      <c r="C612" s="36" t="s">
        <v>122</v>
      </c>
      <c r="D612" s="17">
        <v>6590000000000</v>
      </c>
      <c r="E612" s="16" t="s">
        <v>132</v>
      </c>
      <c r="F612" s="17">
        <v>1</v>
      </c>
      <c r="G612" s="18">
        <v>3.84</v>
      </c>
      <c r="H612" s="17">
        <v>1.92</v>
      </c>
      <c r="I612" s="18">
        <v>3.84</v>
      </c>
      <c r="J612" s="18">
        <v>1.92</v>
      </c>
      <c r="K612" s="37" t="str">
        <f t="shared" si="11"/>
        <v>Inexpensive</v>
      </c>
      <c r="L612" s="37"/>
      <c r="N612" s="37"/>
      <c r="O612" s="37"/>
      <c r="P612" s="37"/>
      <c r="Q612" s="37"/>
      <c r="R612" s="37"/>
      <c r="S612" s="37"/>
      <c r="T612" s="37"/>
      <c r="V612"/>
      <c r="X612"/>
    </row>
    <row r="613" spans="1:24" ht="15" customHeight="1" thickBot="1" x14ac:dyDescent="0.35">
      <c r="A613" s="38">
        <v>43480.52847222222</v>
      </c>
      <c r="B613" s="39">
        <v>141829</v>
      </c>
      <c r="C613" s="36" t="s">
        <v>120</v>
      </c>
      <c r="D613" s="17">
        <v>1630000000000</v>
      </c>
      <c r="E613" s="16" t="s">
        <v>131</v>
      </c>
      <c r="F613" s="17">
        <v>1</v>
      </c>
      <c r="G613" s="18">
        <v>300</v>
      </c>
      <c r="H613" s="17">
        <v>99</v>
      </c>
      <c r="I613" s="18">
        <v>300</v>
      </c>
      <c r="J613" s="18">
        <v>201</v>
      </c>
      <c r="K613" s="37" t="str">
        <f t="shared" si="11"/>
        <v>Inexpensive</v>
      </c>
      <c r="L613" s="37"/>
      <c r="N613" s="37"/>
      <c r="O613" s="37"/>
      <c r="P613" s="37"/>
      <c r="Q613" s="37"/>
      <c r="R613" s="37"/>
      <c r="S613" s="37"/>
      <c r="T613" s="37"/>
      <c r="V613"/>
      <c r="X613"/>
    </row>
    <row r="614" spans="1:24" ht="15" customHeight="1" thickBot="1" x14ac:dyDescent="0.35">
      <c r="A614" s="38">
        <v>43489.35</v>
      </c>
      <c r="B614" s="39">
        <v>141830</v>
      </c>
      <c r="C614" s="36" t="s">
        <v>116</v>
      </c>
      <c r="D614" s="17">
        <v>7000000000000</v>
      </c>
      <c r="E614" s="16" t="s">
        <v>132</v>
      </c>
      <c r="F614" s="17">
        <v>1</v>
      </c>
      <c r="G614" s="18">
        <v>11.95</v>
      </c>
      <c r="H614" s="17">
        <v>5.9749999999999996</v>
      </c>
      <c r="I614" s="18">
        <v>11.95</v>
      </c>
      <c r="J614" s="18">
        <v>5.9749999999999996</v>
      </c>
      <c r="K614" s="37" t="str">
        <f t="shared" si="11"/>
        <v>Inexpensive</v>
      </c>
      <c r="L614" s="37"/>
      <c r="N614" s="37"/>
      <c r="O614" s="37"/>
      <c r="P614" s="37"/>
      <c r="Q614" s="37"/>
      <c r="R614" s="37"/>
      <c r="S614" s="37"/>
      <c r="T614" s="37"/>
      <c r="V614"/>
      <c r="X614"/>
    </row>
    <row r="615" spans="1:24" ht="15" customHeight="1" thickBot="1" x14ac:dyDescent="0.35">
      <c r="A615" s="38">
        <v>43488.112500000003</v>
      </c>
      <c r="B615" s="39">
        <v>141831</v>
      </c>
      <c r="C615" s="36" t="s">
        <v>117</v>
      </c>
      <c r="D615" s="17">
        <v>4820000000000</v>
      </c>
      <c r="E615" s="16" t="s">
        <v>130</v>
      </c>
      <c r="F615" s="17">
        <v>1</v>
      </c>
      <c r="G615" s="18">
        <v>99.99</v>
      </c>
      <c r="H615" s="17">
        <v>49.994999999999997</v>
      </c>
      <c r="I615" s="18">
        <v>99.99</v>
      </c>
      <c r="J615" s="18">
        <v>49.994999999999997</v>
      </c>
      <c r="K615" s="37" t="str">
        <f t="shared" si="11"/>
        <v>Inexpensive</v>
      </c>
      <c r="L615" s="37"/>
      <c r="N615" s="37"/>
      <c r="O615" s="37"/>
      <c r="P615" s="37"/>
      <c r="Q615" s="37"/>
      <c r="R615" s="37"/>
      <c r="S615" s="37"/>
      <c r="T615" s="37"/>
      <c r="V615"/>
      <c r="X615"/>
    </row>
    <row r="616" spans="1:24" ht="15" customHeight="1" thickBot="1" x14ac:dyDescent="0.35">
      <c r="A616" s="38">
        <v>43468.792361111111</v>
      </c>
      <c r="B616" s="39">
        <v>141832</v>
      </c>
      <c r="C616" s="36" t="s">
        <v>125</v>
      </c>
      <c r="D616" s="17">
        <v>5150000000000</v>
      </c>
      <c r="E616" s="16" t="s">
        <v>131</v>
      </c>
      <c r="F616" s="17">
        <v>1</v>
      </c>
      <c r="G616" s="18">
        <v>379.99</v>
      </c>
      <c r="H616" s="17">
        <v>125.3967</v>
      </c>
      <c r="I616" s="18">
        <v>379.99</v>
      </c>
      <c r="J616" s="18">
        <v>254.5933</v>
      </c>
      <c r="K616" s="37" t="str">
        <f t="shared" si="11"/>
        <v>Inexpensive</v>
      </c>
      <c r="L616" s="37"/>
      <c r="N616" s="37"/>
      <c r="O616" s="37"/>
      <c r="P616" s="37"/>
      <c r="Q616" s="37"/>
      <c r="R616" s="37"/>
      <c r="S616" s="37"/>
      <c r="T616" s="37"/>
      <c r="V616"/>
      <c r="X616"/>
    </row>
    <row r="617" spans="1:24" ht="15" customHeight="1" thickBot="1" x14ac:dyDescent="0.35">
      <c r="A617" s="38">
        <v>43476.886111111111</v>
      </c>
      <c r="B617" s="39">
        <v>141833</v>
      </c>
      <c r="C617" s="36" t="s">
        <v>125</v>
      </c>
      <c r="D617" s="17">
        <v>1030000000000</v>
      </c>
      <c r="E617" s="16" t="s">
        <v>130</v>
      </c>
      <c r="F617" s="17">
        <v>1</v>
      </c>
      <c r="G617" s="18">
        <v>379.99</v>
      </c>
      <c r="H617" s="17">
        <v>125.3967</v>
      </c>
      <c r="I617" s="18">
        <v>379.99</v>
      </c>
      <c r="J617" s="18">
        <v>254.5933</v>
      </c>
      <c r="K617" s="37" t="str">
        <f t="shared" si="11"/>
        <v>Inexpensive</v>
      </c>
      <c r="L617" s="37"/>
      <c r="N617" s="37"/>
      <c r="O617" s="37"/>
      <c r="P617" s="37"/>
      <c r="Q617" s="37"/>
      <c r="R617" s="37"/>
      <c r="S617" s="37"/>
      <c r="T617" s="37"/>
      <c r="V617"/>
      <c r="X617"/>
    </row>
    <row r="618" spans="1:24" ht="15" customHeight="1" thickBot="1" x14ac:dyDescent="0.35">
      <c r="A618" s="38">
        <v>43470.504861111112</v>
      </c>
      <c r="B618" s="39">
        <v>141834</v>
      </c>
      <c r="C618" s="36" t="s">
        <v>113</v>
      </c>
      <c r="D618" s="17">
        <v>7160000000000</v>
      </c>
      <c r="E618" s="16" t="s">
        <v>130</v>
      </c>
      <c r="F618" s="17">
        <v>1</v>
      </c>
      <c r="G618" s="18">
        <v>149.99</v>
      </c>
      <c r="H618" s="17">
        <v>97.493499999999997</v>
      </c>
      <c r="I618" s="18">
        <v>149.99</v>
      </c>
      <c r="J618" s="18">
        <v>52.496499999999997</v>
      </c>
      <c r="K618" s="37" t="str">
        <f t="shared" si="11"/>
        <v>Inexpensive</v>
      </c>
      <c r="L618" s="37"/>
      <c r="N618" s="37"/>
      <c r="O618" s="37"/>
      <c r="P618" s="37"/>
      <c r="Q618" s="37"/>
      <c r="R618" s="37"/>
      <c r="S618" s="37"/>
      <c r="T618" s="37"/>
      <c r="V618"/>
      <c r="X618"/>
    </row>
    <row r="619" spans="1:24" ht="15" customHeight="1" thickBot="1" x14ac:dyDescent="0.35">
      <c r="A619" s="38">
        <v>43488.856249999997</v>
      </c>
      <c r="B619" s="39">
        <v>141835</v>
      </c>
      <c r="C619" s="36" t="s">
        <v>120</v>
      </c>
      <c r="D619" s="17">
        <v>1750000000000</v>
      </c>
      <c r="E619" s="16" t="s">
        <v>130</v>
      </c>
      <c r="F619" s="17">
        <v>1</v>
      </c>
      <c r="G619" s="18">
        <v>300</v>
      </c>
      <c r="H619" s="17">
        <v>99</v>
      </c>
      <c r="I619" s="18">
        <v>300</v>
      </c>
      <c r="J619" s="18">
        <v>201</v>
      </c>
      <c r="K619" s="37" t="str">
        <f t="shared" si="11"/>
        <v>Inexpensive</v>
      </c>
      <c r="L619" s="37"/>
      <c r="N619" s="37"/>
      <c r="O619" s="37"/>
      <c r="P619" s="37"/>
      <c r="Q619" s="37"/>
      <c r="R619" s="37"/>
      <c r="S619" s="37"/>
      <c r="T619" s="37"/>
      <c r="V619"/>
      <c r="X619"/>
    </row>
    <row r="620" spans="1:24" ht="15" customHeight="1" thickBot="1" x14ac:dyDescent="0.35">
      <c r="A620" s="38">
        <v>43475.948611111111</v>
      </c>
      <c r="B620" s="39">
        <v>141836</v>
      </c>
      <c r="C620" s="36" t="s">
        <v>114</v>
      </c>
      <c r="D620" s="17">
        <v>6790000000000</v>
      </c>
      <c r="E620" s="16" t="s">
        <v>132</v>
      </c>
      <c r="F620" s="17">
        <v>2</v>
      </c>
      <c r="G620" s="18">
        <v>2.99</v>
      </c>
      <c r="H620" s="17">
        <v>1.4950000000000001</v>
      </c>
      <c r="I620" s="18">
        <v>5.98</v>
      </c>
      <c r="J620" s="18">
        <v>2.99</v>
      </c>
      <c r="K620" s="37" t="str">
        <f t="shared" si="11"/>
        <v>Inexpensive</v>
      </c>
      <c r="L620" s="37"/>
      <c r="N620" s="37"/>
      <c r="O620" s="37"/>
      <c r="P620" s="37"/>
      <c r="Q620" s="37"/>
      <c r="R620" s="37"/>
      <c r="S620" s="37"/>
      <c r="T620" s="37"/>
      <c r="V620"/>
      <c r="X620"/>
    </row>
    <row r="621" spans="1:24" ht="15" customHeight="1" thickBot="1" x14ac:dyDescent="0.35">
      <c r="A621" s="38">
        <v>43476.372916666667</v>
      </c>
      <c r="B621" s="39">
        <v>141837</v>
      </c>
      <c r="C621" s="36" t="s">
        <v>117</v>
      </c>
      <c r="D621" s="17">
        <v>2250000000000</v>
      </c>
      <c r="E621" s="16" t="s">
        <v>132</v>
      </c>
      <c r="F621" s="17">
        <v>1</v>
      </c>
      <c r="G621" s="18">
        <v>99.99</v>
      </c>
      <c r="H621" s="17">
        <v>49.994999999999997</v>
      </c>
      <c r="I621" s="18">
        <v>99.99</v>
      </c>
      <c r="J621" s="18">
        <v>49.994999999999997</v>
      </c>
      <c r="K621" s="37" t="str">
        <f t="shared" si="11"/>
        <v>Inexpensive</v>
      </c>
      <c r="L621" s="37"/>
      <c r="N621" s="37"/>
      <c r="O621" s="37"/>
      <c r="P621" s="37"/>
      <c r="Q621" s="37"/>
      <c r="R621" s="37"/>
      <c r="S621" s="37"/>
      <c r="T621" s="37"/>
      <c r="V621"/>
      <c r="X621"/>
    </row>
    <row r="622" spans="1:24" ht="15" customHeight="1" thickBot="1" x14ac:dyDescent="0.35">
      <c r="A622" s="38">
        <v>43480.629861111112</v>
      </c>
      <c r="B622" s="39">
        <v>141838</v>
      </c>
      <c r="C622" s="36" t="s">
        <v>112</v>
      </c>
      <c r="D622" s="17">
        <v>4070000000000</v>
      </c>
      <c r="E622" s="16" t="s">
        <v>132</v>
      </c>
      <c r="F622" s="17">
        <v>1</v>
      </c>
      <c r="G622" s="18">
        <v>11.99</v>
      </c>
      <c r="H622" s="17">
        <v>5.9950000000000001</v>
      </c>
      <c r="I622" s="18">
        <v>11.99</v>
      </c>
      <c r="J622" s="18">
        <v>5.9950000000000001</v>
      </c>
      <c r="K622" s="37" t="str">
        <f t="shared" si="11"/>
        <v>Inexpensive</v>
      </c>
      <c r="L622" s="37"/>
      <c r="N622" s="37"/>
      <c r="O622" s="37"/>
      <c r="P622" s="37"/>
      <c r="Q622" s="37"/>
      <c r="R622" s="37"/>
      <c r="S622" s="37"/>
      <c r="T622" s="37"/>
      <c r="V622"/>
      <c r="X622"/>
    </row>
    <row r="623" spans="1:24" ht="15" customHeight="1" thickBot="1" x14ac:dyDescent="0.35">
      <c r="A623" s="38">
        <v>43470.449305555558</v>
      </c>
      <c r="B623" s="39">
        <v>141839</v>
      </c>
      <c r="C623" s="36" t="s">
        <v>116</v>
      </c>
      <c r="D623" s="17">
        <v>6850000000000</v>
      </c>
      <c r="E623" s="16" t="s">
        <v>131</v>
      </c>
      <c r="F623" s="17">
        <v>1</v>
      </c>
      <c r="G623" s="18">
        <v>11.95</v>
      </c>
      <c r="H623" s="17">
        <v>5.9749999999999996</v>
      </c>
      <c r="I623" s="18">
        <v>11.95</v>
      </c>
      <c r="J623" s="18">
        <v>5.9749999999999996</v>
      </c>
      <c r="K623" s="37" t="str">
        <f t="shared" si="11"/>
        <v>Inexpensive</v>
      </c>
      <c r="L623" s="37"/>
      <c r="N623" s="37"/>
      <c r="O623" s="37"/>
      <c r="P623" s="37"/>
      <c r="Q623" s="37"/>
      <c r="R623" s="37"/>
      <c r="S623" s="37"/>
      <c r="T623" s="37"/>
      <c r="V623"/>
      <c r="X623"/>
    </row>
    <row r="624" spans="1:24" ht="15" customHeight="1" thickBot="1" x14ac:dyDescent="0.35">
      <c r="A624" s="38">
        <v>43489.986111111109</v>
      </c>
      <c r="B624" s="39">
        <v>141840</v>
      </c>
      <c r="C624" s="36" t="s">
        <v>116</v>
      </c>
      <c r="D624" s="17">
        <v>6850000000000</v>
      </c>
      <c r="E624" s="16" t="s">
        <v>130</v>
      </c>
      <c r="F624" s="17">
        <v>1</v>
      </c>
      <c r="G624" s="18">
        <v>11.95</v>
      </c>
      <c r="H624" s="17">
        <v>5.9749999999999996</v>
      </c>
      <c r="I624" s="18">
        <v>11.95</v>
      </c>
      <c r="J624" s="18">
        <v>5.9749999999999996</v>
      </c>
      <c r="K624" s="37" t="str">
        <f t="shared" si="11"/>
        <v>Inexpensive</v>
      </c>
      <c r="L624" s="37"/>
      <c r="N624" s="37"/>
      <c r="O624" s="37"/>
      <c r="P624" s="37"/>
      <c r="Q624" s="37"/>
      <c r="R624" s="37"/>
      <c r="S624" s="37"/>
      <c r="T624" s="37"/>
      <c r="V624"/>
      <c r="X624"/>
    </row>
    <row r="625" spans="1:24" ht="15" customHeight="1" thickBot="1" x14ac:dyDescent="0.35">
      <c r="A625" s="38">
        <v>43475.863194444442</v>
      </c>
      <c r="B625" s="39">
        <v>141841</v>
      </c>
      <c r="C625" s="36" t="s">
        <v>117</v>
      </c>
      <c r="D625" s="17">
        <v>9350000000000</v>
      </c>
      <c r="E625" s="16" t="s">
        <v>131</v>
      </c>
      <c r="F625" s="17">
        <v>1</v>
      </c>
      <c r="G625" s="18">
        <v>99.99</v>
      </c>
      <c r="H625" s="17">
        <v>49.994999999999997</v>
      </c>
      <c r="I625" s="18">
        <v>99.99</v>
      </c>
      <c r="J625" s="18">
        <v>49.994999999999997</v>
      </c>
      <c r="K625" s="37" t="str">
        <f t="shared" si="11"/>
        <v>Inexpensive</v>
      </c>
      <c r="L625" s="37"/>
      <c r="N625" s="37"/>
      <c r="O625" s="37"/>
      <c r="P625" s="37"/>
      <c r="Q625" s="37"/>
      <c r="R625" s="37"/>
      <c r="S625" s="37"/>
      <c r="T625" s="37"/>
      <c r="V625"/>
      <c r="X625"/>
    </row>
    <row r="626" spans="1:24" ht="15" customHeight="1" thickBot="1" x14ac:dyDescent="0.35">
      <c r="A626" s="38">
        <v>43484.59097222222</v>
      </c>
      <c r="B626" s="39">
        <v>141842</v>
      </c>
      <c r="C626" s="36" t="s">
        <v>117</v>
      </c>
      <c r="D626" s="17">
        <v>8260000000000</v>
      </c>
      <c r="E626" s="16" t="s">
        <v>130</v>
      </c>
      <c r="F626" s="17">
        <v>1</v>
      </c>
      <c r="G626" s="18">
        <v>99.99</v>
      </c>
      <c r="H626" s="17">
        <v>49.994999999999997</v>
      </c>
      <c r="I626" s="18">
        <v>99.99</v>
      </c>
      <c r="J626" s="18">
        <v>49.994999999999997</v>
      </c>
      <c r="K626" s="37" t="str">
        <f t="shared" si="11"/>
        <v>Inexpensive</v>
      </c>
      <c r="L626" s="37"/>
      <c r="N626" s="37"/>
      <c r="O626" s="37"/>
      <c r="P626" s="37"/>
      <c r="Q626" s="37"/>
      <c r="R626" s="37"/>
      <c r="S626" s="37"/>
      <c r="T626" s="37"/>
      <c r="V626"/>
      <c r="X626"/>
    </row>
    <row r="627" spans="1:24" ht="15" customHeight="1" thickBot="1" x14ac:dyDescent="0.35">
      <c r="A627" s="38">
        <v>43475.415972222225</v>
      </c>
      <c r="B627" s="40">
        <v>141843</v>
      </c>
      <c r="C627" s="36" t="s">
        <v>122</v>
      </c>
      <c r="D627" s="17">
        <v>6790000000000</v>
      </c>
      <c r="E627" s="16" t="s">
        <v>131</v>
      </c>
      <c r="F627" s="17">
        <v>1</v>
      </c>
      <c r="G627" s="18">
        <v>3.84</v>
      </c>
      <c r="H627" s="17">
        <v>1.92</v>
      </c>
      <c r="I627" s="18">
        <v>3.84</v>
      </c>
      <c r="J627" s="18">
        <v>1.92</v>
      </c>
      <c r="K627" s="37" t="str">
        <f t="shared" si="11"/>
        <v>Inexpensive</v>
      </c>
      <c r="L627" s="37"/>
      <c r="N627" s="37"/>
      <c r="O627" s="37"/>
      <c r="P627" s="37"/>
      <c r="Q627" s="37"/>
      <c r="R627" s="37"/>
      <c r="S627" s="37"/>
      <c r="T627" s="37"/>
      <c r="V627"/>
      <c r="X627"/>
    </row>
    <row r="628" spans="1:24" ht="15" customHeight="1" thickBot="1" x14ac:dyDescent="0.35">
      <c r="A628" s="38">
        <v>43475.415972222225</v>
      </c>
      <c r="B628" s="40">
        <v>141843</v>
      </c>
      <c r="C628" s="36" t="s">
        <v>114</v>
      </c>
      <c r="D628" s="17">
        <v>8950000000000</v>
      </c>
      <c r="E628" s="16" t="s">
        <v>131</v>
      </c>
      <c r="F628" s="17">
        <v>1</v>
      </c>
      <c r="G628" s="18">
        <v>2.99</v>
      </c>
      <c r="H628" s="17">
        <v>1.4950000000000001</v>
      </c>
      <c r="I628" s="18">
        <v>2.99</v>
      </c>
      <c r="J628" s="18">
        <v>1.4950000000000001</v>
      </c>
      <c r="K628" s="37" t="str">
        <f t="shared" si="11"/>
        <v>Inexpensive</v>
      </c>
      <c r="L628" s="37"/>
      <c r="N628" s="37"/>
      <c r="O628" s="37"/>
      <c r="P628" s="37"/>
      <c r="Q628" s="37"/>
      <c r="R628" s="37"/>
      <c r="S628" s="37"/>
      <c r="T628" s="37"/>
      <c r="V628"/>
      <c r="X628"/>
    </row>
    <row r="629" spans="1:24" ht="15" customHeight="1" thickBot="1" x14ac:dyDescent="0.35">
      <c r="A629" s="38">
        <v>43486.864583333336</v>
      </c>
      <c r="B629" s="39">
        <v>141844</v>
      </c>
      <c r="C629" s="36" t="s">
        <v>111</v>
      </c>
      <c r="D629" s="17">
        <v>3590000000000</v>
      </c>
      <c r="E629" s="16" t="s">
        <v>132</v>
      </c>
      <c r="F629" s="17">
        <v>1</v>
      </c>
      <c r="G629" s="18">
        <v>14.95</v>
      </c>
      <c r="H629" s="17">
        <v>7.4749999999999996</v>
      </c>
      <c r="I629" s="18">
        <v>14.95</v>
      </c>
      <c r="J629" s="18">
        <v>7.4749999999999996</v>
      </c>
      <c r="K629" s="37" t="str">
        <f t="shared" si="11"/>
        <v>Inexpensive</v>
      </c>
      <c r="L629" s="37"/>
      <c r="N629" s="37"/>
      <c r="O629" s="37"/>
      <c r="P629" s="37"/>
      <c r="Q629" s="37"/>
      <c r="R629" s="37"/>
      <c r="S629" s="37"/>
      <c r="T629" s="37"/>
      <c r="V629"/>
      <c r="X629"/>
    </row>
    <row r="630" spans="1:24" ht="15" customHeight="1" thickBot="1" x14ac:dyDescent="0.35">
      <c r="A630" s="38">
        <v>43489.972222222219</v>
      </c>
      <c r="B630" s="39">
        <v>141845</v>
      </c>
      <c r="C630" s="36" t="s">
        <v>114</v>
      </c>
      <c r="D630" s="17">
        <v>4340000000000</v>
      </c>
      <c r="E630" s="16" t="s">
        <v>130</v>
      </c>
      <c r="F630" s="17">
        <v>1</v>
      </c>
      <c r="G630" s="18">
        <v>2.99</v>
      </c>
      <c r="H630" s="17">
        <v>1.4950000000000001</v>
      </c>
      <c r="I630" s="18">
        <v>2.99</v>
      </c>
      <c r="J630" s="18">
        <v>1.4950000000000001</v>
      </c>
      <c r="K630" s="37" t="str">
        <f t="shared" si="11"/>
        <v>Inexpensive</v>
      </c>
      <c r="L630" s="37"/>
      <c r="N630" s="37"/>
      <c r="O630" s="37"/>
      <c r="P630" s="37"/>
      <c r="Q630" s="37"/>
      <c r="R630" s="37"/>
      <c r="S630" s="37"/>
      <c r="T630" s="37"/>
      <c r="V630"/>
      <c r="X630"/>
    </row>
    <row r="631" spans="1:24" ht="15" customHeight="1" thickBot="1" x14ac:dyDescent="0.35">
      <c r="A631" s="38">
        <v>43475.377083333333</v>
      </c>
      <c r="B631" s="39">
        <v>141846</v>
      </c>
      <c r="C631" s="36" t="s">
        <v>122</v>
      </c>
      <c r="D631" s="17">
        <v>7960000000000</v>
      </c>
      <c r="E631" s="16" t="s">
        <v>130</v>
      </c>
      <c r="F631" s="17">
        <v>1</v>
      </c>
      <c r="G631" s="18">
        <v>3.84</v>
      </c>
      <c r="H631" s="17">
        <v>1.92</v>
      </c>
      <c r="I631" s="18">
        <v>3.84</v>
      </c>
      <c r="J631" s="18">
        <v>1.92</v>
      </c>
      <c r="K631" s="37" t="str">
        <f t="shared" si="11"/>
        <v>Inexpensive</v>
      </c>
      <c r="L631" s="37"/>
      <c r="N631" s="37"/>
      <c r="O631" s="37"/>
      <c r="P631" s="37"/>
      <c r="Q631" s="37"/>
      <c r="R631" s="37"/>
      <c r="S631" s="37"/>
      <c r="T631" s="37"/>
      <c r="V631"/>
      <c r="X631"/>
    </row>
    <row r="632" spans="1:24" ht="15" customHeight="1" thickBot="1" x14ac:dyDescent="0.35">
      <c r="A632" s="38">
        <v>43473.661111111112</v>
      </c>
      <c r="B632" s="39">
        <v>141847</v>
      </c>
      <c r="C632" s="36" t="s">
        <v>117</v>
      </c>
      <c r="D632" s="17">
        <v>9020000000000</v>
      </c>
      <c r="E632" s="16" t="s">
        <v>132</v>
      </c>
      <c r="F632" s="17">
        <v>1</v>
      </c>
      <c r="G632" s="18">
        <v>99.99</v>
      </c>
      <c r="H632" s="17">
        <v>49.994999999999997</v>
      </c>
      <c r="I632" s="18">
        <v>99.99</v>
      </c>
      <c r="J632" s="18">
        <v>49.994999999999997</v>
      </c>
      <c r="K632" s="37" t="str">
        <f t="shared" si="11"/>
        <v>Inexpensive</v>
      </c>
      <c r="L632" s="37"/>
      <c r="N632" s="37"/>
      <c r="O632" s="37"/>
      <c r="P632" s="37"/>
      <c r="Q632" s="37"/>
      <c r="R632" s="37"/>
      <c r="S632" s="37"/>
      <c r="T632" s="37"/>
      <c r="V632"/>
      <c r="X632"/>
    </row>
    <row r="633" spans="1:24" ht="15" customHeight="1" thickBot="1" x14ac:dyDescent="0.35">
      <c r="A633" s="38">
        <v>43477.699305555558</v>
      </c>
      <c r="B633" s="39">
        <v>141848</v>
      </c>
      <c r="C633" s="36" t="s">
        <v>116</v>
      </c>
      <c r="D633" s="17">
        <v>3640000000000</v>
      </c>
      <c r="E633" s="16" t="s">
        <v>132</v>
      </c>
      <c r="F633" s="17">
        <v>1</v>
      </c>
      <c r="G633" s="18">
        <v>11.95</v>
      </c>
      <c r="H633" s="17">
        <v>5.9749999999999996</v>
      </c>
      <c r="I633" s="18">
        <v>11.95</v>
      </c>
      <c r="J633" s="18">
        <v>5.9749999999999996</v>
      </c>
      <c r="K633" s="37" t="str">
        <f t="shared" si="11"/>
        <v>Inexpensive</v>
      </c>
      <c r="L633" s="37"/>
      <c r="N633" s="37"/>
      <c r="O633" s="37"/>
      <c r="P633" s="37"/>
      <c r="Q633" s="37"/>
      <c r="R633" s="37"/>
      <c r="S633" s="37"/>
      <c r="T633" s="37"/>
      <c r="V633"/>
      <c r="X633"/>
    </row>
    <row r="634" spans="1:24" ht="15" customHeight="1" thickBot="1" x14ac:dyDescent="0.35">
      <c r="A634" s="38">
        <v>43480.269444444442</v>
      </c>
      <c r="B634" s="39">
        <v>141849</v>
      </c>
      <c r="C634" s="36" t="s">
        <v>117</v>
      </c>
      <c r="D634" s="17">
        <v>2780000000000</v>
      </c>
      <c r="E634" s="16" t="s">
        <v>131</v>
      </c>
      <c r="F634" s="17">
        <v>1</v>
      </c>
      <c r="G634" s="18">
        <v>99.99</v>
      </c>
      <c r="H634" s="17">
        <v>49.994999999999997</v>
      </c>
      <c r="I634" s="18">
        <v>99.99</v>
      </c>
      <c r="J634" s="18">
        <v>49.994999999999997</v>
      </c>
      <c r="K634" s="37" t="str">
        <f t="shared" si="11"/>
        <v>Inexpensive</v>
      </c>
      <c r="L634" s="37"/>
      <c r="N634" s="37"/>
      <c r="O634" s="37"/>
      <c r="P634" s="37"/>
      <c r="Q634" s="37"/>
      <c r="R634" s="37"/>
      <c r="S634" s="37"/>
      <c r="T634" s="37"/>
      <c r="V634"/>
      <c r="X634"/>
    </row>
    <row r="635" spans="1:24" ht="15" customHeight="1" thickBot="1" x14ac:dyDescent="0.35">
      <c r="A635" s="38">
        <v>43493.780555555553</v>
      </c>
      <c r="B635" s="39">
        <v>141850</v>
      </c>
      <c r="C635" s="36" t="s">
        <v>114</v>
      </c>
      <c r="D635" s="17">
        <v>3510000000000</v>
      </c>
      <c r="E635" s="16" t="s">
        <v>132</v>
      </c>
      <c r="F635" s="17">
        <v>1</v>
      </c>
      <c r="G635" s="18">
        <v>2.99</v>
      </c>
      <c r="H635" s="17">
        <v>1.4950000000000001</v>
      </c>
      <c r="I635" s="18">
        <v>2.99</v>
      </c>
      <c r="J635" s="18">
        <v>1.4950000000000001</v>
      </c>
      <c r="K635" s="37" t="str">
        <f t="shared" si="11"/>
        <v>Inexpensive</v>
      </c>
      <c r="L635" s="37"/>
      <c r="N635" s="37"/>
      <c r="O635" s="37"/>
      <c r="P635" s="37"/>
      <c r="Q635" s="37"/>
      <c r="R635" s="37"/>
      <c r="S635" s="37"/>
      <c r="T635" s="37"/>
      <c r="V635"/>
      <c r="X635"/>
    </row>
    <row r="636" spans="1:24" ht="15" customHeight="1" thickBot="1" x14ac:dyDescent="0.35">
      <c r="A636" s="38">
        <v>43485.446527777778</v>
      </c>
      <c r="B636" s="39">
        <v>141851</v>
      </c>
      <c r="C636" s="36" t="s">
        <v>113</v>
      </c>
      <c r="D636" s="17">
        <v>7420000000000</v>
      </c>
      <c r="E636" s="16" t="s">
        <v>132</v>
      </c>
      <c r="F636" s="17">
        <v>1</v>
      </c>
      <c r="G636" s="18">
        <v>149.99</v>
      </c>
      <c r="H636" s="17">
        <v>97.493499999999997</v>
      </c>
      <c r="I636" s="18">
        <v>149.99</v>
      </c>
      <c r="J636" s="18">
        <v>52.496499999999997</v>
      </c>
      <c r="K636" s="37" t="str">
        <f t="shared" si="11"/>
        <v>Inexpensive</v>
      </c>
      <c r="L636" s="37"/>
      <c r="N636" s="37"/>
      <c r="O636" s="37"/>
      <c r="P636" s="37"/>
      <c r="Q636" s="37"/>
      <c r="R636" s="37"/>
      <c r="S636" s="37"/>
      <c r="T636" s="37"/>
      <c r="V636"/>
      <c r="X636"/>
    </row>
    <row r="637" spans="1:24" ht="15" customHeight="1" thickBot="1" x14ac:dyDescent="0.35">
      <c r="A637" s="38">
        <v>43474.836111111108</v>
      </c>
      <c r="B637" s="39">
        <v>141852</v>
      </c>
      <c r="C637" s="36" t="s">
        <v>116</v>
      </c>
      <c r="D637" s="17">
        <v>9300000000000</v>
      </c>
      <c r="E637" s="16" t="s">
        <v>131</v>
      </c>
      <c r="F637" s="17">
        <v>1</v>
      </c>
      <c r="G637" s="18">
        <v>11.95</v>
      </c>
      <c r="H637" s="17">
        <v>5.9749999999999996</v>
      </c>
      <c r="I637" s="18">
        <v>11.95</v>
      </c>
      <c r="J637" s="18">
        <v>5.9749999999999996</v>
      </c>
      <c r="K637" s="37" t="str">
        <f t="shared" si="11"/>
        <v>Inexpensive</v>
      </c>
      <c r="L637" s="37"/>
      <c r="N637" s="37"/>
      <c r="O637" s="37"/>
      <c r="P637" s="37"/>
      <c r="Q637" s="37"/>
      <c r="R637" s="37"/>
      <c r="S637" s="37"/>
      <c r="T637" s="37"/>
      <c r="V637"/>
      <c r="X637"/>
    </row>
    <row r="638" spans="1:24" ht="15" customHeight="1" thickBot="1" x14ac:dyDescent="0.35">
      <c r="A638" s="38">
        <v>43476.522222222222</v>
      </c>
      <c r="B638" s="39">
        <v>141853</v>
      </c>
      <c r="C638" s="36" t="s">
        <v>118</v>
      </c>
      <c r="D638" s="17">
        <v>9670000000000</v>
      </c>
      <c r="E638" s="16" t="s">
        <v>132</v>
      </c>
      <c r="F638" s="17">
        <v>1</v>
      </c>
      <c r="G638" s="18">
        <v>150</v>
      </c>
      <c r="H638" s="17">
        <v>97.5</v>
      </c>
      <c r="I638" s="18">
        <v>150</v>
      </c>
      <c r="J638" s="18">
        <v>52.5</v>
      </c>
      <c r="K638" s="37" t="str">
        <f t="shared" si="11"/>
        <v>Inexpensive</v>
      </c>
      <c r="L638" s="37"/>
      <c r="N638" s="37"/>
      <c r="O638" s="37"/>
      <c r="P638" s="37"/>
      <c r="Q638" s="37"/>
      <c r="R638" s="37"/>
      <c r="S638" s="37"/>
      <c r="T638" s="37"/>
      <c r="V638"/>
      <c r="X638"/>
    </row>
    <row r="639" spans="1:24" ht="15" customHeight="1" thickBot="1" x14ac:dyDescent="0.35">
      <c r="A639" s="38">
        <v>43468.538194444445</v>
      </c>
      <c r="B639" s="39">
        <v>141854</v>
      </c>
      <c r="C639" s="36" t="s">
        <v>124</v>
      </c>
      <c r="D639" s="17">
        <v>6020000000000</v>
      </c>
      <c r="E639" s="16" t="s">
        <v>130</v>
      </c>
      <c r="F639" s="17">
        <v>1</v>
      </c>
      <c r="G639" s="18">
        <v>109.99</v>
      </c>
      <c r="H639" s="17">
        <v>71.493499999999997</v>
      </c>
      <c r="I639" s="18">
        <v>109.99</v>
      </c>
      <c r="J639" s="18">
        <v>38.496499999999997</v>
      </c>
      <c r="K639" s="37" t="str">
        <f t="shared" si="11"/>
        <v>Inexpensive</v>
      </c>
      <c r="L639" s="37"/>
      <c r="N639" s="37"/>
      <c r="O639" s="37"/>
      <c r="P639" s="37"/>
      <c r="Q639" s="37"/>
      <c r="R639" s="37"/>
      <c r="S639" s="37"/>
      <c r="T639" s="37"/>
      <c r="V639"/>
      <c r="X639"/>
    </row>
    <row r="640" spans="1:24" ht="15" customHeight="1" thickBot="1" x14ac:dyDescent="0.35">
      <c r="A640" s="38">
        <v>43466.625694444447</v>
      </c>
      <c r="B640" s="39">
        <v>141855</v>
      </c>
      <c r="C640" s="36" t="s">
        <v>126</v>
      </c>
      <c r="D640" s="17">
        <v>1630000000000</v>
      </c>
      <c r="E640" s="16" t="s">
        <v>130</v>
      </c>
      <c r="F640" s="17">
        <v>1</v>
      </c>
      <c r="G640" s="18">
        <v>999.99</v>
      </c>
      <c r="H640" s="17">
        <v>329.99669999999998</v>
      </c>
      <c r="I640" s="18">
        <v>999.99</v>
      </c>
      <c r="J640" s="18">
        <v>669.99329999999998</v>
      </c>
      <c r="K640" s="37" t="str">
        <f t="shared" si="11"/>
        <v>Expensive</v>
      </c>
      <c r="L640" s="37"/>
      <c r="N640" s="37"/>
      <c r="O640" s="37"/>
      <c r="P640" s="37"/>
      <c r="Q640" s="37"/>
      <c r="R640" s="37"/>
      <c r="S640" s="37"/>
      <c r="T640" s="37"/>
      <c r="V640"/>
      <c r="X640"/>
    </row>
    <row r="641" spans="1:24" ht="15" customHeight="1" thickBot="1" x14ac:dyDescent="0.35">
      <c r="A641" s="38">
        <v>43475.526388888888</v>
      </c>
      <c r="B641" s="39">
        <v>141856</v>
      </c>
      <c r="C641" s="36" t="s">
        <v>111</v>
      </c>
      <c r="D641" s="17">
        <v>3570000000000</v>
      </c>
      <c r="E641" s="16" t="s">
        <v>131</v>
      </c>
      <c r="F641" s="17">
        <v>1</v>
      </c>
      <c r="G641" s="18">
        <v>14.95</v>
      </c>
      <c r="H641" s="17">
        <v>7.4749999999999996</v>
      </c>
      <c r="I641" s="18">
        <v>14.95</v>
      </c>
      <c r="J641" s="18">
        <v>7.4749999999999996</v>
      </c>
      <c r="K641" s="37" t="str">
        <f t="shared" si="11"/>
        <v>Inexpensive</v>
      </c>
      <c r="L641" s="37"/>
      <c r="N641" s="37"/>
      <c r="O641" s="37"/>
      <c r="P641" s="37"/>
      <c r="Q641" s="37"/>
      <c r="R641" s="37"/>
      <c r="S641" s="37"/>
      <c r="T641" s="37"/>
      <c r="V641"/>
      <c r="X641"/>
    </row>
    <row r="642" spans="1:24" ht="15" customHeight="1" thickBot="1" x14ac:dyDescent="0.35">
      <c r="A642" s="38">
        <v>43475.024305555555</v>
      </c>
      <c r="B642" s="39">
        <v>141857</v>
      </c>
      <c r="C642" s="36" t="s">
        <v>117</v>
      </c>
      <c r="D642" s="17">
        <v>7930000000000</v>
      </c>
      <c r="E642" s="16" t="s">
        <v>130</v>
      </c>
      <c r="F642" s="17">
        <v>1</v>
      </c>
      <c r="G642" s="18">
        <v>99.99</v>
      </c>
      <c r="H642" s="17">
        <v>49.994999999999997</v>
      </c>
      <c r="I642" s="18">
        <v>99.99</v>
      </c>
      <c r="J642" s="18">
        <v>49.994999999999997</v>
      </c>
      <c r="K642" s="37" t="str">
        <f t="shared" si="11"/>
        <v>Inexpensive</v>
      </c>
      <c r="L642" s="37"/>
      <c r="N642" s="37"/>
      <c r="O642" s="37"/>
      <c r="P642" s="37"/>
      <c r="Q642" s="37"/>
      <c r="R642" s="37"/>
      <c r="S642" s="37"/>
      <c r="T642" s="37"/>
      <c r="V642"/>
      <c r="X642"/>
    </row>
    <row r="643" spans="1:24" ht="15" customHeight="1" thickBot="1" x14ac:dyDescent="0.35">
      <c r="A643" s="38">
        <v>43475.831250000003</v>
      </c>
      <c r="B643" s="39">
        <v>141858</v>
      </c>
      <c r="C643" s="36" t="s">
        <v>116</v>
      </c>
      <c r="D643" s="17">
        <v>6750000000000</v>
      </c>
      <c r="E643" s="16" t="s">
        <v>130</v>
      </c>
      <c r="F643" s="17">
        <v>1</v>
      </c>
      <c r="G643" s="18">
        <v>11.95</v>
      </c>
      <c r="H643" s="17">
        <v>5.9749999999999996</v>
      </c>
      <c r="I643" s="18">
        <v>11.95</v>
      </c>
      <c r="J643" s="18">
        <v>5.9749999999999996</v>
      </c>
      <c r="K643" s="37" t="str">
        <f t="shared" ref="K643:K706" si="12">IF(G643&gt;=700,"Expensive","Inexpensive")</f>
        <v>Inexpensive</v>
      </c>
      <c r="L643" s="37"/>
      <c r="N643" s="37"/>
      <c r="O643" s="37"/>
      <c r="P643" s="37"/>
      <c r="Q643" s="37"/>
      <c r="R643" s="37"/>
      <c r="S643" s="37"/>
      <c r="T643" s="37"/>
      <c r="V643"/>
      <c r="X643"/>
    </row>
    <row r="644" spans="1:24" ht="15" customHeight="1" thickBot="1" x14ac:dyDescent="0.35">
      <c r="A644" s="38">
        <v>43489.276388888888</v>
      </c>
      <c r="B644" s="39">
        <v>141859</v>
      </c>
      <c r="C644" s="36" t="s">
        <v>122</v>
      </c>
      <c r="D644" s="17">
        <v>5460000000000</v>
      </c>
      <c r="E644" s="16" t="s">
        <v>132</v>
      </c>
      <c r="F644" s="17">
        <v>1</v>
      </c>
      <c r="G644" s="18">
        <v>3.84</v>
      </c>
      <c r="H644" s="17">
        <v>1.92</v>
      </c>
      <c r="I644" s="18">
        <v>3.84</v>
      </c>
      <c r="J644" s="18">
        <v>1.92</v>
      </c>
      <c r="K644" s="37" t="str">
        <f t="shared" si="12"/>
        <v>Inexpensive</v>
      </c>
      <c r="L644" s="37"/>
      <c r="N644" s="37"/>
      <c r="O644" s="37"/>
      <c r="P644" s="37"/>
      <c r="Q644" s="37"/>
      <c r="R644" s="37"/>
      <c r="S644" s="37"/>
      <c r="T644" s="37"/>
      <c r="V644"/>
      <c r="X644"/>
    </row>
    <row r="645" spans="1:24" ht="15" customHeight="1" thickBot="1" x14ac:dyDescent="0.35">
      <c r="A645" s="38">
        <v>43473.636805555558</v>
      </c>
      <c r="B645" s="39">
        <v>141860</v>
      </c>
      <c r="C645" s="36" t="s">
        <v>126</v>
      </c>
      <c r="D645" s="17">
        <v>3500000000000</v>
      </c>
      <c r="E645" s="16" t="s">
        <v>132</v>
      </c>
      <c r="F645" s="17">
        <v>1</v>
      </c>
      <c r="G645" s="18">
        <v>999.99</v>
      </c>
      <c r="H645" s="17">
        <v>329.99669999999998</v>
      </c>
      <c r="I645" s="18">
        <v>999.99</v>
      </c>
      <c r="J645" s="18">
        <v>669.99329999999998</v>
      </c>
      <c r="K645" s="37" t="str">
        <f t="shared" si="12"/>
        <v>Expensive</v>
      </c>
      <c r="L645" s="37"/>
      <c r="N645" s="37"/>
      <c r="O645" s="37"/>
      <c r="P645" s="37"/>
      <c r="Q645" s="37"/>
      <c r="R645" s="37"/>
      <c r="S645" s="37"/>
      <c r="T645" s="37"/>
      <c r="V645"/>
      <c r="X645"/>
    </row>
    <row r="646" spans="1:24" ht="15" customHeight="1" thickBot="1" x14ac:dyDescent="0.35">
      <c r="A646" s="38">
        <v>43480.84375</v>
      </c>
      <c r="B646" s="39">
        <v>141861</v>
      </c>
      <c r="C646" s="36" t="s">
        <v>113</v>
      </c>
      <c r="D646" s="17">
        <v>7820000000000</v>
      </c>
      <c r="E646" s="16" t="s">
        <v>131</v>
      </c>
      <c r="F646" s="17">
        <v>1</v>
      </c>
      <c r="G646" s="18">
        <v>149.99</v>
      </c>
      <c r="H646" s="17">
        <v>97.493499999999997</v>
      </c>
      <c r="I646" s="18">
        <v>149.99</v>
      </c>
      <c r="J646" s="18">
        <v>52.496499999999997</v>
      </c>
      <c r="K646" s="37" t="str">
        <f t="shared" si="12"/>
        <v>Inexpensive</v>
      </c>
      <c r="L646" s="37"/>
      <c r="N646" s="37"/>
      <c r="O646" s="37"/>
      <c r="P646" s="37"/>
      <c r="Q646" s="37"/>
      <c r="R646" s="37"/>
      <c r="S646" s="37"/>
      <c r="T646" s="37"/>
      <c r="V646"/>
      <c r="X646"/>
    </row>
    <row r="647" spans="1:24" ht="15" customHeight="1" thickBot="1" x14ac:dyDescent="0.35">
      <c r="A647" s="38">
        <v>43477.459722222222</v>
      </c>
      <c r="B647" s="39">
        <v>141862</v>
      </c>
      <c r="C647" s="36" t="s">
        <v>112</v>
      </c>
      <c r="D647" s="17">
        <v>4100000000000</v>
      </c>
      <c r="E647" s="16" t="s">
        <v>131</v>
      </c>
      <c r="F647" s="17">
        <v>1</v>
      </c>
      <c r="G647" s="18">
        <v>11.99</v>
      </c>
      <c r="H647" s="17">
        <v>5.9950000000000001</v>
      </c>
      <c r="I647" s="18">
        <v>11.99</v>
      </c>
      <c r="J647" s="18">
        <v>5.9950000000000001</v>
      </c>
      <c r="K647" s="37" t="str">
        <f t="shared" si="12"/>
        <v>Inexpensive</v>
      </c>
      <c r="L647" s="37"/>
      <c r="N647" s="37"/>
      <c r="O647" s="37"/>
      <c r="P647" s="37"/>
      <c r="Q647" s="37"/>
      <c r="R647" s="37"/>
      <c r="S647" s="37"/>
      <c r="T647" s="37"/>
      <c r="V647"/>
      <c r="X647"/>
    </row>
    <row r="648" spans="1:24" ht="15" customHeight="1" thickBot="1" x14ac:dyDescent="0.35">
      <c r="A648" s="38">
        <v>43491.681250000001</v>
      </c>
      <c r="B648" s="39">
        <v>141863</v>
      </c>
      <c r="C648" s="36" t="s">
        <v>114</v>
      </c>
      <c r="D648" s="17">
        <v>2740000000000</v>
      </c>
      <c r="E648" s="16" t="s">
        <v>131</v>
      </c>
      <c r="F648" s="17">
        <v>1</v>
      </c>
      <c r="G648" s="18">
        <v>2.99</v>
      </c>
      <c r="H648" s="17">
        <v>1.4950000000000001</v>
      </c>
      <c r="I648" s="18">
        <v>2.99</v>
      </c>
      <c r="J648" s="18">
        <v>1.4950000000000001</v>
      </c>
      <c r="K648" s="37" t="str">
        <f t="shared" si="12"/>
        <v>Inexpensive</v>
      </c>
      <c r="L648" s="37"/>
      <c r="N648" s="37"/>
      <c r="O648" s="37"/>
      <c r="P648" s="37"/>
      <c r="Q648" s="37"/>
      <c r="R648" s="37"/>
      <c r="S648" s="37"/>
      <c r="T648" s="37"/>
      <c r="V648"/>
      <c r="X648"/>
    </row>
    <row r="649" spans="1:24" ht="15" customHeight="1" thickBot="1" x14ac:dyDescent="0.35">
      <c r="A649" s="38">
        <v>43483.922222222223</v>
      </c>
      <c r="B649" s="39">
        <v>141864</v>
      </c>
      <c r="C649" s="36" t="s">
        <v>115</v>
      </c>
      <c r="D649" s="17">
        <v>8780000000000</v>
      </c>
      <c r="E649" s="16" t="s">
        <v>131</v>
      </c>
      <c r="F649" s="17">
        <v>1</v>
      </c>
      <c r="G649" s="18">
        <v>389.99</v>
      </c>
      <c r="H649" s="17">
        <v>128.69669999999999</v>
      </c>
      <c r="I649" s="18">
        <v>389.99</v>
      </c>
      <c r="J649" s="18">
        <v>261.29329999999999</v>
      </c>
      <c r="K649" s="37" t="str">
        <f t="shared" si="12"/>
        <v>Inexpensive</v>
      </c>
      <c r="L649" s="37"/>
      <c r="N649" s="37"/>
      <c r="O649" s="37"/>
      <c r="P649" s="37"/>
      <c r="Q649" s="37"/>
      <c r="R649" s="37"/>
      <c r="S649" s="37"/>
      <c r="T649" s="37"/>
      <c r="V649"/>
      <c r="X649"/>
    </row>
    <row r="650" spans="1:24" ht="15" customHeight="1" thickBot="1" x14ac:dyDescent="0.35">
      <c r="A650" s="38">
        <v>43490.927777777775</v>
      </c>
      <c r="B650" s="39">
        <v>141865</v>
      </c>
      <c r="C650" s="36" t="s">
        <v>112</v>
      </c>
      <c r="D650" s="17">
        <v>3550000000000</v>
      </c>
      <c r="E650" s="16" t="s">
        <v>130</v>
      </c>
      <c r="F650" s="17">
        <v>2</v>
      </c>
      <c r="G650" s="18">
        <v>11.99</v>
      </c>
      <c r="H650" s="17">
        <v>5.9950000000000001</v>
      </c>
      <c r="I650" s="18">
        <v>23.98</v>
      </c>
      <c r="J650" s="18">
        <v>11.99</v>
      </c>
      <c r="K650" s="37" t="str">
        <f t="shared" si="12"/>
        <v>Inexpensive</v>
      </c>
      <c r="L650" s="37"/>
      <c r="N650" s="37"/>
      <c r="O650" s="37"/>
      <c r="P650" s="37"/>
      <c r="Q650" s="37"/>
      <c r="R650" s="37"/>
      <c r="S650" s="37"/>
      <c r="T650" s="37"/>
      <c r="V650"/>
      <c r="X650"/>
    </row>
    <row r="651" spans="1:24" ht="15" customHeight="1" thickBot="1" x14ac:dyDescent="0.35">
      <c r="A651" s="38">
        <v>43492.581250000003</v>
      </c>
      <c r="B651" s="39">
        <v>141866</v>
      </c>
      <c r="C651" s="36" t="s">
        <v>117</v>
      </c>
      <c r="D651" s="17">
        <v>1430000000000</v>
      </c>
      <c r="E651" s="16" t="s">
        <v>132</v>
      </c>
      <c r="F651" s="17">
        <v>1</v>
      </c>
      <c r="G651" s="18">
        <v>99.99</v>
      </c>
      <c r="H651" s="17">
        <v>49.994999999999997</v>
      </c>
      <c r="I651" s="18">
        <v>99.99</v>
      </c>
      <c r="J651" s="18">
        <v>49.994999999999997</v>
      </c>
      <c r="K651" s="37" t="str">
        <f t="shared" si="12"/>
        <v>Inexpensive</v>
      </c>
      <c r="L651" s="37"/>
      <c r="N651" s="37"/>
      <c r="O651" s="37"/>
      <c r="P651" s="37"/>
      <c r="Q651" s="37"/>
      <c r="R651" s="37"/>
      <c r="S651" s="37"/>
      <c r="T651" s="37"/>
      <c r="V651"/>
      <c r="X651"/>
    </row>
    <row r="652" spans="1:24" ht="15" customHeight="1" thickBot="1" x14ac:dyDescent="0.35">
      <c r="A652" s="38">
        <v>43494.581944444442</v>
      </c>
      <c r="B652" s="39">
        <v>141867</v>
      </c>
      <c r="C652" s="36" t="s">
        <v>118</v>
      </c>
      <c r="D652" s="17">
        <v>6510000000000</v>
      </c>
      <c r="E652" s="16" t="s">
        <v>131</v>
      </c>
      <c r="F652" s="17">
        <v>1</v>
      </c>
      <c r="G652" s="18">
        <v>150</v>
      </c>
      <c r="H652" s="17">
        <v>97.5</v>
      </c>
      <c r="I652" s="18">
        <v>150</v>
      </c>
      <c r="J652" s="18">
        <v>52.5</v>
      </c>
      <c r="K652" s="37" t="str">
        <f t="shared" si="12"/>
        <v>Inexpensive</v>
      </c>
      <c r="L652" s="37"/>
      <c r="N652" s="37"/>
      <c r="O652" s="37"/>
      <c r="P652" s="37"/>
      <c r="Q652" s="37"/>
      <c r="R652" s="37"/>
      <c r="S652" s="37"/>
      <c r="T652" s="37"/>
      <c r="V652"/>
      <c r="X652"/>
    </row>
    <row r="653" spans="1:24" ht="15" customHeight="1" thickBot="1" x14ac:dyDescent="0.35">
      <c r="A653" s="38">
        <v>43496.87222222222</v>
      </c>
      <c r="B653" s="39">
        <v>141868</v>
      </c>
      <c r="C653" s="36" t="s">
        <v>112</v>
      </c>
      <c r="D653" s="17">
        <v>8800000000000</v>
      </c>
      <c r="E653" s="16" t="s">
        <v>132</v>
      </c>
      <c r="F653" s="17">
        <v>1</v>
      </c>
      <c r="G653" s="18">
        <v>11.99</v>
      </c>
      <c r="H653" s="17">
        <v>5.9950000000000001</v>
      </c>
      <c r="I653" s="18">
        <v>11.99</v>
      </c>
      <c r="J653" s="18">
        <v>5.9950000000000001</v>
      </c>
      <c r="K653" s="37" t="str">
        <f t="shared" si="12"/>
        <v>Inexpensive</v>
      </c>
      <c r="L653" s="37"/>
      <c r="N653" s="37"/>
      <c r="O653" s="37"/>
      <c r="P653" s="37"/>
      <c r="Q653" s="37"/>
      <c r="R653" s="37"/>
      <c r="S653" s="37"/>
      <c r="T653" s="37"/>
      <c r="V653"/>
      <c r="X653"/>
    </row>
    <row r="654" spans="1:24" ht="15" customHeight="1" thickBot="1" x14ac:dyDescent="0.35">
      <c r="A654" s="38">
        <v>43490.467361111114</v>
      </c>
      <c r="B654" s="39">
        <v>141869</v>
      </c>
      <c r="C654" s="36" t="s">
        <v>124</v>
      </c>
      <c r="D654" s="17">
        <v>3240000000000</v>
      </c>
      <c r="E654" s="16" t="s">
        <v>132</v>
      </c>
      <c r="F654" s="17">
        <v>1</v>
      </c>
      <c r="G654" s="18">
        <v>109.99</v>
      </c>
      <c r="H654" s="17">
        <v>71.493499999999997</v>
      </c>
      <c r="I654" s="18">
        <v>109.99</v>
      </c>
      <c r="J654" s="18">
        <v>38.496499999999997</v>
      </c>
      <c r="K654" s="37" t="str">
        <f t="shared" si="12"/>
        <v>Inexpensive</v>
      </c>
      <c r="L654" s="37"/>
      <c r="N654" s="37"/>
      <c r="O654" s="37"/>
      <c r="P654" s="37"/>
      <c r="Q654" s="37"/>
      <c r="R654" s="37"/>
      <c r="S654" s="37"/>
      <c r="T654" s="37"/>
      <c r="V654"/>
      <c r="X654"/>
    </row>
    <row r="655" spans="1:24" ht="15" customHeight="1" thickBot="1" x14ac:dyDescent="0.35">
      <c r="A655" s="38">
        <v>43490.932638888888</v>
      </c>
      <c r="B655" s="39">
        <v>141870</v>
      </c>
      <c r="C655" s="36" t="s">
        <v>122</v>
      </c>
      <c r="D655" s="17">
        <v>3720000000000</v>
      </c>
      <c r="E655" s="16" t="s">
        <v>131</v>
      </c>
      <c r="F655" s="17">
        <v>2</v>
      </c>
      <c r="G655" s="18">
        <v>3.84</v>
      </c>
      <c r="H655" s="17">
        <v>1.92</v>
      </c>
      <c r="I655" s="18">
        <v>7.68</v>
      </c>
      <c r="J655" s="18">
        <v>3.84</v>
      </c>
      <c r="K655" s="37" t="str">
        <f t="shared" si="12"/>
        <v>Inexpensive</v>
      </c>
      <c r="L655" s="37"/>
      <c r="N655" s="37"/>
      <c r="O655" s="37"/>
      <c r="P655" s="37"/>
      <c r="Q655" s="37"/>
      <c r="R655" s="37"/>
      <c r="S655" s="37"/>
      <c r="T655" s="37"/>
      <c r="V655"/>
      <c r="X655"/>
    </row>
    <row r="656" spans="1:24" ht="15" customHeight="1" thickBot="1" x14ac:dyDescent="0.35">
      <c r="A656" s="38">
        <v>43470.269444444442</v>
      </c>
      <c r="B656" s="39">
        <v>141871</v>
      </c>
      <c r="C656" s="36" t="s">
        <v>111</v>
      </c>
      <c r="D656" s="17">
        <v>1660000000000</v>
      </c>
      <c r="E656" s="16" t="s">
        <v>130</v>
      </c>
      <c r="F656" s="17">
        <v>1</v>
      </c>
      <c r="G656" s="18">
        <v>14.95</v>
      </c>
      <c r="H656" s="17">
        <v>7.4749999999999996</v>
      </c>
      <c r="I656" s="18">
        <v>14.95</v>
      </c>
      <c r="J656" s="18">
        <v>7.4749999999999996</v>
      </c>
      <c r="K656" s="37" t="str">
        <f t="shared" si="12"/>
        <v>Inexpensive</v>
      </c>
      <c r="L656" s="37"/>
      <c r="N656" s="37"/>
      <c r="O656" s="37"/>
      <c r="P656" s="37"/>
      <c r="Q656" s="37"/>
      <c r="R656" s="37"/>
      <c r="S656" s="37"/>
      <c r="T656" s="37"/>
      <c r="V656"/>
      <c r="X656"/>
    </row>
    <row r="657" spans="1:24" ht="15" customHeight="1" thickBot="1" x14ac:dyDescent="0.35">
      <c r="A657" s="38">
        <v>43484.531944444447</v>
      </c>
      <c r="B657" s="39">
        <v>141872</v>
      </c>
      <c r="C657" s="36" t="s">
        <v>125</v>
      </c>
      <c r="D657" s="17">
        <v>5400000000000</v>
      </c>
      <c r="E657" s="16" t="s">
        <v>132</v>
      </c>
      <c r="F657" s="17">
        <v>1</v>
      </c>
      <c r="G657" s="18">
        <v>379.99</v>
      </c>
      <c r="H657" s="17">
        <v>125.3967</v>
      </c>
      <c r="I657" s="18">
        <v>379.99</v>
      </c>
      <c r="J657" s="18">
        <v>254.5933</v>
      </c>
      <c r="K657" s="37" t="str">
        <f t="shared" si="12"/>
        <v>Inexpensive</v>
      </c>
      <c r="L657" s="37"/>
      <c r="N657" s="37"/>
      <c r="O657" s="37"/>
      <c r="P657" s="37"/>
      <c r="Q657" s="37"/>
      <c r="R657" s="37"/>
      <c r="S657" s="37"/>
      <c r="T657" s="37"/>
      <c r="V657"/>
      <c r="X657"/>
    </row>
    <row r="658" spans="1:24" ht="15" customHeight="1" thickBot="1" x14ac:dyDescent="0.35">
      <c r="A658" s="38">
        <v>43484.800000000003</v>
      </c>
      <c r="B658" s="39">
        <v>141873</v>
      </c>
      <c r="C658" s="36" t="s">
        <v>125</v>
      </c>
      <c r="D658" s="17">
        <v>6830000000000</v>
      </c>
      <c r="E658" s="16" t="s">
        <v>131</v>
      </c>
      <c r="F658" s="17">
        <v>1</v>
      </c>
      <c r="G658" s="18">
        <v>379.99</v>
      </c>
      <c r="H658" s="17">
        <v>125.3967</v>
      </c>
      <c r="I658" s="18">
        <v>379.99</v>
      </c>
      <c r="J658" s="18">
        <v>254.5933</v>
      </c>
      <c r="K658" s="37" t="str">
        <f t="shared" si="12"/>
        <v>Inexpensive</v>
      </c>
      <c r="L658" s="37"/>
      <c r="N658" s="37"/>
      <c r="O658" s="37"/>
      <c r="P658" s="37"/>
      <c r="Q658" s="37"/>
      <c r="R658" s="37"/>
      <c r="S658" s="37"/>
      <c r="T658" s="37"/>
      <c r="V658"/>
      <c r="X658"/>
    </row>
    <row r="659" spans="1:24" ht="15" customHeight="1" thickBot="1" x14ac:dyDescent="0.35">
      <c r="A659" s="38">
        <v>43494.836111111108</v>
      </c>
      <c r="B659" s="39">
        <v>141874</v>
      </c>
      <c r="C659" s="36" t="s">
        <v>111</v>
      </c>
      <c r="D659" s="17">
        <v>6940000000000</v>
      </c>
      <c r="E659" s="16" t="s">
        <v>132</v>
      </c>
      <c r="F659" s="17">
        <v>1</v>
      </c>
      <c r="G659" s="18">
        <v>14.95</v>
      </c>
      <c r="H659" s="17">
        <v>7.4749999999999996</v>
      </c>
      <c r="I659" s="18">
        <v>14.95</v>
      </c>
      <c r="J659" s="18">
        <v>7.4749999999999996</v>
      </c>
      <c r="K659" s="37" t="str">
        <f t="shared" si="12"/>
        <v>Inexpensive</v>
      </c>
      <c r="L659" s="37"/>
      <c r="N659" s="37"/>
      <c r="O659" s="37"/>
      <c r="P659" s="37"/>
      <c r="Q659" s="37"/>
      <c r="R659" s="37"/>
      <c r="S659" s="37"/>
      <c r="T659" s="37"/>
      <c r="V659"/>
      <c r="X659"/>
    </row>
    <row r="660" spans="1:24" ht="15" customHeight="1" thickBot="1" x14ac:dyDescent="0.35">
      <c r="A660" s="38">
        <v>43491.583333333336</v>
      </c>
      <c r="B660" s="39">
        <v>141875</v>
      </c>
      <c r="C660" s="36" t="s">
        <v>122</v>
      </c>
      <c r="D660" s="17">
        <v>8050000000000</v>
      </c>
      <c r="E660" s="16" t="s">
        <v>130</v>
      </c>
      <c r="F660" s="17">
        <v>1</v>
      </c>
      <c r="G660" s="18">
        <v>3.84</v>
      </c>
      <c r="H660" s="17">
        <v>1.92</v>
      </c>
      <c r="I660" s="18">
        <v>3.84</v>
      </c>
      <c r="J660" s="18">
        <v>1.92</v>
      </c>
      <c r="K660" s="37" t="str">
        <f t="shared" si="12"/>
        <v>Inexpensive</v>
      </c>
      <c r="L660" s="37"/>
      <c r="N660" s="37"/>
      <c r="O660" s="37"/>
      <c r="P660" s="37"/>
      <c r="Q660" s="37"/>
      <c r="R660" s="37"/>
      <c r="S660" s="37"/>
      <c r="T660" s="37"/>
      <c r="V660"/>
      <c r="X660"/>
    </row>
    <row r="661" spans="1:24" ht="15" customHeight="1" thickBot="1" x14ac:dyDescent="0.35">
      <c r="A661" s="38">
        <v>43478.469444444447</v>
      </c>
      <c r="B661" s="39">
        <v>141876</v>
      </c>
      <c r="C661" s="36" t="s">
        <v>118</v>
      </c>
      <c r="D661" s="17">
        <v>8730000000000</v>
      </c>
      <c r="E661" s="16" t="s">
        <v>130</v>
      </c>
      <c r="F661" s="17">
        <v>1</v>
      </c>
      <c r="G661" s="18">
        <v>150</v>
      </c>
      <c r="H661" s="17">
        <v>97.5</v>
      </c>
      <c r="I661" s="18">
        <v>150</v>
      </c>
      <c r="J661" s="18">
        <v>52.5</v>
      </c>
      <c r="K661" s="37" t="str">
        <f t="shared" si="12"/>
        <v>Inexpensive</v>
      </c>
      <c r="L661" s="37"/>
      <c r="N661" s="37"/>
      <c r="O661" s="37"/>
      <c r="P661" s="37"/>
      <c r="Q661" s="37"/>
      <c r="R661" s="37"/>
      <c r="S661" s="37"/>
      <c r="T661" s="37"/>
      <c r="V661"/>
      <c r="X661"/>
    </row>
    <row r="662" spans="1:24" ht="15" customHeight="1" thickBot="1" x14ac:dyDescent="0.35">
      <c r="A662" s="38">
        <v>43466.65902777778</v>
      </c>
      <c r="B662" s="39">
        <v>141877</v>
      </c>
      <c r="C662" s="36" t="s">
        <v>116</v>
      </c>
      <c r="D662" s="17">
        <v>4280000000000</v>
      </c>
      <c r="E662" s="16" t="s">
        <v>132</v>
      </c>
      <c r="F662" s="17">
        <v>1</v>
      </c>
      <c r="G662" s="18">
        <v>11.95</v>
      </c>
      <c r="H662" s="17">
        <v>5.9749999999999996</v>
      </c>
      <c r="I662" s="18">
        <v>11.95</v>
      </c>
      <c r="J662" s="18">
        <v>5.9749999999999996</v>
      </c>
      <c r="K662" s="37" t="str">
        <f t="shared" si="12"/>
        <v>Inexpensive</v>
      </c>
      <c r="L662" s="37"/>
      <c r="N662" s="37"/>
      <c r="O662" s="37"/>
      <c r="P662" s="37"/>
      <c r="Q662" s="37"/>
      <c r="R662" s="37"/>
      <c r="S662" s="37"/>
      <c r="T662" s="37"/>
      <c r="V662"/>
      <c r="X662"/>
    </row>
    <row r="663" spans="1:24" ht="15" customHeight="1" thickBot="1" x14ac:dyDescent="0.35">
      <c r="A663" s="38">
        <v>43482.67083333333</v>
      </c>
      <c r="B663" s="39">
        <v>141878</v>
      </c>
      <c r="C663" s="36" t="s">
        <v>118</v>
      </c>
      <c r="D663" s="17">
        <v>4390000000000</v>
      </c>
      <c r="E663" s="16" t="s">
        <v>132</v>
      </c>
      <c r="F663" s="17">
        <v>1</v>
      </c>
      <c r="G663" s="18">
        <v>150</v>
      </c>
      <c r="H663" s="17">
        <v>97.5</v>
      </c>
      <c r="I663" s="18">
        <v>150</v>
      </c>
      <c r="J663" s="18">
        <v>52.5</v>
      </c>
      <c r="K663" s="37" t="str">
        <f t="shared" si="12"/>
        <v>Inexpensive</v>
      </c>
      <c r="L663" s="37"/>
      <c r="N663" s="37"/>
      <c r="O663" s="37"/>
      <c r="P663" s="37"/>
      <c r="Q663" s="37"/>
      <c r="R663" s="37"/>
      <c r="S663" s="37"/>
      <c r="T663" s="37"/>
      <c r="V663"/>
      <c r="X663"/>
    </row>
    <row r="664" spans="1:24" ht="15" customHeight="1" thickBot="1" x14ac:dyDescent="0.35">
      <c r="A664" s="38">
        <v>43485.835416666669</v>
      </c>
      <c r="B664" s="39">
        <v>141879</v>
      </c>
      <c r="C664" s="36" t="s">
        <v>122</v>
      </c>
      <c r="D664" s="17">
        <v>8780000000000</v>
      </c>
      <c r="E664" s="16" t="s">
        <v>132</v>
      </c>
      <c r="F664" s="17">
        <v>1</v>
      </c>
      <c r="G664" s="18">
        <v>3.84</v>
      </c>
      <c r="H664" s="17">
        <v>1.92</v>
      </c>
      <c r="I664" s="18">
        <v>3.84</v>
      </c>
      <c r="J664" s="18">
        <v>1.92</v>
      </c>
      <c r="K664" s="37" t="str">
        <f t="shared" si="12"/>
        <v>Inexpensive</v>
      </c>
      <c r="L664" s="37"/>
      <c r="N664" s="37"/>
      <c r="O664" s="37"/>
      <c r="P664" s="37"/>
      <c r="Q664" s="37"/>
      <c r="R664" s="37"/>
      <c r="S664" s="37"/>
      <c r="T664" s="37"/>
      <c r="V664"/>
      <c r="X664"/>
    </row>
    <row r="665" spans="1:24" ht="15" customHeight="1" thickBot="1" x14ac:dyDescent="0.35">
      <c r="A665" s="38">
        <v>43496.056250000001</v>
      </c>
      <c r="B665" s="39">
        <v>141880</v>
      </c>
      <c r="C665" s="36" t="s">
        <v>114</v>
      </c>
      <c r="D665" s="17">
        <v>2950000000000</v>
      </c>
      <c r="E665" s="16" t="s">
        <v>130</v>
      </c>
      <c r="F665" s="17">
        <v>2</v>
      </c>
      <c r="G665" s="18">
        <v>2.99</v>
      </c>
      <c r="H665" s="17">
        <v>1.4950000000000001</v>
      </c>
      <c r="I665" s="18">
        <v>5.98</v>
      </c>
      <c r="J665" s="18">
        <v>2.99</v>
      </c>
      <c r="K665" s="37" t="str">
        <f t="shared" si="12"/>
        <v>Inexpensive</v>
      </c>
      <c r="L665" s="37"/>
      <c r="N665" s="37"/>
      <c r="O665" s="37"/>
      <c r="P665" s="37"/>
      <c r="Q665" s="37"/>
      <c r="R665" s="37"/>
      <c r="S665" s="37"/>
      <c r="T665" s="37"/>
      <c r="V665"/>
      <c r="X665"/>
    </row>
    <row r="666" spans="1:24" ht="15" customHeight="1" thickBot="1" x14ac:dyDescent="0.35">
      <c r="A666" s="38">
        <v>43484.691666666666</v>
      </c>
      <c r="B666" s="39">
        <v>141881</v>
      </c>
      <c r="C666" s="36" t="s">
        <v>114</v>
      </c>
      <c r="D666" s="17">
        <v>5810000000000</v>
      </c>
      <c r="E666" s="16" t="s">
        <v>132</v>
      </c>
      <c r="F666" s="17">
        <v>7</v>
      </c>
      <c r="G666" s="18">
        <v>2.99</v>
      </c>
      <c r="H666" s="17">
        <v>1.4950000000000001</v>
      </c>
      <c r="I666" s="18">
        <v>20.93</v>
      </c>
      <c r="J666" s="18">
        <v>10.465</v>
      </c>
      <c r="K666" s="37" t="str">
        <f t="shared" si="12"/>
        <v>Inexpensive</v>
      </c>
      <c r="L666" s="37"/>
      <c r="N666" s="37"/>
      <c r="O666" s="37"/>
      <c r="P666" s="37"/>
      <c r="Q666" s="37"/>
      <c r="R666" s="37"/>
      <c r="S666" s="37"/>
      <c r="T666" s="37"/>
      <c r="V666"/>
      <c r="X666"/>
    </row>
    <row r="667" spans="1:24" ht="15" customHeight="1" thickBot="1" x14ac:dyDescent="0.35">
      <c r="A667" s="38">
        <v>43473.922222222223</v>
      </c>
      <c r="B667" s="39">
        <v>141882</v>
      </c>
      <c r="C667" s="36" t="s">
        <v>122</v>
      </c>
      <c r="D667" s="17">
        <v>9080000000000</v>
      </c>
      <c r="E667" s="16" t="s">
        <v>131</v>
      </c>
      <c r="F667" s="17">
        <v>1</v>
      </c>
      <c r="G667" s="18">
        <v>3.84</v>
      </c>
      <c r="H667" s="17">
        <v>1.92</v>
      </c>
      <c r="I667" s="18">
        <v>3.84</v>
      </c>
      <c r="J667" s="18">
        <v>1.92</v>
      </c>
      <c r="K667" s="37" t="str">
        <f t="shared" si="12"/>
        <v>Inexpensive</v>
      </c>
      <c r="L667" s="37"/>
      <c r="N667" s="37"/>
      <c r="O667" s="37"/>
      <c r="P667" s="37"/>
      <c r="Q667" s="37"/>
      <c r="R667" s="37"/>
      <c r="S667" s="37"/>
      <c r="T667" s="37"/>
      <c r="V667"/>
      <c r="X667"/>
    </row>
    <row r="668" spans="1:24" ht="15" customHeight="1" thickBot="1" x14ac:dyDescent="0.35">
      <c r="A668" s="38">
        <v>43480.904166666667</v>
      </c>
      <c r="B668" s="39">
        <v>141883</v>
      </c>
      <c r="C668" s="36" t="s">
        <v>122</v>
      </c>
      <c r="D668" s="17">
        <v>4850000000000</v>
      </c>
      <c r="E668" s="16" t="s">
        <v>130</v>
      </c>
      <c r="F668" s="17">
        <v>1</v>
      </c>
      <c r="G668" s="18">
        <v>3.84</v>
      </c>
      <c r="H668" s="17">
        <v>1.92</v>
      </c>
      <c r="I668" s="18">
        <v>3.84</v>
      </c>
      <c r="J668" s="18">
        <v>1.92</v>
      </c>
      <c r="K668" s="37" t="str">
        <f t="shared" si="12"/>
        <v>Inexpensive</v>
      </c>
      <c r="L668" s="37"/>
      <c r="N668" s="37"/>
      <c r="O668" s="37"/>
      <c r="P668" s="37"/>
      <c r="Q668" s="37"/>
      <c r="R668" s="37"/>
      <c r="S668" s="37"/>
      <c r="T668" s="37"/>
      <c r="V668"/>
      <c r="X668"/>
    </row>
    <row r="669" spans="1:24" ht="15" customHeight="1" thickBot="1" x14ac:dyDescent="0.35">
      <c r="A669" s="38">
        <v>43473.429166666669</v>
      </c>
      <c r="B669" s="39">
        <v>141884</v>
      </c>
      <c r="C669" s="36" t="s">
        <v>123</v>
      </c>
      <c r="D669" s="17">
        <v>9420000000000</v>
      </c>
      <c r="E669" s="16" t="s">
        <v>131</v>
      </c>
      <c r="F669" s="17">
        <v>1</v>
      </c>
      <c r="G669" s="18">
        <v>600</v>
      </c>
      <c r="H669" s="17">
        <v>198</v>
      </c>
      <c r="I669" s="18">
        <v>600</v>
      </c>
      <c r="J669" s="18">
        <v>402</v>
      </c>
      <c r="K669" s="37" t="str">
        <f t="shared" si="12"/>
        <v>Inexpensive</v>
      </c>
      <c r="L669" s="37"/>
      <c r="N669" s="37"/>
      <c r="O669" s="37"/>
      <c r="P669" s="37"/>
      <c r="Q669" s="37"/>
      <c r="R669" s="37"/>
      <c r="S669" s="37"/>
      <c r="T669" s="37"/>
      <c r="V669"/>
      <c r="X669"/>
    </row>
    <row r="670" spans="1:24" ht="15" customHeight="1" thickBot="1" x14ac:dyDescent="0.35">
      <c r="A670" s="38">
        <v>43467.554166666669</v>
      </c>
      <c r="B670" s="39">
        <v>141885</v>
      </c>
      <c r="C670" s="36" t="s">
        <v>112</v>
      </c>
      <c r="D670" s="17">
        <v>4710000000000</v>
      </c>
      <c r="E670" s="16" t="s">
        <v>131</v>
      </c>
      <c r="F670" s="17">
        <v>1</v>
      </c>
      <c r="G670" s="18">
        <v>11.99</v>
      </c>
      <c r="H670" s="17">
        <v>5.9950000000000001</v>
      </c>
      <c r="I670" s="18">
        <v>11.99</v>
      </c>
      <c r="J670" s="18">
        <v>5.9950000000000001</v>
      </c>
      <c r="K670" s="37" t="str">
        <f t="shared" si="12"/>
        <v>Inexpensive</v>
      </c>
      <c r="L670" s="37"/>
      <c r="N670" s="37"/>
      <c r="O670" s="37"/>
      <c r="P670" s="37"/>
      <c r="Q670" s="37"/>
      <c r="R670" s="37"/>
      <c r="S670" s="37"/>
      <c r="T670" s="37"/>
      <c r="V670"/>
      <c r="X670"/>
    </row>
    <row r="671" spans="1:24" ht="15" customHeight="1" thickBot="1" x14ac:dyDescent="0.35">
      <c r="A671" s="38">
        <v>43475.275694444441</v>
      </c>
      <c r="B671" s="39">
        <v>141886</v>
      </c>
      <c r="C671" s="36" t="s">
        <v>110</v>
      </c>
      <c r="D671" s="17">
        <v>5930000000000</v>
      </c>
      <c r="E671" s="16" t="s">
        <v>132</v>
      </c>
      <c r="F671" s="17">
        <v>1</v>
      </c>
      <c r="G671" s="18">
        <v>700</v>
      </c>
      <c r="H671" s="17">
        <v>231</v>
      </c>
      <c r="I671" s="18">
        <v>700</v>
      </c>
      <c r="J671" s="18">
        <v>469</v>
      </c>
      <c r="K671" s="37" t="str">
        <f t="shared" si="12"/>
        <v>Expensive</v>
      </c>
      <c r="L671" s="37"/>
      <c r="N671" s="37"/>
      <c r="O671" s="37"/>
      <c r="P671" s="37"/>
      <c r="Q671" s="37"/>
      <c r="R671" s="37"/>
      <c r="S671" s="37"/>
      <c r="T671" s="37"/>
      <c r="V671"/>
      <c r="X671"/>
    </row>
    <row r="672" spans="1:24" ht="15" customHeight="1" thickBot="1" x14ac:dyDescent="0.35">
      <c r="A672" s="38">
        <v>43478.570138888892</v>
      </c>
      <c r="B672" s="39">
        <v>141887</v>
      </c>
      <c r="C672" s="36" t="s">
        <v>114</v>
      </c>
      <c r="D672" s="17">
        <v>8850000000000</v>
      </c>
      <c r="E672" s="16" t="s">
        <v>131</v>
      </c>
      <c r="F672" s="17">
        <v>2</v>
      </c>
      <c r="G672" s="18">
        <v>2.99</v>
      </c>
      <c r="H672" s="17">
        <v>1.4950000000000001</v>
      </c>
      <c r="I672" s="18">
        <v>5.98</v>
      </c>
      <c r="J672" s="18">
        <v>2.99</v>
      </c>
      <c r="K672" s="37" t="str">
        <f t="shared" si="12"/>
        <v>Inexpensive</v>
      </c>
      <c r="L672" s="37"/>
      <c r="N672" s="37"/>
      <c r="O672" s="37"/>
      <c r="P672" s="37"/>
      <c r="Q672" s="37"/>
      <c r="R672" s="37"/>
      <c r="S672" s="37"/>
      <c r="T672" s="37"/>
      <c r="V672"/>
      <c r="X672"/>
    </row>
    <row r="673" spans="1:24" ht="15" customHeight="1" thickBot="1" x14ac:dyDescent="0.35">
      <c r="A673" s="38">
        <v>43474.459027777775</v>
      </c>
      <c r="B673" s="39">
        <v>141888</v>
      </c>
      <c r="C673" s="36" t="s">
        <v>110</v>
      </c>
      <c r="D673" s="17">
        <v>3520000000000</v>
      </c>
      <c r="E673" s="16" t="s">
        <v>131</v>
      </c>
      <c r="F673" s="17">
        <v>1</v>
      </c>
      <c r="G673" s="18">
        <v>700</v>
      </c>
      <c r="H673" s="17">
        <v>231</v>
      </c>
      <c r="I673" s="18">
        <v>700</v>
      </c>
      <c r="J673" s="18">
        <v>469</v>
      </c>
      <c r="K673" s="37" t="str">
        <f t="shared" si="12"/>
        <v>Expensive</v>
      </c>
      <c r="L673" s="37"/>
      <c r="N673" s="37"/>
      <c r="O673" s="37"/>
      <c r="P673" s="37"/>
      <c r="Q673" s="37"/>
      <c r="R673" s="37"/>
      <c r="S673" s="37"/>
      <c r="T673" s="37"/>
      <c r="V673"/>
      <c r="X673"/>
    </row>
    <row r="674" spans="1:24" ht="15" customHeight="1" thickBot="1" x14ac:dyDescent="0.35">
      <c r="A674" s="38">
        <v>43477.543749999997</v>
      </c>
      <c r="B674" s="39">
        <v>141889</v>
      </c>
      <c r="C674" s="36" t="s">
        <v>125</v>
      </c>
      <c r="D674" s="17">
        <v>5240000000000</v>
      </c>
      <c r="E674" s="16" t="s">
        <v>130</v>
      </c>
      <c r="F674" s="17">
        <v>1</v>
      </c>
      <c r="G674" s="18">
        <v>379.99</v>
      </c>
      <c r="H674" s="17">
        <v>125.3967</v>
      </c>
      <c r="I674" s="18">
        <v>379.99</v>
      </c>
      <c r="J674" s="18">
        <v>254.5933</v>
      </c>
      <c r="K674" s="37" t="str">
        <f t="shared" si="12"/>
        <v>Inexpensive</v>
      </c>
      <c r="L674" s="37"/>
      <c r="N674" s="37"/>
      <c r="O674" s="37"/>
      <c r="P674" s="37"/>
      <c r="Q674" s="37"/>
      <c r="R674" s="37"/>
      <c r="S674" s="37"/>
      <c r="T674" s="37"/>
      <c r="V674"/>
      <c r="X674"/>
    </row>
    <row r="675" spans="1:24" ht="15" customHeight="1" thickBot="1" x14ac:dyDescent="0.35">
      <c r="A675" s="38">
        <v>43486.336805555555</v>
      </c>
      <c r="B675" s="39">
        <v>141890</v>
      </c>
      <c r="C675" s="36" t="s">
        <v>111</v>
      </c>
      <c r="D675" s="17">
        <v>6210000000000</v>
      </c>
      <c r="E675" s="16" t="s">
        <v>131</v>
      </c>
      <c r="F675" s="17">
        <v>1</v>
      </c>
      <c r="G675" s="18">
        <v>14.95</v>
      </c>
      <c r="H675" s="17">
        <v>7.4749999999999996</v>
      </c>
      <c r="I675" s="18">
        <v>14.95</v>
      </c>
      <c r="J675" s="18">
        <v>7.4749999999999996</v>
      </c>
      <c r="K675" s="37" t="str">
        <f t="shared" si="12"/>
        <v>Inexpensive</v>
      </c>
      <c r="L675" s="37"/>
      <c r="N675" s="37"/>
      <c r="O675" s="37"/>
      <c r="P675" s="37"/>
      <c r="Q675" s="37"/>
      <c r="R675" s="37"/>
      <c r="S675" s="37"/>
      <c r="T675" s="37"/>
      <c r="V675"/>
      <c r="X675"/>
    </row>
    <row r="676" spans="1:24" ht="15" customHeight="1" thickBot="1" x14ac:dyDescent="0.35">
      <c r="A676" s="38">
        <v>43496.926388888889</v>
      </c>
      <c r="B676" s="39">
        <v>141891</v>
      </c>
      <c r="C676" s="36" t="s">
        <v>116</v>
      </c>
      <c r="D676" s="17">
        <v>7910000000000</v>
      </c>
      <c r="E676" s="16" t="s">
        <v>131</v>
      </c>
      <c r="F676" s="17">
        <v>1</v>
      </c>
      <c r="G676" s="18">
        <v>11.95</v>
      </c>
      <c r="H676" s="17">
        <v>5.9749999999999996</v>
      </c>
      <c r="I676" s="18">
        <v>11.95</v>
      </c>
      <c r="J676" s="18">
        <v>5.9749999999999996</v>
      </c>
      <c r="K676" s="37" t="str">
        <f t="shared" si="12"/>
        <v>Inexpensive</v>
      </c>
      <c r="L676" s="37"/>
      <c r="N676" s="37"/>
      <c r="O676" s="37"/>
      <c r="P676" s="37"/>
      <c r="Q676" s="37"/>
      <c r="R676" s="37"/>
      <c r="S676" s="37"/>
      <c r="T676" s="37"/>
      <c r="V676"/>
      <c r="X676"/>
    </row>
    <row r="677" spans="1:24" ht="15" customHeight="1" thickBot="1" x14ac:dyDescent="0.35">
      <c r="A677" s="38">
        <v>43471.421527777777</v>
      </c>
      <c r="B677" s="39">
        <v>141892</v>
      </c>
      <c r="C677" s="36" t="s">
        <v>122</v>
      </c>
      <c r="D677" s="17">
        <v>9010000000000</v>
      </c>
      <c r="E677" s="16" t="s">
        <v>132</v>
      </c>
      <c r="F677" s="17">
        <v>2</v>
      </c>
      <c r="G677" s="18">
        <v>3.84</v>
      </c>
      <c r="H677" s="17">
        <v>1.92</v>
      </c>
      <c r="I677" s="18">
        <v>7.68</v>
      </c>
      <c r="J677" s="18">
        <v>3.84</v>
      </c>
      <c r="K677" s="37" t="str">
        <f t="shared" si="12"/>
        <v>Inexpensive</v>
      </c>
      <c r="L677" s="37"/>
      <c r="N677" s="37"/>
      <c r="O677" s="37"/>
      <c r="P677" s="37"/>
      <c r="Q677" s="37"/>
      <c r="R677" s="37"/>
      <c r="S677" s="37"/>
      <c r="T677" s="37"/>
      <c r="V677"/>
      <c r="X677"/>
    </row>
    <row r="678" spans="1:24" ht="15" customHeight="1" thickBot="1" x14ac:dyDescent="0.35">
      <c r="A678" s="38">
        <v>43488.679861111108</v>
      </c>
      <c r="B678" s="39">
        <v>141893</v>
      </c>
      <c r="C678" s="36" t="s">
        <v>122</v>
      </c>
      <c r="D678" s="17">
        <v>5780000000000</v>
      </c>
      <c r="E678" s="16" t="s">
        <v>131</v>
      </c>
      <c r="F678" s="17">
        <v>1</v>
      </c>
      <c r="G678" s="18">
        <v>3.84</v>
      </c>
      <c r="H678" s="17">
        <v>1.92</v>
      </c>
      <c r="I678" s="18">
        <v>3.84</v>
      </c>
      <c r="J678" s="18">
        <v>1.92</v>
      </c>
      <c r="K678" s="37" t="str">
        <f t="shared" si="12"/>
        <v>Inexpensive</v>
      </c>
      <c r="L678" s="37"/>
      <c r="N678" s="37"/>
      <c r="O678" s="37"/>
      <c r="P678" s="37"/>
      <c r="Q678" s="37"/>
      <c r="R678" s="37"/>
      <c r="S678" s="37"/>
      <c r="T678" s="37"/>
      <c r="V678"/>
      <c r="X678"/>
    </row>
    <row r="679" spans="1:24" ht="15" customHeight="1" thickBot="1" x14ac:dyDescent="0.35">
      <c r="A679" s="38">
        <v>43477.597222222219</v>
      </c>
      <c r="B679" s="39">
        <v>141894</v>
      </c>
      <c r="C679" s="36" t="s">
        <v>118</v>
      </c>
      <c r="D679" s="17">
        <v>9870000000000</v>
      </c>
      <c r="E679" s="16" t="s">
        <v>131</v>
      </c>
      <c r="F679" s="17">
        <v>1</v>
      </c>
      <c r="G679" s="18">
        <v>150</v>
      </c>
      <c r="H679" s="17">
        <v>97.5</v>
      </c>
      <c r="I679" s="18">
        <v>150</v>
      </c>
      <c r="J679" s="18">
        <v>52.5</v>
      </c>
      <c r="K679" s="37" t="str">
        <f t="shared" si="12"/>
        <v>Inexpensive</v>
      </c>
      <c r="L679" s="37"/>
      <c r="N679" s="37"/>
      <c r="O679" s="37"/>
      <c r="P679" s="37"/>
      <c r="Q679" s="37"/>
      <c r="R679" s="37"/>
      <c r="S679" s="37"/>
      <c r="T679" s="37"/>
      <c r="V679"/>
      <c r="X679"/>
    </row>
    <row r="680" spans="1:24" ht="15" customHeight="1" thickBot="1" x14ac:dyDescent="0.35">
      <c r="A680" s="38">
        <v>43483.734027777777</v>
      </c>
      <c r="B680" s="39">
        <v>141895</v>
      </c>
      <c r="C680" s="36" t="s">
        <v>122</v>
      </c>
      <c r="D680" s="17">
        <v>1470000000000</v>
      </c>
      <c r="E680" s="16" t="s">
        <v>130</v>
      </c>
      <c r="F680" s="17">
        <v>3</v>
      </c>
      <c r="G680" s="18">
        <v>3.84</v>
      </c>
      <c r="H680" s="17">
        <v>1.92</v>
      </c>
      <c r="I680" s="18">
        <v>11.52</v>
      </c>
      <c r="J680" s="18">
        <v>5.76</v>
      </c>
      <c r="K680" s="37" t="str">
        <f t="shared" si="12"/>
        <v>Inexpensive</v>
      </c>
      <c r="L680" s="37"/>
      <c r="N680" s="37"/>
      <c r="O680" s="37"/>
      <c r="P680" s="37"/>
      <c r="Q680" s="37"/>
      <c r="R680" s="37"/>
      <c r="S680" s="37"/>
      <c r="T680" s="37"/>
      <c r="V680"/>
      <c r="X680"/>
    </row>
    <row r="681" spans="1:24" ht="15" customHeight="1" thickBot="1" x14ac:dyDescent="0.35">
      <c r="A681" s="38">
        <v>43485.901388888888</v>
      </c>
      <c r="B681" s="39">
        <v>141896</v>
      </c>
      <c r="C681" s="36" t="s">
        <v>122</v>
      </c>
      <c r="D681" s="17">
        <v>2100000000000</v>
      </c>
      <c r="E681" s="16" t="s">
        <v>132</v>
      </c>
      <c r="F681" s="17">
        <v>1</v>
      </c>
      <c r="G681" s="18">
        <v>3.84</v>
      </c>
      <c r="H681" s="17">
        <v>1.92</v>
      </c>
      <c r="I681" s="18">
        <v>3.84</v>
      </c>
      <c r="J681" s="18">
        <v>1.92</v>
      </c>
      <c r="K681" s="37" t="str">
        <f t="shared" si="12"/>
        <v>Inexpensive</v>
      </c>
      <c r="L681" s="37"/>
      <c r="N681" s="37"/>
      <c r="O681" s="37"/>
      <c r="P681" s="37"/>
      <c r="Q681" s="37"/>
      <c r="R681" s="37"/>
      <c r="S681" s="37"/>
      <c r="T681" s="37"/>
      <c r="V681"/>
      <c r="X681"/>
    </row>
    <row r="682" spans="1:24" ht="15" customHeight="1" thickBot="1" x14ac:dyDescent="0.35">
      <c r="A682" s="38">
        <v>43471.844444444447</v>
      </c>
      <c r="B682" s="39">
        <v>141897</v>
      </c>
      <c r="C682" s="36" t="s">
        <v>123</v>
      </c>
      <c r="D682" s="17">
        <v>3840000000000</v>
      </c>
      <c r="E682" s="16" t="s">
        <v>130</v>
      </c>
      <c r="F682" s="17">
        <v>1</v>
      </c>
      <c r="G682" s="18">
        <v>600</v>
      </c>
      <c r="H682" s="17">
        <v>198</v>
      </c>
      <c r="I682" s="18">
        <v>600</v>
      </c>
      <c r="J682" s="18">
        <v>402</v>
      </c>
      <c r="K682" s="37" t="str">
        <f t="shared" si="12"/>
        <v>Inexpensive</v>
      </c>
      <c r="L682" s="37"/>
      <c r="N682" s="37"/>
      <c r="O682" s="37"/>
      <c r="P682" s="37"/>
      <c r="Q682" s="37"/>
      <c r="R682" s="37"/>
      <c r="S682" s="37"/>
      <c r="T682" s="37"/>
      <c r="V682"/>
      <c r="X682"/>
    </row>
    <row r="683" spans="1:24" ht="15" customHeight="1" thickBot="1" x14ac:dyDescent="0.35">
      <c r="A683" s="38">
        <v>43480.553472222222</v>
      </c>
      <c r="B683" s="39">
        <v>141898</v>
      </c>
      <c r="C683" s="36" t="s">
        <v>120</v>
      </c>
      <c r="D683" s="17">
        <v>1440000000000</v>
      </c>
      <c r="E683" s="16" t="s">
        <v>132</v>
      </c>
      <c r="F683" s="17">
        <v>1</v>
      </c>
      <c r="G683" s="18">
        <v>300</v>
      </c>
      <c r="H683" s="17">
        <v>99</v>
      </c>
      <c r="I683" s="18">
        <v>300</v>
      </c>
      <c r="J683" s="18">
        <v>201</v>
      </c>
      <c r="K683" s="37" t="str">
        <f t="shared" si="12"/>
        <v>Inexpensive</v>
      </c>
      <c r="L683" s="37"/>
      <c r="N683" s="37"/>
      <c r="O683" s="37"/>
      <c r="P683" s="37"/>
      <c r="Q683" s="37"/>
      <c r="R683" s="37"/>
      <c r="S683" s="37"/>
      <c r="T683" s="37"/>
      <c r="V683"/>
      <c r="X683"/>
    </row>
    <row r="684" spans="1:24" ht="15" customHeight="1" thickBot="1" x14ac:dyDescent="0.35">
      <c r="A684" s="38">
        <v>43477.939583333333</v>
      </c>
      <c r="B684" s="39">
        <v>141899</v>
      </c>
      <c r="C684" s="36" t="s">
        <v>114</v>
      </c>
      <c r="D684" s="17">
        <v>3460000000000</v>
      </c>
      <c r="E684" s="16" t="s">
        <v>130</v>
      </c>
      <c r="F684" s="17">
        <v>2</v>
      </c>
      <c r="G684" s="18">
        <v>2.99</v>
      </c>
      <c r="H684" s="17">
        <v>1.4950000000000001</v>
      </c>
      <c r="I684" s="18">
        <v>5.98</v>
      </c>
      <c r="J684" s="18">
        <v>2.99</v>
      </c>
      <c r="K684" s="37" t="str">
        <f t="shared" si="12"/>
        <v>Inexpensive</v>
      </c>
      <c r="L684" s="37"/>
      <c r="N684" s="37"/>
      <c r="O684" s="37"/>
      <c r="P684" s="37"/>
      <c r="Q684" s="37"/>
      <c r="R684" s="37"/>
      <c r="S684" s="37"/>
      <c r="T684" s="37"/>
      <c r="V684"/>
      <c r="X684"/>
    </row>
    <row r="685" spans="1:24" ht="15" customHeight="1" thickBot="1" x14ac:dyDescent="0.35">
      <c r="A685" s="38">
        <v>43483.411805555559</v>
      </c>
      <c r="B685" s="40">
        <v>141900</v>
      </c>
      <c r="C685" s="36" t="s">
        <v>116</v>
      </c>
      <c r="D685" s="17">
        <v>2930000000000</v>
      </c>
      <c r="E685" s="16" t="s">
        <v>130</v>
      </c>
      <c r="F685" s="17">
        <v>1</v>
      </c>
      <c r="G685" s="18">
        <v>11.95</v>
      </c>
      <c r="H685" s="17">
        <v>5.9749999999999996</v>
      </c>
      <c r="I685" s="18">
        <v>11.95</v>
      </c>
      <c r="J685" s="18">
        <v>5.9749999999999996</v>
      </c>
      <c r="K685" s="37" t="str">
        <f t="shared" si="12"/>
        <v>Inexpensive</v>
      </c>
      <c r="L685" s="37"/>
      <c r="N685" s="37"/>
      <c r="O685" s="37"/>
      <c r="P685" s="37"/>
      <c r="Q685" s="37"/>
      <c r="R685" s="37"/>
      <c r="S685" s="37"/>
      <c r="T685" s="37"/>
      <c r="V685"/>
      <c r="X685"/>
    </row>
    <row r="686" spans="1:24" ht="15" customHeight="1" thickBot="1" x14ac:dyDescent="0.35">
      <c r="A686" s="38">
        <v>43483.411805555559</v>
      </c>
      <c r="B686" s="40">
        <v>141900</v>
      </c>
      <c r="C686" s="36" t="s">
        <v>121</v>
      </c>
      <c r="D686" s="17">
        <v>3780000000000</v>
      </c>
      <c r="E686" s="16" t="s">
        <v>130</v>
      </c>
      <c r="F686" s="17">
        <v>1</v>
      </c>
      <c r="G686" s="18">
        <v>400</v>
      </c>
      <c r="H686" s="17">
        <v>132</v>
      </c>
      <c r="I686" s="18">
        <v>400</v>
      </c>
      <c r="J686" s="18">
        <v>268</v>
      </c>
      <c r="K686" s="37" t="str">
        <f t="shared" si="12"/>
        <v>Inexpensive</v>
      </c>
      <c r="L686" s="37"/>
      <c r="N686" s="37"/>
      <c r="O686" s="37"/>
      <c r="P686" s="37"/>
      <c r="Q686" s="37"/>
      <c r="R686" s="37"/>
      <c r="S686" s="37"/>
      <c r="T686" s="37"/>
      <c r="V686"/>
      <c r="X686"/>
    </row>
    <row r="687" spans="1:24" ht="15" customHeight="1" thickBot="1" x14ac:dyDescent="0.35">
      <c r="A687" s="38">
        <v>43483.411805555559</v>
      </c>
      <c r="B687" s="40">
        <v>141900</v>
      </c>
      <c r="C687" s="36" t="s">
        <v>112</v>
      </c>
      <c r="D687" s="17">
        <v>2940000000000</v>
      </c>
      <c r="E687" s="16" t="s">
        <v>130</v>
      </c>
      <c r="F687" s="17">
        <v>1</v>
      </c>
      <c r="G687" s="18">
        <v>11.99</v>
      </c>
      <c r="H687" s="17">
        <v>5.9950000000000001</v>
      </c>
      <c r="I687" s="18">
        <v>11.99</v>
      </c>
      <c r="J687" s="18">
        <v>5.9950000000000001</v>
      </c>
      <c r="K687" s="37" t="str">
        <f t="shared" si="12"/>
        <v>Inexpensive</v>
      </c>
      <c r="L687" s="37"/>
      <c r="N687" s="37"/>
      <c r="O687" s="37"/>
      <c r="P687" s="37"/>
      <c r="Q687" s="37"/>
      <c r="R687" s="37"/>
      <c r="S687" s="37"/>
      <c r="T687" s="37"/>
      <c r="V687"/>
      <c r="X687"/>
    </row>
    <row r="688" spans="1:24" ht="15" customHeight="1" thickBot="1" x14ac:dyDescent="0.35">
      <c r="A688" s="38">
        <v>43491.925000000003</v>
      </c>
      <c r="B688" s="40">
        <v>141901</v>
      </c>
      <c r="C688" s="36" t="s">
        <v>123</v>
      </c>
      <c r="D688" s="17">
        <v>9300000000000</v>
      </c>
      <c r="E688" s="16" t="s">
        <v>132</v>
      </c>
      <c r="F688" s="17">
        <v>1</v>
      </c>
      <c r="G688" s="18">
        <v>600</v>
      </c>
      <c r="H688" s="17">
        <v>198</v>
      </c>
      <c r="I688" s="18">
        <v>600</v>
      </c>
      <c r="J688" s="18">
        <v>402</v>
      </c>
      <c r="K688" s="37" t="str">
        <f t="shared" si="12"/>
        <v>Inexpensive</v>
      </c>
      <c r="L688" s="37"/>
      <c r="N688" s="37"/>
      <c r="O688" s="37"/>
      <c r="P688" s="37"/>
      <c r="Q688" s="37"/>
      <c r="R688" s="37"/>
      <c r="S688" s="37"/>
      <c r="T688" s="37"/>
      <c r="V688"/>
      <c r="X688"/>
    </row>
    <row r="689" spans="1:24" ht="15" customHeight="1" thickBot="1" x14ac:dyDescent="0.35">
      <c r="A689" s="38">
        <v>43491.925000000003</v>
      </c>
      <c r="B689" s="40">
        <v>141901</v>
      </c>
      <c r="C689" s="36" t="s">
        <v>116</v>
      </c>
      <c r="D689" s="17">
        <v>5180000000000</v>
      </c>
      <c r="E689" s="16" t="s">
        <v>132</v>
      </c>
      <c r="F689" s="17">
        <v>1</v>
      </c>
      <c r="G689" s="18">
        <v>11.95</v>
      </c>
      <c r="H689" s="17">
        <v>5.9749999999999996</v>
      </c>
      <c r="I689" s="18">
        <v>11.95</v>
      </c>
      <c r="J689" s="18">
        <v>5.9749999999999996</v>
      </c>
      <c r="K689" s="37" t="str">
        <f t="shared" si="12"/>
        <v>Inexpensive</v>
      </c>
      <c r="L689" s="37"/>
      <c r="N689" s="37"/>
      <c r="O689" s="37"/>
      <c r="P689" s="37"/>
      <c r="Q689" s="37"/>
      <c r="R689" s="37"/>
      <c r="S689" s="37"/>
      <c r="T689" s="37"/>
      <c r="V689"/>
      <c r="X689"/>
    </row>
    <row r="690" spans="1:24" ht="15" customHeight="1" thickBot="1" x14ac:dyDescent="0.35">
      <c r="A690" s="38">
        <v>43471.571527777778</v>
      </c>
      <c r="B690" s="39">
        <v>141902</v>
      </c>
      <c r="C690" s="36" t="s">
        <v>112</v>
      </c>
      <c r="D690" s="17">
        <v>8670000000000</v>
      </c>
      <c r="E690" s="16" t="s">
        <v>132</v>
      </c>
      <c r="F690" s="17">
        <v>1</v>
      </c>
      <c r="G690" s="18">
        <v>11.99</v>
      </c>
      <c r="H690" s="17">
        <v>5.9950000000000001</v>
      </c>
      <c r="I690" s="18">
        <v>11.99</v>
      </c>
      <c r="J690" s="18">
        <v>5.9950000000000001</v>
      </c>
      <c r="K690" s="37" t="str">
        <f t="shared" si="12"/>
        <v>Inexpensive</v>
      </c>
      <c r="L690" s="37"/>
      <c r="N690" s="37"/>
      <c r="O690" s="37"/>
      <c r="P690" s="37"/>
      <c r="Q690" s="37"/>
      <c r="R690" s="37"/>
      <c r="S690" s="37"/>
      <c r="T690" s="37"/>
      <c r="V690"/>
      <c r="X690"/>
    </row>
    <row r="691" spans="1:24" ht="15" customHeight="1" thickBot="1" x14ac:dyDescent="0.35">
      <c r="A691" s="38">
        <v>43495.834027777775</v>
      </c>
      <c r="B691" s="39">
        <v>141903</v>
      </c>
      <c r="C691" s="36" t="s">
        <v>126</v>
      </c>
      <c r="D691" s="17">
        <v>7880000000000</v>
      </c>
      <c r="E691" s="16" t="s">
        <v>131</v>
      </c>
      <c r="F691" s="17">
        <v>1</v>
      </c>
      <c r="G691" s="18">
        <v>999.99</v>
      </c>
      <c r="H691" s="17">
        <v>329.99669999999998</v>
      </c>
      <c r="I691" s="18">
        <v>999.99</v>
      </c>
      <c r="J691" s="18">
        <v>669.99329999999998</v>
      </c>
      <c r="K691" s="37" t="str">
        <f t="shared" si="12"/>
        <v>Expensive</v>
      </c>
      <c r="L691" s="37"/>
      <c r="N691" s="37"/>
      <c r="O691" s="37"/>
      <c r="P691" s="37"/>
      <c r="Q691" s="37"/>
      <c r="R691" s="37"/>
      <c r="S691" s="37"/>
      <c r="T691" s="37"/>
      <c r="V691"/>
      <c r="X691"/>
    </row>
    <row r="692" spans="1:24" ht="15" customHeight="1" thickBot="1" x14ac:dyDescent="0.35">
      <c r="A692" s="38">
        <v>43474.752083333333</v>
      </c>
      <c r="B692" s="39">
        <v>141904</v>
      </c>
      <c r="C692" s="36" t="s">
        <v>118</v>
      </c>
      <c r="D692" s="17">
        <v>1750000000000</v>
      </c>
      <c r="E692" s="16" t="s">
        <v>130</v>
      </c>
      <c r="F692" s="17">
        <v>1</v>
      </c>
      <c r="G692" s="18">
        <v>150</v>
      </c>
      <c r="H692" s="17">
        <v>97.5</v>
      </c>
      <c r="I692" s="18">
        <v>150</v>
      </c>
      <c r="J692" s="18">
        <v>52.5</v>
      </c>
      <c r="K692" s="37" t="str">
        <f t="shared" si="12"/>
        <v>Inexpensive</v>
      </c>
      <c r="L692" s="37"/>
      <c r="N692" s="37"/>
      <c r="O692" s="37"/>
      <c r="P692" s="37"/>
      <c r="Q692" s="37"/>
      <c r="R692" s="37"/>
      <c r="S692" s="37"/>
      <c r="T692" s="37"/>
      <c r="V692"/>
      <c r="X692"/>
    </row>
    <row r="693" spans="1:24" ht="15" customHeight="1" thickBot="1" x14ac:dyDescent="0.35">
      <c r="A693" s="38">
        <v>43467.298611111109</v>
      </c>
      <c r="B693" s="39">
        <v>141905</v>
      </c>
      <c r="C693" s="36" t="s">
        <v>116</v>
      </c>
      <c r="D693" s="17">
        <v>9700000000000</v>
      </c>
      <c r="E693" s="16" t="s">
        <v>131</v>
      </c>
      <c r="F693" s="17">
        <v>1</v>
      </c>
      <c r="G693" s="18">
        <v>11.95</v>
      </c>
      <c r="H693" s="17">
        <v>5.9749999999999996</v>
      </c>
      <c r="I693" s="18">
        <v>11.95</v>
      </c>
      <c r="J693" s="18">
        <v>5.9749999999999996</v>
      </c>
      <c r="K693" s="37" t="str">
        <f t="shared" si="12"/>
        <v>Inexpensive</v>
      </c>
      <c r="L693" s="37"/>
      <c r="N693" s="37"/>
      <c r="O693" s="37"/>
      <c r="P693" s="37"/>
      <c r="Q693" s="37"/>
      <c r="R693" s="37"/>
      <c r="S693" s="37"/>
      <c r="T693" s="37"/>
      <c r="V693"/>
      <c r="X693"/>
    </row>
    <row r="694" spans="1:24" ht="15" customHeight="1" thickBot="1" x14ac:dyDescent="0.35">
      <c r="A694" s="38">
        <v>43491.602083333331</v>
      </c>
      <c r="B694" s="39">
        <v>141906</v>
      </c>
      <c r="C694" s="36" t="s">
        <v>114</v>
      </c>
      <c r="D694" s="17">
        <v>9750000000000</v>
      </c>
      <c r="E694" s="16" t="s">
        <v>132</v>
      </c>
      <c r="F694" s="17">
        <v>2</v>
      </c>
      <c r="G694" s="18">
        <v>2.99</v>
      </c>
      <c r="H694" s="17">
        <v>1.4950000000000001</v>
      </c>
      <c r="I694" s="18">
        <v>5.98</v>
      </c>
      <c r="J694" s="18">
        <v>2.99</v>
      </c>
      <c r="K694" s="37" t="str">
        <f t="shared" si="12"/>
        <v>Inexpensive</v>
      </c>
      <c r="L694" s="37"/>
      <c r="N694" s="37"/>
      <c r="O694" s="37"/>
      <c r="P694" s="37"/>
      <c r="Q694" s="37"/>
      <c r="R694" s="37"/>
      <c r="S694" s="37"/>
      <c r="T694" s="37"/>
      <c r="V694"/>
      <c r="X694"/>
    </row>
    <row r="695" spans="1:24" ht="15" customHeight="1" thickBot="1" x14ac:dyDescent="0.35">
      <c r="A695" s="38">
        <v>43478.740277777775</v>
      </c>
      <c r="B695" s="39">
        <v>141907</v>
      </c>
      <c r="C695" s="36" t="s">
        <v>116</v>
      </c>
      <c r="D695" s="17">
        <v>1590000000000</v>
      </c>
      <c r="E695" s="16" t="s">
        <v>130</v>
      </c>
      <c r="F695" s="17">
        <v>1</v>
      </c>
      <c r="G695" s="18">
        <v>11.95</v>
      </c>
      <c r="H695" s="17">
        <v>5.9749999999999996</v>
      </c>
      <c r="I695" s="18">
        <v>11.95</v>
      </c>
      <c r="J695" s="18">
        <v>5.9749999999999996</v>
      </c>
      <c r="K695" s="37" t="str">
        <f t="shared" si="12"/>
        <v>Inexpensive</v>
      </c>
      <c r="L695" s="37"/>
      <c r="N695" s="37"/>
      <c r="O695" s="37"/>
      <c r="P695" s="37"/>
      <c r="Q695" s="37"/>
      <c r="R695" s="37"/>
      <c r="S695" s="37"/>
      <c r="T695" s="37"/>
      <c r="V695"/>
      <c r="X695"/>
    </row>
    <row r="696" spans="1:24" ht="15" customHeight="1" thickBot="1" x14ac:dyDescent="0.35">
      <c r="A696" s="38">
        <v>43492.981249999997</v>
      </c>
      <c r="B696" s="39">
        <v>141908</v>
      </c>
      <c r="C696" s="36" t="s">
        <v>118</v>
      </c>
      <c r="D696" s="17">
        <v>7100000000000</v>
      </c>
      <c r="E696" s="16" t="s">
        <v>132</v>
      </c>
      <c r="F696" s="17">
        <v>1</v>
      </c>
      <c r="G696" s="18">
        <v>150</v>
      </c>
      <c r="H696" s="17">
        <v>97.5</v>
      </c>
      <c r="I696" s="18">
        <v>150</v>
      </c>
      <c r="J696" s="18">
        <v>52.5</v>
      </c>
      <c r="K696" s="37" t="str">
        <f t="shared" si="12"/>
        <v>Inexpensive</v>
      </c>
      <c r="L696" s="37"/>
      <c r="N696" s="37"/>
      <c r="O696" s="37"/>
      <c r="P696" s="37"/>
      <c r="Q696" s="37"/>
      <c r="R696" s="37"/>
      <c r="S696" s="37"/>
      <c r="T696" s="37"/>
      <c r="V696"/>
      <c r="X696"/>
    </row>
    <row r="697" spans="1:24" ht="15" customHeight="1" thickBot="1" x14ac:dyDescent="0.35">
      <c r="A697" s="38">
        <v>43482.686805555553</v>
      </c>
      <c r="B697" s="39">
        <v>141909</v>
      </c>
      <c r="C697" s="36" t="s">
        <v>122</v>
      </c>
      <c r="D697" s="17">
        <v>9730000000000</v>
      </c>
      <c r="E697" s="16" t="s">
        <v>131</v>
      </c>
      <c r="F697" s="17">
        <v>2</v>
      </c>
      <c r="G697" s="18">
        <v>3.84</v>
      </c>
      <c r="H697" s="17">
        <v>1.92</v>
      </c>
      <c r="I697" s="18">
        <v>7.68</v>
      </c>
      <c r="J697" s="18">
        <v>3.84</v>
      </c>
      <c r="K697" s="37" t="str">
        <f t="shared" si="12"/>
        <v>Inexpensive</v>
      </c>
      <c r="L697" s="37"/>
      <c r="N697" s="37"/>
      <c r="O697" s="37"/>
      <c r="P697" s="37"/>
      <c r="Q697" s="37"/>
      <c r="R697" s="37"/>
      <c r="S697" s="37"/>
      <c r="T697" s="37"/>
      <c r="V697"/>
      <c r="X697"/>
    </row>
    <row r="698" spans="1:24" ht="15" customHeight="1" thickBot="1" x14ac:dyDescent="0.35">
      <c r="A698" s="38">
        <v>43484.452777777777</v>
      </c>
      <c r="B698" s="40">
        <v>141910</v>
      </c>
      <c r="C698" s="36" t="s">
        <v>121</v>
      </c>
      <c r="D698" s="17">
        <v>7940000000000</v>
      </c>
      <c r="E698" s="16" t="s">
        <v>132</v>
      </c>
      <c r="F698" s="17">
        <v>1</v>
      </c>
      <c r="G698" s="18">
        <v>400</v>
      </c>
      <c r="H698" s="17">
        <v>132</v>
      </c>
      <c r="I698" s="18">
        <v>400</v>
      </c>
      <c r="J698" s="18">
        <v>268</v>
      </c>
      <c r="K698" s="37" t="str">
        <f t="shared" si="12"/>
        <v>Inexpensive</v>
      </c>
      <c r="L698" s="37"/>
      <c r="N698" s="37"/>
      <c r="O698" s="37"/>
      <c r="P698" s="37"/>
      <c r="Q698" s="37"/>
      <c r="R698" s="37"/>
      <c r="S698" s="37"/>
      <c r="T698" s="37"/>
      <c r="V698"/>
      <c r="X698"/>
    </row>
    <row r="699" spans="1:24" ht="15" customHeight="1" thickBot="1" x14ac:dyDescent="0.35">
      <c r="A699" s="38">
        <v>43484.452777777777</v>
      </c>
      <c r="B699" s="40">
        <v>141910</v>
      </c>
      <c r="C699" s="36" t="s">
        <v>112</v>
      </c>
      <c r="D699" s="17">
        <v>1300000000000</v>
      </c>
      <c r="E699" s="16" t="s">
        <v>131</v>
      </c>
      <c r="F699" s="17">
        <v>1</v>
      </c>
      <c r="G699" s="18">
        <v>11.99</v>
      </c>
      <c r="H699" s="17">
        <v>5.9950000000000001</v>
      </c>
      <c r="I699" s="18">
        <v>11.99</v>
      </c>
      <c r="J699" s="18">
        <v>5.9950000000000001</v>
      </c>
      <c r="K699" s="37" t="str">
        <f t="shared" si="12"/>
        <v>Inexpensive</v>
      </c>
      <c r="L699" s="37"/>
      <c r="N699" s="37"/>
      <c r="O699" s="37"/>
      <c r="P699" s="37"/>
      <c r="Q699" s="37"/>
      <c r="R699" s="37"/>
      <c r="S699" s="37"/>
      <c r="T699" s="37"/>
      <c r="V699"/>
      <c r="X699"/>
    </row>
    <row r="700" spans="1:24" ht="15" customHeight="1" thickBot="1" x14ac:dyDescent="0.35">
      <c r="A700" s="38">
        <v>43485.607638888891</v>
      </c>
      <c r="B700" s="39">
        <v>141911</v>
      </c>
      <c r="C700" s="36" t="s">
        <v>111</v>
      </c>
      <c r="D700" s="17">
        <v>2440000000000</v>
      </c>
      <c r="E700" s="16" t="s">
        <v>130</v>
      </c>
      <c r="F700" s="17">
        <v>1</v>
      </c>
      <c r="G700" s="18">
        <v>14.95</v>
      </c>
      <c r="H700" s="17">
        <v>7.4749999999999996</v>
      </c>
      <c r="I700" s="18">
        <v>14.95</v>
      </c>
      <c r="J700" s="18">
        <v>7.4749999999999996</v>
      </c>
      <c r="K700" s="37" t="str">
        <f t="shared" si="12"/>
        <v>Inexpensive</v>
      </c>
      <c r="L700" s="37"/>
      <c r="N700" s="37"/>
      <c r="O700" s="37"/>
      <c r="P700" s="37"/>
      <c r="Q700" s="37"/>
      <c r="R700" s="37"/>
      <c r="S700" s="37"/>
      <c r="T700" s="37"/>
      <c r="V700"/>
      <c r="X700"/>
    </row>
    <row r="701" spans="1:24" ht="15" customHeight="1" thickBot="1" x14ac:dyDescent="0.35">
      <c r="A701" s="38">
        <v>43488.820138888892</v>
      </c>
      <c r="B701" s="39">
        <v>141912</v>
      </c>
      <c r="C701" s="36" t="s">
        <v>118</v>
      </c>
      <c r="D701" s="17">
        <v>9170000000000</v>
      </c>
      <c r="E701" s="16" t="s">
        <v>131</v>
      </c>
      <c r="F701" s="17">
        <v>1</v>
      </c>
      <c r="G701" s="18">
        <v>150</v>
      </c>
      <c r="H701" s="17">
        <v>97.5</v>
      </c>
      <c r="I701" s="18">
        <v>150</v>
      </c>
      <c r="J701" s="18">
        <v>52.5</v>
      </c>
      <c r="K701" s="37" t="str">
        <f t="shared" si="12"/>
        <v>Inexpensive</v>
      </c>
      <c r="L701" s="37"/>
      <c r="N701" s="37"/>
      <c r="O701" s="37"/>
      <c r="P701" s="37"/>
      <c r="Q701" s="37"/>
      <c r="R701" s="37"/>
      <c r="S701" s="37"/>
      <c r="T701" s="37"/>
      <c r="V701"/>
      <c r="X701"/>
    </row>
    <row r="702" spans="1:24" ht="15" customHeight="1" thickBot="1" x14ac:dyDescent="0.35">
      <c r="A702" s="38">
        <v>43492.482638888891</v>
      </c>
      <c r="B702" s="39">
        <v>141913</v>
      </c>
      <c r="C702" s="36" t="s">
        <v>114</v>
      </c>
      <c r="D702" s="17">
        <v>5880000000000</v>
      </c>
      <c r="E702" s="16" t="s">
        <v>131</v>
      </c>
      <c r="F702" s="17">
        <v>1</v>
      </c>
      <c r="G702" s="18">
        <v>2.99</v>
      </c>
      <c r="H702" s="17">
        <v>1.4950000000000001</v>
      </c>
      <c r="I702" s="18">
        <v>2.99</v>
      </c>
      <c r="J702" s="18">
        <v>1.4950000000000001</v>
      </c>
      <c r="K702" s="37" t="str">
        <f t="shared" si="12"/>
        <v>Inexpensive</v>
      </c>
      <c r="L702" s="37"/>
      <c r="N702" s="37"/>
      <c r="O702" s="37"/>
      <c r="P702" s="37"/>
      <c r="Q702" s="37"/>
      <c r="R702" s="37"/>
      <c r="S702" s="37"/>
      <c r="T702" s="37"/>
      <c r="V702"/>
      <c r="X702"/>
    </row>
    <row r="703" spans="1:24" ht="15" customHeight="1" thickBot="1" x14ac:dyDescent="0.35">
      <c r="A703" s="38">
        <v>43470.625694444447</v>
      </c>
      <c r="B703" s="39">
        <v>141914</v>
      </c>
      <c r="C703" s="36" t="s">
        <v>117</v>
      </c>
      <c r="D703" s="17">
        <v>8470000000000</v>
      </c>
      <c r="E703" s="16" t="s">
        <v>131</v>
      </c>
      <c r="F703" s="17">
        <v>1</v>
      </c>
      <c r="G703" s="18">
        <v>99.99</v>
      </c>
      <c r="H703" s="17">
        <v>49.994999999999997</v>
      </c>
      <c r="I703" s="18">
        <v>99.99</v>
      </c>
      <c r="J703" s="18">
        <v>49.994999999999997</v>
      </c>
      <c r="K703" s="37" t="str">
        <f t="shared" si="12"/>
        <v>Inexpensive</v>
      </c>
      <c r="L703" s="37"/>
      <c r="N703" s="37"/>
      <c r="O703" s="37"/>
      <c r="P703" s="37"/>
      <c r="Q703" s="37"/>
      <c r="R703" s="37"/>
      <c r="S703" s="37"/>
      <c r="T703" s="37"/>
      <c r="V703"/>
      <c r="X703"/>
    </row>
    <row r="704" spans="1:24" ht="15" customHeight="1" thickBot="1" x14ac:dyDescent="0.35">
      <c r="A704" s="38">
        <v>43493.70208333333</v>
      </c>
      <c r="B704" s="39">
        <v>141915</v>
      </c>
      <c r="C704" s="36" t="s">
        <v>114</v>
      </c>
      <c r="D704" s="17">
        <v>2500000000000</v>
      </c>
      <c r="E704" s="16" t="s">
        <v>130</v>
      </c>
      <c r="F704" s="17">
        <v>2</v>
      </c>
      <c r="G704" s="18">
        <v>2.99</v>
      </c>
      <c r="H704" s="17">
        <v>1.4950000000000001</v>
      </c>
      <c r="I704" s="18">
        <v>5.98</v>
      </c>
      <c r="J704" s="18">
        <v>2.99</v>
      </c>
      <c r="K704" s="37" t="str">
        <f t="shared" si="12"/>
        <v>Inexpensive</v>
      </c>
      <c r="L704" s="37"/>
      <c r="N704" s="37"/>
      <c r="O704" s="37"/>
      <c r="P704" s="37"/>
      <c r="Q704" s="37"/>
      <c r="R704" s="37"/>
      <c r="S704" s="37"/>
      <c r="T704" s="37"/>
      <c r="V704"/>
      <c r="X704"/>
    </row>
    <row r="705" spans="1:24" ht="15" customHeight="1" thickBot="1" x14ac:dyDescent="0.35">
      <c r="A705" s="38">
        <v>43491.585416666669</v>
      </c>
      <c r="B705" s="39">
        <v>141916</v>
      </c>
      <c r="C705" s="36" t="s">
        <v>112</v>
      </c>
      <c r="D705" s="17">
        <v>7760000000000</v>
      </c>
      <c r="E705" s="16" t="s">
        <v>130</v>
      </c>
      <c r="F705" s="17">
        <v>1</v>
      </c>
      <c r="G705" s="18">
        <v>11.99</v>
      </c>
      <c r="H705" s="17">
        <v>5.9950000000000001</v>
      </c>
      <c r="I705" s="18">
        <v>11.99</v>
      </c>
      <c r="J705" s="18">
        <v>5.9950000000000001</v>
      </c>
      <c r="K705" s="37" t="str">
        <f t="shared" si="12"/>
        <v>Inexpensive</v>
      </c>
      <c r="L705" s="37"/>
      <c r="N705" s="37"/>
      <c r="O705" s="37"/>
      <c r="P705" s="37"/>
      <c r="Q705" s="37"/>
      <c r="R705" s="37"/>
      <c r="S705" s="37"/>
      <c r="T705" s="37"/>
      <c r="V705"/>
      <c r="X705"/>
    </row>
    <row r="706" spans="1:24" ht="15" customHeight="1" thickBot="1" x14ac:dyDescent="0.35">
      <c r="A706" s="38">
        <v>43481.82916666667</v>
      </c>
      <c r="B706" s="39">
        <v>141917</v>
      </c>
      <c r="C706" s="36" t="s">
        <v>114</v>
      </c>
      <c r="D706" s="17">
        <v>5740000000000</v>
      </c>
      <c r="E706" s="16" t="s">
        <v>132</v>
      </c>
      <c r="F706" s="17">
        <v>1</v>
      </c>
      <c r="G706" s="18">
        <v>2.99</v>
      </c>
      <c r="H706" s="17">
        <v>1.4950000000000001</v>
      </c>
      <c r="I706" s="18">
        <v>2.99</v>
      </c>
      <c r="J706" s="18">
        <v>1.4950000000000001</v>
      </c>
      <c r="K706" s="37" t="str">
        <f t="shared" si="12"/>
        <v>Inexpensive</v>
      </c>
      <c r="L706" s="37"/>
      <c r="N706" s="37"/>
      <c r="O706" s="37"/>
      <c r="P706" s="37"/>
      <c r="Q706" s="37"/>
      <c r="R706" s="37"/>
      <c r="S706" s="37"/>
      <c r="T706" s="37"/>
      <c r="V706"/>
      <c r="X706"/>
    </row>
    <row r="707" spans="1:24" ht="15" customHeight="1" thickBot="1" x14ac:dyDescent="0.35">
      <c r="A707" s="38">
        <v>43486.711111111108</v>
      </c>
      <c r="B707" s="39">
        <v>141918</v>
      </c>
      <c r="C707" s="36" t="s">
        <v>117</v>
      </c>
      <c r="D707" s="17">
        <v>4140000000000</v>
      </c>
      <c r="E707" s="16" t="s">
        <v>130</v>
      </c>
      <c r="F707" s="17">
        <v>1</v>
      </c>
      <c r="G707" s="18">
        <v>99.99</v>
      </c>
      <c r="H707" s="17">
        <v>49.994999999999997</v>
      </c>
      <c r="I707" s="18">
        <v>99.99</v>
      </c>
      <c r="J707" s="18">
        <v>49.994999999999997</v>
      </c>
      <c r="K707" s="37" t="str">
        <f t="shared" ref="K707:K770" si="13">IF(G707&gt;=700,"Expensive","Inexpensive")</f>
        <v>Inexpensive</v>
      </c>
      <c r="L707" s="37"/>
      <c r="N707" s="37"/>
      <c r="O707" s="37"/>
      <c r="P707" s="37"/>
      <c r="Q707" s="37"/>
      <c r="R707" s="37"/>
      <c r="S707" s="37"/>
      <c r="T707" s="37"/>
      <c r="V707"/>
      <c r="X707"/>
    </row>
    <row r="708" spans="1:24" ht="15" customHeight="1" thickBot="1" x14ac:dyDescent="0.35">
      <c r="A708" s="38">
        <v>43467.538194444445</v>
      </c>
      <c r="B708" s="39">
        <v>141919</v>
      </c>
      <c r="C708" s="36" t="s">
        <v>112</v>
      </c>
      <c r="D708" s="17">
        <v>6990000000000</v>
      </c>
      <c r="E708" s="16" t="s">
        <v>132</v>
      </c>
      <c r="F708" s="17">
        <v>1</v>
      </c>
      <c r="G708" s="18">
        <v>11.99</v>
      </c>
      <c r="H708" s="17">
        <v>5.9950000000000001</v>
      </c>
      <c r="I708" s="18">
        <v>11.99</v>
      </c>
      <c r="J708" s="18">
        <v>5.9950000000000001</v>
      </c>
      <c r="K708" s="37" t="str">
        <f t="shared" si="13"/>
        <v>Inexpensive</v>
      </c>
      <c r="L708" s="37"/>
      <c r="N708" s="37"/>
      <c r="O708" s="37"/>
      <c r="P708" s="37"/>
      <c r="Q708" s="37"/>
      <c r="R708" s="37"/>
      <c r="S708" s="37"/>
      <c r="T708" s="37"/>
      <c r="V708"/>
      <c r="X708"/>
    </row>
    <row r="709" spans="1:24" ht="15" customHeight="1" thickBot="1" x14ac:dyDescent="0.35">
      <c r="A709" s="38">
        <v>43488.777083333334</v>
      </c>
      <c r="B709" s="39">
        <v>141920</v>
      </c>
      <c r="C709" s="36" t="s">
        <v>112</v>
      </c>
      <c r="D709" s="17">
        <v>4610000000000</v>
      </c>
      <c r="E709" s="16" t="s">
        <v>131</v>
      </c>
      <c r="F709" s="17">
        <v>1</v>
      </c>
      <c r="G709" s="18">
        <v>11.99</v>
      </c>
      <c r="H709" s="17">
        <v>5.9950000000000001</v>
      </c>
      <c r="I709" s="18">
        <v>11.99</v>
      </c>
      <c r="J709" s="18">
        <v>5.9950000000000001</v>
      </c>
      <c r="K709" s="37" t="str">
        <f t="shared" si="13"/>
        <v>Inexpensive</v>
      </c>
      <c r="L709" s="37"/>
      <c r="N709" s="37"/>
      <c r="O709" s="37"/>
      <c r="P709" s="37"/>
      <c r="Q709" s="37"/>
      <c r="R709" s="37"/>
      <c r="S709" s="37"/>
      <c r="T709" s="37"/>
      <c r="V709"/>
      <c r="X709"/>
    </row>
    <row r="710" spans="1:24" ht="15" customHeight="1" thickBot="1" x14ac:dyDescent="0.35">
      <c r="A710" s="38">
        <v>43472.098611111112</v>
      </c>
      <c r="B710" s="39">
        <v>141921</v>
      </c>
      <c r="C710" s="36" t="s">
        <v>111</v>
      </c>
      <c r="D710" s="17">
        <v>1940000000000</v>
      </c>
      <c r="E710" s="16" t="s">
        <v>132</v>
      </c>
      <c r="F710" s="17">
        <v>1</v>
      </c>
      <c r="G710" s="18">
        <v>14.95</v>
      </c>
      <c r="H710" s="17">
        <v>7.4749999999999996</v>
      </c>
      <c r="I710" s="18">
        <v>14.95</v>
      </c>
      <c r="J710" s="18">
        <v>7.4749999999999996</v>
      </c>
      <c r="K710" s="37" t="str">
        <f t="shared" si="13"/>
        <v>Inexpensive</v>
      </c>
      <c r="L710" s="37"/>
      <c r="N710" s="37"/>
      <c r="O710" s="37"/>
      <c r="P710" s="37"/>
      <c r="Q710" s="37"/>
      <c r="R710" s="37"/>
      <c r="S710" s="37"/>
      <c r="T710" s="37"/>
      <c r="V710"/>
      <c r="X710"/>
    </row>
    <row r="711" spans="1:24" ht="15" customHeight="1" thickBot="1" x14ac:dyDescent="0.35">
      <c r="A711" s="38">
        <v>43475.461805555555</v>
      </c>
      <c r="B711" s="39">
        <v>141922</v>
      </c>
      <c r="C711" s="36" t="s">
        <v>122</v>
      </c>
      <c r="D711" s="17">
        <v>6700000000000</v>
      </c>
      <c r="E711" s="16" t="s">
        <v>130</v>
      </c>
      <c r="F711" s="17">
        <v>1</v>
      </c>
      <c r="G711" s="18">
        <v>3.84</v>
      </c>
      <c r="H711" s="17">
        <v>1.92</v>
      </c>
      <c r="I711" s="18">
        <v>3.84</v>
      </c>
      <c r="J711" s="18">
        <v>1.92</v>
      </c>
      <c r="K711" s="37" t="str">
        <f t="shared" si="13"/>
        <v>Inexpensive</v>
      </c>
      <c r="L711" s="37"/>
      <c r="N711" s="37"/>
      <c r="O711" s="37"/>
      <c r="P711" s="37"/>
      <c r="Q711" s="37"/>
      <c r="R711" s="37"/>
      <c r="S711" s="37"/>
      <c r="T711" s="37"/>
      <c r="V711"/>
      <c r="X711"/>
    </row>
    <row r="712" spans="1:24" ht="15" customHeight="1" thickBot="1" x14ac:dyDescent="0.35">
      <c r="A712" s="38">
        <v>43485.893055555556</v>
      </c>
      <c r="B712" s="39">
        <v>141923</v>
      </c>
      <c r="C712" s="36" t="s">
        <v>111</v>
      </c>
      <c r="D712" s="17">
        <v>8280000000000</v>
      </c>
      <c r="E712" s="16" t="s">
        <v>131</v>
      </c>
      <c r="F712" s="17">
        <v>1</v>
      </c>
      <c r="G712" s="18">
        <v>14.95</v>
      </c>
      <c r="H712" s="17">
        <v>7.4749999999999996</v>
      </c>
      <c r="I712" s="18">
        <v>14.95</v>
      </c>
      <c r="J712" s="18">
        <v>7.4749999999999996</v>
      </c>
      <c r="K712" s="37" t="str">
        <f t="shared" si="13"/>
        <v>Inexpensive</v>
      </c>
      <c r="L712" s="37"/>
      <c r="N712" s="37"/>
      <c r="O712" s="37"/>
      <c r="P712" s="37"/>
      <c r="Q712" s="37"/>
      <c r="R712" s="37"/>
      <c r="S712" s="37"/>
      <c r="T712" s="37"/>
      <c r="V712"/>
      <c r="X712"/>
    </row>
    <row r="713" spans="1:24" ht="15" customHeight="1" thickBot="1" x14ac:dyDescent="0.35">
      <c r="A713" s="38">
        <v>43474.449305555558</v>
      </c>
      <c r="B713" s="39">
        <v>141924</v>
      </c>
      <c r="C713" s="36" t="s">
        <v>116</v>
      </c>
      <c r="D713" s="17">
        <v>9210000000000</v>
      </c>
      <c r="E713" s="16" t="s">
        <v>132</v>
      </c>
      <c r="F713" s="17">
        <v>1</v>
      </c>
      <c r="G713" s="18">
        <v>11.95</v>
      </c>
      <c r="H713" s="17">
        <v>5.9749999999999996</v>
      </c>
      <c r="I713" s="18">
        <v>11.95</v>
      </c>
      <c r="J713" s="18">
        <v>5.9749999999999996</v>
      </c>
      <c r="K713" s="37" t="str">
        <f t="shared" si="13"/>
        <v>Inexpensive</v>
      </c>
      <c r="L713" s="37"/>
      <c r="N713" s="37"/>
      <c r="O713" s="37"/>
      <c r="P713" s="37"/>
      <c r="Q713" s="37"/>
      <c r="R713" s="37"/>
      <c r="S713" s="37"/>
      <c r="T713" s="37"/>
      <c r="V713"/>
      <c r="X713"/>
    </row>
    <row r="714" spans="1:24" ht="15" customHeight="1" thickBot="1" x14ac:dyDescent="0.35">
      <c r="A714" s="38">
        <v>43482.433333333334</v>
      </c>
      <c r="B714" s="39">
        <v>141925</v>
      </c>
      <c r="C714" s="36" t="s">
        <v>111</v>
      </c>
      <c r="D714" s="17">
        <v>7720000000000</v>
      </c>
      <c r="E714" s="16" t="s">
        <v>130</v>
      </c>
      <c r="F714" s="17">
        <v>1</v>
      </c>
      <c r="G714" s="18">
        <v>14.95</v>
      </c>
      <c r="H714" s="17">
        <v>7.4749999999999996</v>
      </c>
      <c r="I714" s="18">
        <v>14.95</v>
      </c>
      <c r="J714" s="18">
        <v>7.4749999999999996</v>
      </c>
      <c r="K714" s="37" t="str">
        <f t="shared" si="13"/>
        <v>Inexpensive</v>
      </c>
      <c r="L714" s="37"/>
      <c r="N714" s="37"/>
      <c r="O714" s="37"/>
      <c r="P714" s="37"/>
      <c r="Q714" s="37"/>
      <c r="R714" s="37"/>
      <c r="S714" s="37"/>
      <c r="T714" s="37"/>
      <c r="V714"/>
      <c r="X714"/>
    </row>
    <row r="715" spans="1:24" ht="15" customHeight="1" thickBot="1" x14ac:dyDescent="0.35">
      <c r="A715" s="38">
        <v>43488.92291666667</v>
      </c>
      <c r="B715" s="39">
        <v>141926</v>
      </c>
      <c r="C715" s="36" t="s">
        <v>124</v>
      </c>
      <c r="D715" s="17">
        <v>9310000000000</v>
      </c>
      <c r="E715" s="16" t="s">
        <v>131</v>
      </c>
      <c r="F715" s="17">
        <v>2</v>
      </c>
      <c r="G715" s="18">
        <v>109.99</v>
      </c>
      <c r="H715" s="17">
        <v>71.493499999999997</v>
      </c>
      <c r="I715" s="18">
        <v>219.98</v>
      </c>
      <c r="J715" s="18">
        <v>76.992999999999995</v>
      </c>
      <c r="K715" s="37" t="str">
        <f t="shared" si="13"/>
        <v>Inexpensive</v>
      </c>
      <c r="L715" s="37"/>
      <c r="N715" s="37"/>
      <c r="O715" s="37"/>
      <c r="P715" s="37"/>
      <c r="Q715" s="37"/>
      <c r="R715" s="37"/>
      <c r="S715" s="37"/>
      <c r="T715" s="37"/>
      <c r="V715"/>
      <c r="X715"/>
    </row>
    <row r="716" spans="1:24" ht="15" customHeight="1" thickBot="1" x14ac:dyDescent="0.35">
      <c r="A716" s="38">
        <v>43496.900694444441</v>
      </c>
      <c r="B716" s="39">
        <v>141927</v>
      </c>
      <c r="C716" s="36" t="s">
        <v>113</v>
      </c>
      <c r="D716" s="17">
        <v>2920000000000</v>
      </c>
      <c r="E716" s="16" t="s">
        <v>130</v>
      </c>
      <c r="F716" s="17">
        <v>1</v>
      </c>
      <c r="G716" s="18">
        <v>149.99</v>
      </c>
      <c r="H716" s="17">
        <v>97.493499999999997</v>
      </c>
      <c r="I716" s="18">
        <v>149.99</v>
      </c>
      <c r="J716" s="18">
        <v>52.496499999999997</v>
      </c>
      <c r="K716" s="37" t="str">
        <f t="shared" si="13"/>
        <v>Inexpensive</v>
      </c>
      <c r="L716" s="37"/>
      <c r="N716" s="37"/>
      <c r="O716" s="37"/>
      <c r="P716" s="37"/>
      <c r="Q716" s="37"/>
      <c r="R716" s="37"/>
      <c r="S716" s="37"/>
      <c r="T716" s="37"/>
      <c r="V716"/>
      <c r="X716"/>
    </row>
    <row r="717" spans="1:24" ht="15" customHeight="1" thickBot="1" x14ac:dyDescent="0.35">
      <c r="A717" s="38">
        <v>43471.584027777775</v>
      </c>
      <c r="B717" s="39">
        <v>141928</v>
      </c>
      <c r="C717" s="36" t="s">
        <v>118</v>
      </c>
      <c r="D717" s="17">
        <v>8130000000000</v>
      </c>
      <c r="E717" s="16" t="s">
        <v>130</v>
      </c>
      <c r="F717" s="17">
        <v>1</v>
      </c>
      <c r="G717" s="18">
        <v>150</v>
      </c>
      <c r="H717" s="17">
        <v>97.5</v>
      </c>
      <c r="I717" s="18">
        <v>150</v>
      </c>
      <c r="J717" s="18">
        <v>52.5</v>
      </c>
      <c r="K717" s="37" t="str">
        <f t="shared" si="13"/>
        <v>Inexpensive</v>
      </c>
      <c r="L717" s="37"/>
      <c r="N717" s="37"/>
      <c r="O717" s="37"/>
      <c r="P717" s="37"/>
      <c r="Q717" s="37"/>
      <c r="R717" s="37"/>
      <c r="S717" s="37"/>
      <c r="T717" s="37"/>
      <c r="V717"/>
      <c r="X717"/>
    </row>
    <row r="718" spans="1:24" ht="15" customHeight="1" thickBot="1" x14ac:dyDescent="0.35">
      <c r="A718" s="38">
        <v>43467.612500000003</v>
      </c>
      <c r="B718" s="39">
        <v>141929</v>
      </c>
      <c r="C718" s="36" t="s">
        <v>122</v>
      </c>
      <c r="D718" s="17">
        <v>3320000000000</v>
      </c>
      <c r="E718" s="16" t="s">
        <v>132</v>
      </c>
      <c r="F718" s="17">
        <v>2</v>
      </c>
      <c r="G718" s="18">
        <v>3.84</v>
      </c>
      <c r="H718" s="17">
        <v>1.92</v>
      </c>
      <c r="I718" s="18">
        <v>7.68</v>
      </c>
      <c r="J718" s="18">
        <v>3.84</v>
      </c>
      <c r="K718" s="37" t="str">
        <f t="shared" si="13"/>
        <v>Inexpensive</v>
      </c>
      <c r="L718" s="37"/>
      <c r="N718" s="37"/>
      <c r="O718" s="37"/>
      <c r="P718" s="37"/>
      <c r="Q718" s="37"/>
      <c r="R718" s="37"/>
      <c r="S718" s="37"/>
      <c r="T718" s="37"/>
      <c r="V718"/>
      <c r="X718"/>
    </row>
    <row r="719" spans="1:24" ht="15" customHeight="1" thickBot="1" x14ac:dyDescent="0.35">
      <c r="A719" s="38">
        <v>43483.597916666666</v>
      </c>
      <c r="B719" s="39">
        <v>141930</v>
      </c>
      <c r="C719" s="36" t="s">
        <v>124</v>
      </c>
      <c r="D719" s="17">
        <v>2530000000000</v>
      </c>
      <c r="E719" s="16" t="s">
        <v>130</v>
      </c>
      <c r="F719" s="17">
        <v>1</v>
      </c>
      <c r="G719" s="18">
        <v>109.99</v>
      </c>
      <c r="H719" s="17">
        <v>71.493499999999997</v>
      </c>
      <c r="I719" s="18">
        <v>109.99</v>
      </c>
      <c r="J719" s="18">
        <v>38.496499999999997</v>
      </c>
      <c r="K719" s="37" t="str">
        <f t="shared" si="13"/>
        <v>Inexpensive</v>
      </c>
      <c r="L719" s="37"/>
      <c r="N719" s="37"/>
      <c r="O719" s="37"/>
      <c r="P719" s="37"/>
      <c r="Q719" s="37"/>
      <c r="R719" s="37"/>
      <c r="S719" s="37"/>
      <c r="T719" s="37"/>
      <c r="V719"/>
      <c r="X719"/>
    </row>
    <row r="720" spans="1:24" ht="15" customHeight="1" thickBot="1" x14ac:dyDescent="0.35">
      <c r="A720" s="38">
        <v>43467.563194444447</v>
      </c>
      <c r="B720" s="39">
        <v>141931</v>
      </c>
      <c r="C720" s="36" t="s">
        <v>116</v>
      </c>
      <c r="D720" s="17">
        <v>4560000000000</v>
      </c>
      <c r="E720" s="16" t="s">
        <v>131</v>
      </c>
      <c r="F720" s="17">
        <v>1</v>
      </c>
      <c r="G720" s="18">
        <v>11.95</v>
      </c>
      <c r="H720" s="17">
        <v>5.9749999999999996</v>
      </c>
      <c r="I720" s="18">
        <v>11.95</v>
      </c>
      <c r="J720" s="18">
        <v>5.9749999999999996</v>
      </c>
      <c r="K720" s="37" t="str">
        <f t="shared" si="13"/>
        <v>Inexpensive</v>
      </c>
      <c r="L720" s="37"/>
      <c r="N720" s="37"/>
      <c r="O720" s="37"/>
      <c r="P720" s="37"/>
      <c r="Q720" s="37"/>
      <c r="R720" s="37"/>
      <c r="S720" s="37"/>
      <c r="T720" s="37"/>
      <c r="V720"/>
      <c r="X720"/>
    </row>
    <row r="721" spans="1:24" ht="15" customHeight="1" thickBot="1" x14ac:dyDescent="0.35">
      <c r="A721" s="38">
        <v>43489.78402777778</v>
      </c>
      <c r="B721" s="39">
        <v>141932</v>
      </c>
      <c r="C721" s="36" t="s">
        <v>111</v>
      </c>
      <c r="D721" s="17">
        <v>6330000000000</v>
      </c>
      <c r="E721" s="16" t="s">
        <v>132</v>
      </c>
      <c r="F721" s="17">
        <v>1</v>
      </c>
      <c r="G721" s="18">
        <v>14.95</v>
      </c>
      <c r="H721" s="17">
        <v>7.4749999999999996</v>
      </c>
      <c r="I721" s="18">
        <v>14.95</v>
      </c>
      <c r="J721" s="18">
        <v>7.4749999999999996</v>
      </c>
      <c r="K721" s="37" t="str">
        <f t="shared" si="13"/>
        <v>Inexpensive</v>
      </c>
      <c r="L721" s="37"/>
      <c r="N721" s="37"/>
      <c r="O721" s="37"/>
      <c r="P721" s="37"/>
      <c r="Q721" s="37"/>
      <c r="R721" s="37"/>
      <c r="S721" s="37"/>
      <c r="T721" s="37"/>
      <c r="V721"/>
      <c r="X721"/>
    </row>
    <row r="722" spans="1:24" ht="15" customHeight="1" thickBot="1" x14ac:dyDescent="0.35">
      <c r="A722" s="38">
        <v>43482.688194444447</v>
      </c>
      <c r="B722" s="39">
        <v>141933</v>
      </c>
      <c r="C722" s="36" t="s">
        <v>112</v>
      </c>
      <c r="D722" s="17">
        <v>7320000000000</v>
      </c>
      <c r="E722" s="16" t="s">
        <v>130</v>
      </c>
      <c r="F722" s="17">
        <v>1</v>
      </c>
      <c r="G722" s="18">
        <v>11.99</v>
      </c>
      <c r="H722" s="17">
        <v>5.9950000000000001</v>
      </c>
      <c r="I722" s="18">
        <v>11.99</v>
      </c>
      <c r="J722" s="18">
        <v>5.9950000000000001</v>
      </c>
      <c r="K722" s="37" t="str">
        <f t="shared" si="13"/>
        <v>Inexpensive</v>
      </c>
      <c r="L722" s="37"/>
      <c r="N722" s="37"/>
      <c r="O722" s="37"/>
      <c r="P722" s="37"/>
      <c r="Q722" s="37"/>
      <c r="R722" s="37"/>
      <c r="S722" s="37"/>
      <c r="T722" s="37"/>
      <c r="V722"/>
      <c r="X722"/>
    </row>
    <row r="723" spans="1:24" ht="15" customHeight="1" thickBot="1" x14ac:dyDescent="0.35">
      <c r="A723" s="38">
        <v>43484.663888888892</v>
      </c>
      <c r="B723" s="39">
        <v>141934</v>
      </c>
      <c r="C723" s="36" t="s">
        <v>120</v>
      </c>
      <c r="D723" s="17">
        <v>3190000000000</v>
      </c>
      <c r="E723" s="16" t="s">
        <v>131</v>
      </c>
      <c r="F723" s="17">
        <v>1</v>
      </c>
      <c r="G723" s="18">
        <v>300</v>
      </c>
      <c r="H723" s="17">
        <v>99</v>
      </c>
      <c r="I723" s="18">
        <v>300</v>
      </c>
      <c r="J723" s="18">
        <v>201</v>
      </c>
      <c r="K723" s="37" t="str">
        <f t="shared" si="13"/>
        <v>Inexpensive</v>
      </c>
      <c r="L723" s="37"/>
      <c r="N723" s="37"/>
      <c r="O723" s="37"/>
      <c r="P723" s="37"/>
      <c r="Q723" s="37"/>
      <c r="R723" s="37"/>
      <c r="S723" s="37"/>
      <c r="T723" s="37"/>
      <c r="V723"/>
      <c r="X723"/>
    </row>
    <row r="724" spans="1:24" ht="15" customHeight="1" thickBot="1" x14ac:dyDescent="0.35">
      <c r="A724" s="38">
        <v>43482.841666666667</v>
      </c>
      <c r="B724" s="39">
        <v>141935</v>
      </c>
      <c r="C724" s="36" t="s">
        <v>125</v>
      </c>
      <c r="D724" s="17">
        <v>5990000000000</v>
      </c>
      <c r="E724" s="16" t="s">
        <v>132</v>
      </c>
      <c r="F724" s="17">
        <v>1</v>
      </c>
      <c r="G724" s="18">
        <v>379.99</v>
      </c>
      <c r="H724" s="17">
        <v>125.3967</v>
      </c>
      <c r="I724" s="18">
        <v>379.99</v>
      </c>
      <c r="J724" s="18">
        <v>254.5933</v>
      </c>
      <c r="K724" s="37" t="str">
        <f t="shared" si="13"/>
        <v>Inexpensive</v>
      </c>
      <c r="L724" s="37"/>
      <c r="N724" s="37"/>
      <c r="O724" s="37"/>
      <c r="P724" s="37"/>
      <c r="Q724" s="37"/>
      <c r="R724" s="37"/>
      <c r="S724" s="37"/>
      <c r="T724" s="37"/>
      <c r="V724"/>
      <c r="X724"/>
    </row>
    <row r="725" spans="1:24" ht="15" customHeight="1" thickBot="1" x14ac:dyDescent="0.35">
      <c r="A725" s="38">
        <v>43492.711111111108</v>
      </c>
      <c r="B725" s="39">
        <v>141936</v>
      </c>
      <c r="C725" s="36" t="s">
        <v>111</v>
      </c>
      <c r="D725" s="17">
        <v>3750000000000</v>
      </c>
      <c r="E725" s="16" t="s">
        <v>131</v>
      </c>
      <c r="F725" s="17">
        <v>1</v>
      </c>
      <c r="G725" s="18">
        <v>14.95</v>
      </c>
      <c r="H725" s="17">
        <v>7.4749999999999996</v>
      </c>
      <c r="I725" s="18">
        <v>14.95</v>
      </c>
      <c r="J725" s="18">
        <v>7.4749999999999996</v>
      </c>
      <c r="K725" s="37" t="str">
        <f t="shared" si="13"/>
        <v>Inexpensive</v>
      </c>
      <c r="L725" s="37"/>
      <c r="N725" s="37"/>
      <c r="O725" s="37"/>
      <c r="P725" s="37"/>
      <c r="Q725" s="37"/>
      <c r="R725" s="37"/>
      <c r="S725" s="37"/>
      <c r="T725" s="37"/>
      <c r="V725"/>
      <c r="X725"/>
    </row>
    <row r="726" spans="1:24" ht="15" customHeight="1" thickBot="1" x14ac:dyDescent="0.35">
      <c r="A726" s="38">
        <v>43467.354861111111</v>
      </c>
      <c r="B726" s="39">
        <v>141937</v>
      </c>
      <c r="C726" s="36" t="s">
        <v>116</v>
      </c>
      <c r="D726" s="17">
        <v>4650000000000</v>
      </c>
      <c r="E726" s="16" t="s">
        <v>130</v>
      </c>
      <c r="F726" s="17">
        <v>1</v>
      </c>
      <c r="G726" s="18">
        <v>11.95</v>
      </c>
      <c r="H726" s="17">
        <v>5.9749999999999996</v>
      </c>
      <c r="I726" s="18">
        <v>11.95</v>
      </c>
      <c r="J726" s="18">
        <v>5.9749999999999996</v>
      </c>
      <c r="K726" s="37" t="str">
        <f t="shared" si="13"/>
        <v>Inexpensive</v>
      </c>
      <c r="L726" s="37"/>
      <c r="N726" s="37"/>
      <c r="O726" s="37"/>
      <c r="P726" s="37"/>
      <c r="Q726" s="37"/>
      <c r="R726" s="37"/>
      <c r="S726" s="37"/>
      <c r="T726" s="37"/>
      <c r="V726"/>
      <c r="X726"/>
    </row>
    <row r="727" spans="1:24" ht="15" customHeight="1" thickBot="1" x14ac:dyDescent="0.35">
      <c r="A727" s="38">
        <v>43481.69027777778</v>
      </c>
      <c r="B727" s="39">
        <v>141938</v>
      </c>
      <c r="C727" s="36" t="s">
        <v>119</v>
      </c>
      <c r="D727" s="17">
        <v>5670000000000</v>
      </c>
      <c r="E727" s="16" t="s">
        <v>132</v>
      </c>
      <c r="F727" s="17">
        <v>1</v>
      </c>
      <c r="G727" s="18">
        <v>1700</v>
      </c>
      <c r="H727" s="17">
        <v>561</v>
      </c>
      <c r="I727" s="18">
        <v>1700</v>
      </c>
      <c r="J727" s="18">
        <v>1139</v>
      </c>
      <c r="K727" s="37" t="str">
        <f t="shared" si="13"/>
        <v>Expensive</v>
      </c>
      <c r="L727" s="37"/>
      <c r="N727" s="37"/>
      <c r="O727" s="37"/>
      <c r="P727" s="37"/>
      <c r="Q727" s="37"/>
      <c r="R727" s="37"/>
      <c r="S727" s="37"/>
      <c r="T727" s="37"/>
      <c r="V727"/>
      <c r="X727"/>
    </row>
    <row r="728" spans="1:24" ht="15" customHeight="1" thickBot="1" x14ac:dyDescent="0.35">
      <c r="A728" s="38">
        <v>43476.60833333333</v>
      </c>
      <c r="B728" s="40">
        <v>141939</v>
      </c>
      <c r="C728" s="36" t="s">
        <v>125</v>
      </c>
      <c r="D728" s="17">
        <v>3140000000000</v>
      </c>
      <c r="E728" s="16" t="s">
        <v>131</v>
      </c>
      <c r="F728" s="17">
        <v>1</v>
      </c>
      <c r="G728" s="18">
        <v>379.99</v>
      </c>
      <c r="H728" s="17">
        <v>125.3967</v>
      </c>
      <c r="I728" s="18">
        <v>379.99</v>
      </c>
      <c r="J728" s="18">
        <v>254.5933</v>
      </c>
      <c r="K728" s="37" t="str">
        <f t="shared" si="13"/>
        <v>Inexpensive</v>
      </c>
      <c r="L728" s="37"/>
      <c r="N728" s="37"/>
      <c r="O728" s="37"/>
      <c r="P728" s="37"/>
      <c r="Q728" s="37"/>
      <c r="R728" s="37"/>
      <c r="S728" s="37"/>
      <c r="T728" s="37"/>
      <c r="V728"/>
      <c r="X728"/>
    </row>
    <row r="729" spans="1:24" ht="15" customHeight="1" thickBot="1" x14ac:dyDescent="0.35">
      <c r="A729" s="38">
        <v>43476.60833333333</v>
      </c>
      <c r="B729" s="40">
        <v>141939</v>
      </c>
      <c r="C729" s="36" t="s">
        <v>111</v>
      </c>
      <c r="D729" s="17">
        <v>9090000000000</v>
      </c>
      <c r="E729" s="16" t="s">
        <v>130</v>
      </c>
      <c r="F729" s="17">
        <v>1</v>
      </c>
      <c r="G729" s="18">
        <v>14.95</v>
      </c>
      <c r="H729" s="17">
        <v>7.4749999999999996</v>
      </c>
      <c r="I729" s="18">
        <v>14.95</v>
      </c>
      <c r="J729" s="18">
        <v>7.4749999999999996</v>
      </c>
      <c r="K729" s="37" t="str">
        <f t="shared" si="13"/>
        <v>Inexpensive</v>
      </c>
      <c r="L729" s="37"/>
      <c r="N729" s="37"/>
      <c r="O729" s="37"/>
      <c r="P729" s="37"/>
      <c r="Q729" s="37"/>
      <c r="R729" s="37"/>
      <c r="S729" s="37"/>
      <c r="T729" s="37"/>
      <c r="V729"/>
      <c r="X729"/>
    </row>
    <row r="730" spans="1:24" ht="15" customHeight="1" thickBot="1" x14ac:dyDescent="0.35">
      <c r="A730" s="38">
        <v>43479.679861111108</v>
      </c>
      <c r="B730" s="39">
        <v>141940</v>
      </c>
      <c r="C730" s="36" t="s">
        <v>117</v>
      </c>
      <c r="D730" s="17">
        <v>2920000000000</v>
      </c>
      <c r="E730" s="16" t="s">
        <v>132</v>
      </c>
      <c r="F730" s="17">
        <v>1</v>
      </c>
      <c r="G730" s="18">
        <v>99.99</v>
      </c>
      <c r="H730" s="17">
        <v>49.994999999999997</v>
      </c>
      <c r="I730" s="18">
        <v>99.99</v>
      </c>
      <c r="J730" s="18">
        <v>49.994999999999997</v>
      </c>
      <c r="K730" s="37" t="str">
        <f t="shared" si="13"/>
        <v>Inexpensive</v>
      </c>
      <c r="L730" s="37"/>
      <c r="N730" s="37"/>
      <c r="O730" s="37"/>
      <c r="P730" s="37"/>
      <c r="Q730" s="37"/>
      <c r="R730" s="37"/>
      <c r="S730" s="37"/>
      <c r="T730" s="37"/>
      <c r="V730"/>
      <c r="X730"/>
    </row>
    <row r="731" spans="1:24" ht="15" customHeight="1" thickBot="1" x14ac:dyDescent="0.35">
      <c r="A731" s="38">
        <v>43492.451388888891</v>
      </c>
      <c r="B731" s="39">
        <v>141941</v>
      </c>
      <c r="C731" s="36" t="s">
        <v>124</v>
      </c>
      <c r="D731" s="17">
        <v>6390000000000</v>
      </c>
      <c r="E731" s="16" t="s">
        <v>132</v>
      </c>
      <c r="F731" s="17">
        <v>1</v>
      </c>
      <c r="G731" s="18">
        <v>109.99</v>
      </c>
      <c r="H731" s="17">
        <v>71.493499999999997</v>
      </c>
      <c r="I731" s="18">
        <v>109.99</v>
      </c>
      <c r="J731" s="18">
        <v>38.496499999999997</v>
      </c>
      <c r="K731" s="37" t="str">
        <f t="shared" si="13"/>
        <v>Inexpensive</v>
      </c>
      <c r="L731" s="37"/>
      <c r="N731" s="37"/>
      <c r="O731" s="37"/>
      <c r="P731" s="37"/>
      <c r="Q731" s="37"/>
      <c r="R731" s="37"/>
      <c r="S731" s="37"/>
      <c r="T731" s="37"/>
      <c r="V731"/>
      <c r="X731"/>
    </row>
    <row r="732" spans="1:24" ht="15" customHeight="1" thickBot="1" x14ac:dyDescent="0.35">
      <c r="A732" s="38">
        <v>43471.51666666667</v>
      </c>
      <c r="B732" s="39">
        <v>141942</v>
      </c>
      <c r="C732" s="36" t="s">
        <v>114</v>
      </c>
      <c r="D732" s="17">
        <v>1630000000000</v>
      </c>
      <c r="E732" s="16" t="s">
        <v>131</v>
      </c>
      <c r="F732" s="17">
        <v>1</v>
      </c>
      <c r="G732" s="18">
        <v>2.99</v>
      </c>
      <c r="H732" s="17">
        <v>1.4950000000000001</v>
      </c>
      <c r="I732" s="18">
        <v>2.99</v>
      </c>
      <c r="J732" s="18">
        <v>1.4950000000000001</v>
      </c>
      <c r="K732" s="37" t="str">
        <f t="shared" si="13"/>
        <v>Inexpensive</v>
      </c>
      <c r="L732" s="37"/>
      <c r="N732" s="37"/>
      <c r="O732" s="37"/>
      <c r="P732" s="37"/>
      <c r="Q732" s="37"/>
      <c r="R732" s="37"/>
      <c r="S732" s="37"/>
      <c r="T732" s="37"/>
      <c r="V732"/>
      <c r="X732"/>
    </row>
    <row r="733" spans="1:24" ht="15" customHeight="1" thickBot="1" x14ac:dyDescent="0.35">
      <c r="A733" s="38">
        <v>43475.962500000001</v>
      </c>
      <c r="B733" s="39">
        <v>141943</v>
      </c>
      <c r="C733" s="36" t="s">
        <v>111</v>
      </c>
      <c r="D733" s="17">
        <v>9310000000000</v>
      </c>
      <c r="E733" s="16" t="s">
        <v>132</v>
      </c>
      <c r="F733" s="17">
        <v>1</v>
      </c>
      <c r="G733" s="18">
        <v>14.95</v>
      </c>
      <c r="H733" s="17">
        <v>7.4749999999999996</v>
      </c>
      <c r="I733" s="18">
        <v>14.95</v>
      </c>
      <c r="J733" s="18">
        <v>7.4749999999999996</v>
      </c>
      <c r="K733" s="37" t="str">
        <f t="shared" si="13"/>
        <v>Inexpensive</v>
      </c>
      <c r="L733" s="37"/>
      <c r="N733" s="37"/>
      <c r="O733" s="37"/>
      <c r="P733" s="37"/>
      <c r="Q733" s="37"/>
      <c r="R733" s="37"/>
      <c r="S733" s="37"/>
      <c r="T733" s="37"/>
      <c r="V733"/>
      <c r="X733"/>
    </row>
    <row r="734" spans="1:24" ht="15" customHeight="1" thickBot="1" x14ac:dyDescent="0.35">
      <c r="A734" s="38">
        <v>43496.75277777778</v>
      </c>
      <c r="B734" s="39">
        <v>141944</v>
      </c>
      <c r="C734" s="36" t="s">
        <v>124</v>
      </c>
      <c r="D734" s="17">
        <v>3480000000000</v>
      </c>
      <c r="E734" s="16" t="s">
        <v>131</v>
      </c>
      <c r="F734" s="17">
        <v>1</v>
      </c>
      <c r="G734" s="18">
        <v>109.99</v>
      </c>
      <c r="H734" s="17">
        <v>71.493499999999997</v>
      </c>
      <c r="I734" s="18">
        <v>109.99</v>
      </c>
      <c r="J734" s="18">
        <v>38.496499999999997</v>
      </c>
      <c r="K734" s="37" t="str">
        <f t="shared" si="13"/>
        <v>Inexpensive</v>
      </c>
      <c r="L734" s="37"/>
      <c r="N734" s="37"/>
      <c r="O734" s="37"/>
      <c r="P734" s="37"/>
      <c r="Q734" s="37"/>
      <c r="R734" s="37"/>
      <c r="S734" s="37"/>
      <c r="T734" s="37"/>
      <c r="V734"/>
      <c r="X734"/>
    </row>
    <row r="735" spans="1:24" ht="15" customHeight="1" thickBot="1" x14ac:dyDescent="0.35">
      <c r="A735" s="38">
        <v>43491.591666666667</v>
      </c>
      <c r="B735" s="39">
        <v>141945</v>
      </c>
      <c r="C735" s="36" t="s">
        <v>116</v>
      </c>
      <c r="D735" s="17">
        <v>7090000000000</v>
      </c>
      <c r="E735" s="16" t="s">
        <v>132</v>
      </c>
      <c r="F735" s="17">
        <v>1</v>
      </c>
      <c r="G735" s="18">
        <v>11.95</v>
      </c>
      <c r="H735" s="17">
        <v>5.9749999999999996</v>
      </c>
      <c r="I735" s="18">
        <v>11.95</v>
      </c>
      <c r="J735" s="18">
        <v>5.9749999999999996</v>
      </c>
      <c r="K735" s="37" t="str">
        <f t="shared" si="13"/>
        <v>Inexpensive</v>
      </c>
      <c r="L735" s="37"/>
      <c r="N735" s="37"/>
      <c r="O735" s="37"/>
      <c r="P735" s="37"/>
      <c r="Q735" s="37"/>
      <c r="R735" s="37"/>
      <c r="S735" s="37"/>
      <c r="T735" s="37"/>
      <c r="V735"/>
      <c r="X735"/>
    </row>
    <row r="736" spans="1:24" ht="15" customHeight="1" thickBot="1" x14ac:dyDescent="0.35">
      <c r="A736" s="38">
        <v>43476.724999999999</v>
      </c>
      <c r="B736" s="40">
        <v>141946</v>
      </c>
      <c r="C736" s="36" t="s">
        <v>116</v>
      </c>
      <c r="D736" s="17">
        <v>5720000000000</v>
      </c>
      <c r="E736" s="16" t="s">
        <v>131</v>
      </c>
      <c r="F736" s="17">
        <v>1</v>
      </c>
      <c r="G736" s="18">
        <v>11.95</v>
      </c>
      <c r="H736" s="17">
        <v>5.9749999999999996</v>
      </c>
      <c r="I736" s="18">
        <v>11.95</v>
      </c>
      <c r="J736" s="18">
        <v>5.9749999999999996</v>
      </c>
      <c r="K736" s="37" t="str">
        <f t="shared" si="13"/>
        <v>Inexpensive</v>
      </c>
      <c r="L736" s="37"/>
      <c r="N736" s="37"/>
      <c r="O736" s="37"/>
      <c r="P736" s="37"/>
      <c r="Q736" s="37"/>
      <c r="R736" s="37"/>
      <c r="S736" s="37"/>
      <c r="T736" s="37"/>
      <c r="V736"/>
      <c r="X736"/>
    </row>
    <row r="737" spans="1:24" ht="15" customHeight="1" thickBot="1" x14ac:dyDescent="0.35">
      <c r="A737" s="38">
        <v>43476.724999999999</v>
      </c>
      <c r="B737" s="40">
        <v>141946</v>
      </c>
      <c r="C737" s="36" t="s">
        <v>112</v>
      </c>
      <c r="D737" s="17">
        <v>6220000000000</v>
      </c>
      <c r="E737" s="16" t="s">
        <v>132</v>
      </c>
      <c r="F737" s="17">
        <v>1</v>
      </c>
      <c r="G737" s="18">
        <v>11.99</v>
      </c>
      <c r="H737" s="17">
        <v>5.9950000000000001</v>
      </c>
      <c r="I737" s="18">
        <v>11.99</v>
      </c>
      <c r="J737" s="18">
        <v>5.9950000000000001</v>
      </c>
      <c r="K737" s="37" t="str">
        <f t="shared" si="13"/>
        <v>Inexpensive</v>
      </c>
      <c r="L737" s="37"/>
      <c r="N737" s="37"/>
      <c r="O737" s="37"/>
      <c r="P737" s="37"/>
      <c r="Q737" s="37"/>
      <c r="R737" s="37"/>
      <c r="S737" s="37"/>
      <c r="T737" s="37"/>
      <c r="V737"/>
      <c r="X737"/>
    </row>
    <row r="738" spans="1:24" ht="15" customHeight="1" thickBot="1" x14ac:dyDescent="0.35">
      <c r="A738" s="38">
        <v>43482.461805555555</v>
      </c>
      <c r="B738" s="40">
        <v>141947</v>
      </c>
      <c r="C738" s="36" t="s">
        <v>117</v>
      </c>
      <c r="D738" s="17">
        <v>7220000000000</v>
      </c>
      <c r="E738" s="16" t="s">
        <v>131</v>
      </c>
      <c r="F738" s="17">
        <v>1</v>
      </c>
      <c r="G738" s="18">
        <v>99.99</v>
      </c>
      <c r="H738" s="17">
        <v>49.994999999999997</v>
      </c>
      <c r="I738" s="18">
        <v>99.99</v>
      </c>
      <c r="J738" s="18">
        <v>49.994999999999997</v>
      </c>
      <c r="K738" s="37" t="str">
        <f t="shared" si="13"/>
        <v>Inexpensive</v>
      </c>
      <c r="L738" s="37"/>
      <c r="N738" s="37"/>
      <c r="O738" s="37"/>
      <c r="P738" s="37"/>
      <c r="Q738" s="37"/>
      <c r="R738" s="37"/>
      <c r="S738" s="37"/>
      <c r="T738" s="37"/>
      <c r="V738"/>
      <c r="X738"/>
    </row>
    <row r="739" spans="1:24" ht="15" customHeight="1" thickBot="1" x14ac:dyDescent="0.35">
      <c r="A739" s="38">
        <v>43482.461805555555</v>
      </c>
      <c r="B739" s="40">
        <v>141947</v>
      </c>
      <c r="C739" s="36" t="s">
        <v>111</v>
      </c>
      <c r="D739" s="17">
        <v>6860000000000</v>
      </c>
      <c r="E739" s="16" t="s">
        <v>131</v>
      </c>
      <c r="F739" s="17">
        <v>1</v>
      </c>
      <c r="G739" s="18">
        <v>14.95</v>
      </c>
      <c r="H739" s="17">
        <v>7.4749999999999996</v>
      </c>
      <c r="I739" s="18">
        <v>14.95</v>
      </c>
      <c r="J739" s="18">
        <v>7.4749999999999996</v>
      </c>
      <c r="K739" s="37" t="str">
        <f t="shared" si="13"/>
        <v>Inexpensive</v>
      </c>
      <c r="L739" s="37"/>
      <c r="N739" s="37"/>
      <c r="O739" s="37"/>
      <c r="P739" s="37"/>
      <c r="Q739" s="37"/>
      <c r="R739" s="37"/>
      <c r="S739" s="37"/>
      <c r="T739" s="37"/>
      <c r="V739"/>
      <c r="X739"/>
    </row>
    <row r="740" spans="1:24" ht="15" customHeight="1" thickBot="1" x14ac:dyDescent="0.35">
      <c r="A740" s="38">
        <v>43489.586111111108</v>
      </c>
      <c r="B740" s="39">
        <v>141948</v>
      </c>
      <c r="C740" s="36" t="s">
        <v>113</v>
      </c>
      <c r="D740" s="17">
        <v>5850000000000</v>
      </c>
      <c r="E740" s="16" t="s">
        <v>132</v>
      </c>
      <c r="F740" s="17">
        <v>1</v>
      </c>
      <c r="G740" s="18">
        <v>149.99</v>
      </c>
      <c r="H740" s="17">
        <v>97.493499999999997</v>
      </c>
      <c r="I740" s="18">
        <v>149.99</v>
      </c>
      <c r="J740" s="18">
        <v>52.496499999999997</v>
      </c>
      <c r="K740" s="37" t="str">
        <f t="shared" si="13"/>
        <v>Inexpensive</v>
      </c>
      <c r="L740" s="37"/>
      <c r="N740" s="37"/>
      <c r="O740" s="37"/>
      <c r="P740" s="37"/>
      <c r="Q740" s="37"/>
      <c r="R740" s="37"/>
      <c r="S740" s="37"/>
      <c r="T740" s="37"/>
      <c r="V740"/>
      <c r="X740"/>
    </row>
    <row r="741" spans="1:24" ht="15" customHeight="1" thickBot="1" x14ac:dyDescent="0.35">
      <c r="A741" s="38">
        <v>43472.279861111114</v>
      </c>
      <c r="B741" s="39">
        <v>141949</v>
      </c>
      <c r="C741" s="36" t="s">
        <v>116</v>
      </c>
      <c r="D741" s="17">
        <v>5850000000000</v>
      </c>
      <c r="E741" s="16" t="s">
        <v>130</v>
      </c>
      <c r="F741" s="17">
        <v>1</v>
      </c>
      <c r="G741" s="18">
        <v>11.95</v>
      </c>
      <c r="H741" s="17">
        <v>5.9749999999999996</v>
      </c>
      <c r="I741" s="18">
        <v>11.95</v>
      </c>
      <c r="J741" s="18">
        <v>5.9749999999999996</v>
      </c>
      <c r="K741" s="37" t="str">
        <f t="shared" si="13"/>
        <v>Inexpensive</v>
      </c>
      <c r="L741" s="37"/>
      <c r="N741" s="37"/>
      <c r="O741" s="37"/>
      <c r="P741" s="37"/>
      <c r="Q741" s="37"/>
      <c r="R741" s="37"/>
      <c r="S741" s="37"/>
      <c r="T741" s="37"/>
      <c r="V741"/>
      <c r="X741"/>
    </row>
    <row r="742" spans="1:24" ht="15" customHeight="1" thickBot="1" x14ac:dyDescent="0.35">
      <c r="A742" s="38">
        <v>43466.82916666667</v>
      </c>
      <c r="B742" s="39">
        <v>141950</v>
      </c>
      <c r="C742" s="36" t="s">
        <v>114</v>
      </c>
      <c r="D742" s="17">
        <v>8380000000000</v>
      </c>
      <c r="E742" s="16" t="s">
        <v>130</v>
      </c>
      <c r="F742" s="17">
        <v>1</v>
      </c>
      <c r="G742" s="18">
        <v>2.99</v>
      </c>
      <c r="H742" s="17">
        <v>1.4950000000000001</v>
      </c>
      <c r="I742" s="18">
        <v>2.99</v>
      </c>
      <c r="J742" s="18">
        <v>1.4950000000000001</v>
      </c>
      <c r="K742" s="37" t="str">
        <f t="shared" si="13"/>
        <v>Inexpensive</v>
      </c>
      <c r="L742" s="37"/>
      <c r="N742" s="37"/>
      <c r="O742" s="37"/>
      <c r="P742" s="37"/>
      <c r="Q742" s="37"/>
      <c r="R742" s="37"/>
      <c r="S742" s="37"/>
      <c r="T742" s="37"/>
      <c r="V742"/>
      <c r="X742"/>
    </row>
    <row r="743" spans="1:24" ht="15" customHeight="1" thickBot="1" x14ac:dyDescent="0.35">
      <c r="A743" s="38">
        <v>43481.287499999999</v>
      </c>
      <c r="B743" s="39">
        <v>141951</v>
      </c>
      <c r="C743" s="36" t="s">
        <v>126</v>
      </c>
      <c r="D743" s="17">
        <v>3720000000000</v>
      </c>
      <c r="E743" s="16" t="s">
        <v>130</v>
      </c>
      <c r="F743" s="17">
        <v>1</v>
      </c>
      <c r="G743" s="18">
        <v>999.99</v>
      </c>
      <c r="H743" s="17">
        <v>329.99669999999998</v>
      </c>
      <c r="I743" s="18">
        <v>999.99</v>
      </c>
      <c r="J743" s="18">
        <v>669.99329999999998</v>
      </c>
      <c r="K743" s="37" t="str">
        <f t="shared" si="13"/>
        <v>Expensive</v>
      </c>
      <c r="L743" s="37"/>
      <c r="N743" s="37"/>
      <c r="O743" s="37"/>
      <c r="P743" s="37"/>
      <c r="Q743" s="37"/>
      <c r="R743" s="37"/>
      <c r="S743" s="37"/>
      <c r="T743" s="37"/>
      <c r="V743"/>
      <c r="X743"/>
    </row>
    <row r="744" spans="1:24" ht="15" customHeight="1" thickBot="1" x14ac:dyDescent="0.35">
      <c r="A744" s="38">
        <v>43469.884027777778</v>
      </c>
      <c r="B744" s="39">
        <v>141952</v>
      </c>
      <c r="C744" s="36" t="s">
        <v>111</v>
      </c>
      <c r="D744" s="17">
        <v>5280000000000</v>
      </c>
      <c r="E744" s="16" t="s">
        <v>130</v>
      </c>
      <c r="F744" s="17">
        <v>1</v>
      </c>
      <c r="G744" s="18">
        <v>14.95</v>
      </c>
      <c r="H744" s="17">
        <v>7.4749999999999996</v>
      </c>
      <c r="I744" s="18">
        <v>14.95</v>
      </c>
      <c r="J744" s="18">
        <v>7.4749999999999996</v>
      </c>
      <c r="K744" s="37" t="str">
        <f t="shared" si="13"/>
        <v>Inexpensive</v>
      </c>
      <c r="L744" s="37"/>
      <c r="N744" s="37"/>
      <c r="O744" s="37"/>
      <c r="P744" s="37"/>
      <c r="Q744" s="37"/>
      <c r="R744" s="37"/>
      <c r="S744" s="37"/>
      <c r="T744" s="37"/>
      <c r="V744"/>
      <c r="X744"/>
    </row>
    <row r="745" spans="1:24" ht="15" customHeight="1" thickBot="1" x14ac:dyDescent="0.35">
      <c r="A745" s="38">
        <v>43476.418749999997</v>
      </c>
      <c r="B745" s="39">
        <v>141953</v>
      </c>
      <c r="C745" s="36" t="s">
        <v>119</v>
      </c>
      <c r="D745" s="17">
        <v>2740000000000</v>
      </c>
      <c r="E745" s="16" t="s">
        <v>131</v>
      </c>
      <c r="F745" s="17">
        <v>1</v>
      </c>
      <c r="G745" s="18">
        <v>1700</v>
      </c>
      <c r="H745" s="17">
        <v>561</v>
      </c>
      <c r="I745" s="18">
        <v>1700</v>
      </c>
      <c r="J745" s="18">
        <v>1139</v>
      </c>
      <c r="K745" s="37" t="str">
        <f t="shared" si="13"/>
        <v>Expensive</v>
      </c>
      <c r="L745" s="37"/>
      <c r="N745" s="37"/>
      <c r="O745" s="37"/>
      <c r="P745" s="37"/>
      <c r="Q745" s="37"/>
      <c r="R745" s="37"/>
      <c r="S745" s="37"/>
      <c r="T745" s="37"/>
      <c r="V745"/>
      <c r="X745"/>
    </row>
    <row r="746" spans="1:24" ht="15" customHeight="1" thickBot="1" x14ac:dyDescent="0.35">
      <c r="A746" s="38">
        <v>43493.711805555555</v>
      </c>
      <c r="B746" s="39">
        <v>141954</v>
      </c>
      <c r="C746" s="36" t="s">
        <v>123</v>
      </c>
      <c r="D746" s="17">
        <v>9760000000000</v>
      </c>
      <c r="E746" s="16" t="s">
        <v>131</v>
      </c>
      <c r="F746" s="17">
        <v>1</v>
      </c>
      <c r="G746" s="18">
        <v>600</v>
      </c>
      <c r="H746" s="17">
        <v>198</v>
      </c>
      <c r="I746" s="18">
        <v>600</v>
      </c>
      <c r="J746" s="18">
        <v>402</v>
      </c>
      <c r="K746" s="37" t="str">
        <f t="shared" si="13"/>
        <v>Inexpensive</v>
      </c>
      <c r="L746" s="37"/>
      <c r="N746" s="37"/>
      <c r="O746" s="37"/>
      <c r="P746" s="37"/>
      <c r="Q746" s="37"/>
      <c r="R746" s="37"/>
      <c r="S746" s="37"/>
      <c r="T746" s="37"/>
      <c r="V746"/>
      <c r="X746"/>
    </row>
    <row r="747" spans="1:24" ht="15" customHeight="1" thickBot="1" x14ac:dyDescent="0.35">
      <c r="A747" s="38">
        <v>43491.62777777778</v>
      </c>
      <c r="B747" s="39">
        <v>141955</v>
      </c>
      <c r="C747" s="36" t="s">
        <v>111</v>
      </c>
      <c r="D747" s="17">
        <v>7930000000000</v>
      </c>
      <c r="E747" s="16" t="s">
        <v>132</v>
      </c>
      <c r="F747" s="17">
        <v>1</v>
      </c>
      <c r="G747" s="18">
        <v>14.95</v>
      </c>
      <c r="H747" s="17">
        <v>7.4749999999999996</v>
      </c>
      <c r="I747" s="18">
        <v>14.95</v>
      </c>
      <c r="J747" s="18">
        <v>7.4749999999999996</v>
      </c>
      <c r="K747" s="37" t="str">
        <f t="shared" si="13"/>
        <v>Inexpensive</v>
      </c>
      <c r="L747" s="37"/>
      <c r="N747" s="37"/>
      <c r="O747" s="37"/>
      <c r="P747" s="37"/>
      <c r="Q747" s="37"/>
      <c r="R747" s="37"/>
      <c r="S747" s="37"/>
      <c r="T747" s="37"/>
      <c r="V747"/>
      <c r="X747"/>
    </row>
    <row r="748" spans="1:24" ht="15" customHeight="1" thickBot="1" x14ac:dyDescent="0.35">
      <c r="A748" s="38">
        <v>43483.746527777781</v>
      </c>
      <c r="B748" s="39">
        <v>141956</v>
      </c>
      <c r="C748" s="36" t="s">
        <v>120</v>
      </c>
      <c r="D748" s="17">
        <v>6660000000000</v>
      </c>
      <c r="E748" s="16" t="s">
        <v>130</v>
      </c>
      <c r="F748" s="17">
        <v>1</v>
      </c>
      <c r="G748" s="18">
        <v>300</v>
      </c>
      <c r="H748" s="17">
        <v>99</v>
      </c>
      <c r="I748" s="18">
        <v>300</v>
      </c>
      <c r="J748" s="18">
        <v>201</v>
      </c>
      <c r="K748" s="37" t="str">
        <f t="shared" si="13"/>
        <v>Inexpensive</v>
      </c>
      <c r="L748" s="37"/>
      <c r="N748" s="37"/>
      <c r="O748" s="37"/>
      <c r="P748" s="37"/>
      <c r="Q748" s="37"/>
      <c r="R748" s="37"/>
      <c r="S748" s="37"/>
      <c r="T748" s="37"/>
      <c r="V748"/>
      <c r="X748"/>
    </row>
    <row r="749" spans="1:24" ht="15" customHeight="1" thickBot="1" x14ac:dyDescent="0.35">
      <c r="A749" s="38">
        <v>43490.837500000001</v>
      </c>
      <c r="B749" s="39">
        <v>141957</v>
      </c>
      <c r="C749" s="36" t="s">
        <v>116</v>
      </c>
      <c r="D749" s="17">
        <v>8750000000000</v>
      </c>
      <c r="E749" s="16" t="s">
        <v>132</v>
      </c>
      <c r="F749" s="17">
        <v>2</v>
      </c>
      <c r="G749" s="18">
        <v>11.95</v>
      </c>
      <c r="H749" s="17">
        <v>5.9749999999999996</v>
      </c>
      <c r="I749" s="18">
        <v>23.9</v>
      </c>
      <c r="J749" s="18">
        <v>11.95</v>
      </c>
      <c r="K749" s="37" t="str">
        <f t="shared" si="13"/>
        <v>Inexpensive</v>
      </c>
      <c r="L749" s="37"/>
      <c r="N749" s="37"/>
      <c r="O749" s="37"/>
      <c r="P749" s="37"/>
      <c r="Q749" s="37"/>
      <c r="R749" s="37"/>
      <c r="S749" s="37"/>
      <c r="T749" s="37"/>
      <c r="V749"/>
      <c r="X749"/>
    </row>
    <row r="750" spans="1:24" ht="15" customHeight="1" thickBot="1" x14ac:dyDescent="0.35">
      <c r="A750" s="38">
        <v>43481.640972222223</v>
      </c>
      <c r="B750" s="39">
        <v>141958</v>
      </c>
      <c r="C750" s="36" t="s">
        <v>111</v>
      </c>
      <c r="D750" s="17">
        <v>2960000000000</v>
      </c>
      <c r="E750" s="16" t="s">
        <v>131</v>
      </c>
      <c r="F750" s="17">
        <v>1</v>
      </c>
      <c r="G750" s="18">
        <v>14.95</v>
      </c>
      <c r="H750" s="17">
        <v>7.4749999999999996</v>
      </c>
      <c r="I750" s="18">
        <v>14.95</v>
      </c>
      <c r="J750" s="18">
        <v>7.4749999999999996</v>
      </c>
      <c r="K750" s="37" t="str">
        <f t="shared" si="13"/>
        <v>Inexpensive</v>
      </c>
      <c r="L750" s="37"/>
      <c r="N750" s="37"/>
      <c r="O750" s="37"/>
      <c r="P750" s="37"/>
      <c r="Q750" s="37"/>
      <c r="R750" s="37"/>
      <c r="S750" s="37"/>
      <c r="T750" s="37"/>
      <c r="V750"/>
      <c r="X750"/>
    </row>
    <row r="751" spans="1:24" ht="15" customHeight="1" thickBot="1" x14ac:dyDescent="0.35">
      <c r="A751" s="38">
        <v>43491.854861111111</v>
      </c>
      <c r="B751" s="39">
        <v>141959</v>
      </c>
      <c r="C751" s="36" t="s">
        <v>112</v>
      </c>
      <c r="D751" s="17">
        <v>7410000000000</v>
      </c>
      <c r="E751" s="16" t="s">
        <v>131</v>
      </c>
      <c r="F751" s="17">
        <v>1</v>
      </c>
      <c r="G751" s="18">
        <v>11.99</v>
      </c>
      <c r="H751" s="17">
        <v>5.9950000000000001</v>
      </c>
      <c r="I751" s="18">
        <v>11.99</v>
      </c>
      <c r="J751" s="18">
        <v>5.9950000000000001</v>
      </c>
      <c r="K751" s="37" t="str">
        <f t="shared" si="13"/>
        <v>Inexpensive</v>
      </c>
      <c r="L751" s="37"/>
      <c r="N751" s="37"/>
      <c r="O751" s="37"/>
      <c r="P751" s="37"/>
      <c r="Q751" s="37"/>
      <c r="R751" s="37"/>
      <c r="S751" s="37"/>
      <c r="T751" s="37"/>
      <c r="V751"/>
      <c r="X751"/>
    </row>
    <row r="752" spans="1:24" ht="15" customHeight="1" thickBot="1" x14ac:dyDescent="0.35">
      <c r="A752" s="38">
        <v>43477.751388888886</v>
      </c>
      <c r="B752" s="39">
        <v>141960</v>
      </c>
      <c r="C752" s="36" t="s">
        <v>122</v>
      </c>
      <c r="D752" s="17">
        <v>3910000000000</v>
      </c>
      <c r="E752" s="16" t="s">
        <v>131</v>
      </c>
      <c r="F752" s="17">
        <v>3</v>
      </c>
      <c r="G752" s="18">
        <v>3.84</v>
      </c>
      <c r="H752" s="17">
        <v>1.92</v>
      </c>
      <c r="I752" s="18">
        <v>11.52</v>
      </c>
      <c r="J752" s="18">
        <v>5.76</v>
      </c>
      <c r="K752" s="37" t="str">
        <f t="shared" si="13"/>
        <v>Inexpensive</v>
      </c>
      <c r="L752" s="37"/>
      <c r="N752" s="37"/>
      <c r="O752" s="37"/>
      <c r="P752" s="37"/>
      <c r="Q752" s="37"/>
      <c r="R752" s="37"/>
      <c r="S752" s="37"/>
      <c r="T752" s="37"/>
      <c r="V752"/>
      <c r="X752"/>
    </row>
    <row r="753" spans="1:24" ht="15" customHeight="1" thickBot="1" x14ac:dyDescent="0.35">
      <c r="A753" s="38">
        <v>43477.73541666667</v>
      </c>
      <c r="B753" s="39">
        <v>141961</v>
      </c>
      <c r="C753" s="36" t="s">
        <v>110</v>
      </c>
      <c r="D753" s="17">
        <v>6640000000000</v>
      </c>
      <c r="E753" s="16" t="s">
        <v>130</v>
      </c>
      <c r="F753" s="17">
        <v>1</v>
      </c>
      <c r="G753" s="18">
        <v>700</v>
      </c>
      <c r="H753" s="17">
        <v>231</v>
      </c>
      <c r="I753" s="18">
        <v>700</v>
      </c>
      <c r="J753" s="18">
        <v>469</v>
      </c>
      <c r="K753" s="37" t="str">
        <f t="shared" si="13"/>
        <v>Expensive</v>
      </c>
      <c r="L753" s="37"/>
      <c r="N753" s="37"/>
      <c r="O753" s="37"/>
      <c r="P753" s="37"/>
      <c r="Q753" s="37"/>
      <c r="R753" s="37"/>
      <c r="S753" s="37"/>
      <c r="T753" s="37"/>
      <c r="V753"/>
      <c r="X753"/>
    </row>
    <row r="754" spans="1:24" ht="15" customHeight="1" thickBot="1" x14ac:dyDescent="0.35">
      <c r="A754" s="38">
        <v>43495.490972222222</v>
      </c>
      <c r="B754" s="39">
        <v>141962</v>
      </c>
      <c r="C754" s="36" t="s">
        <v>122</v>
      </c>
      <c r="D754" s="17">
        <v>8770000000000</v>
      </c>
      <c r="E754" s="16" t="s">
        <v>130</v>
      </c>
      <c r="F754" s="17">
        <v>1</v>
      </c>
      <c r="G754" s="18">
        <v>3.84</v>
      </c>
      <c r="H754" s="17">
        <v>1.92</v>
      </c>
      <c r="I754" s="18">
        <v>3.84</v>
      </c>
      <c r="J754" s="18">
        <v>1.92</v>
      </c>
      <c r="K754" s="37" t="str">
        <f t="shared" si="13"/>
        <v>Inexpensive</v>
      </c>
      <c r="L754" s="37"/>
      <c r="N754" s="37"/>
      <c r="O754" s="37"/>
      <c r="P754" s="37"/>
      <c r="Q754" s="37"/>
      <c r="R754" s="37"/>
      <c r="S754" s="37"/>
      <c r="T754" s="37"/>
      <c r="V754"/>
      <c r="X754"/>
    </row>
    <row r="755" spans="1:24" ht="15" customHeight="1" thickBot="1" x14ac:dyDescent="0.35">
      <c r="A755" s="38">
        <v>43489.467361111114</v>
      </c>
      <c r="B755" s="39">
        <v>141963</v>
      </c>
      <c r="C755" s="36" t="s">
        <v>117</v>
      </c>
      <c r="D755" s="17">
        <v>4830000000000</v>
      </c>
      <c r="E755" s="16" t="s">
        <v>130</v>
      </c>
      <c r="F755" s="17">
        <v>1</v>
      </c>
      <c r="G755" s="18">
        <v>99.99</v>
      </c>
      <c r="H755" s="17">
        <v>49.994999999999997</v>
      </c>
      <c r="I755" s="18">
        <v>99.99</v>
      </c>
      <c r="J755" s="18">
        <v>49.994999999999997</v>
      </c>
      <c r="K755" s="37" t="str">
        <f t="shared" si="13"/>
        <v>Inexpensive</v>
      </c>
      <c r="L755" s="37"/>
      <c r="N755" s="37"/>
      <c r="O755" s="37"/>
      <c r="P755" s="37"/>
      <c r="Q755" s="37"/>
      <c r="R755" s="37"/>
      <c r="S755" s="37"/>
      <c r="T755" s="37"/>
      <c r="V755"/>
      <c r="X755"/>
    </row>
    <row r="756" spans="1:24" ht="15" customHeight="1" thickBot="1" x14ac:dyDescent="0.35">
      <c r="A756" s="38">
        <v>43486.525000000001</v>
      </c>
      <c r="B756" s="39">
        <v>141964</v>
      </c>
      <c r="C756" s="36" t="s">
        <v>122</v>
      </c>
      <c r="D756" s="17">
        <v>1360000000000</v>
      </c>
      <c r="E756" s="16" t="s">
        <v>132</v>
      </c>
      <c r="F756" s="17">
        <v>1</v>
      </c>
      <c r="G756" s="18">
        <v>3.84</v>
      </c>
      <c r="H756" s="17">
        <v>1.92</v>
      </c>
      <c r="I756" s="18">
        <v>3.84</v>
      </c>
      <c r="J756" s="18">
        <v>1.92</v>
      </c>
      <c r="K756" s="37" t="str">
        <f t="shared" si="13"/>
        <v>Inexpensive</v>
      </c>
      <c r="L756" s="37"/>
      <c r="N756" s="37"/>
      <c r="O756" s="37"/>
      <c r="P756" s="37"/>
      <c r="Q756" s="37"/>
      <c r="R756" s="37"/>
      <c r="S756" s="37"/>
      <c r="T756" s="37"/>
      <c r="V756"/>
      <c r="X756"/>
    </row>
    <row r="757" spans="1:24" ht="15" customHeight="1" thickBot="1" x14ac:dyDescent="0.35">
      <c r="A757" s="38">
        <v>43474.579861111109</v>
      </c>
      <c r="B757" s="40">
        <v>141965</v>
      </c>
      <c r="C757" s="36" t="s">
        <v>123</v>
      </c>
      <c r="D757" s="17">
        <v>3080000000000</v>
      </c>
      <c r="E757" s="16" t="s">
        <v>130</v>
      </c>
      <c r="F757" s="17">
        <v>1</v>
      </c>
      <c r="G757" s="18">
        <v>600</v>
      </c>
      <c r="H757" s="17">
        <v>198</v>
      </c>
      <c r="I757" s="18">
        <v>600</v>
      </c>
      <c r="J757" s="18">
        <v>402</v>
      </c>
      <c r="K757" s="37" t="str">
        <f t="shared" si="13"/>
        <v>Inexpensive</v>
      </c>
      <c r="L757" s="37"/>
      <c r="N757" s="37"/>
      <c r="O757" s="37"/>
      <c r="P757" s="37"/>
      <c r="Q757" s="37"/>
      <c r="R757" s="37"/>
      <c r="S757" s="37"/>
      <c r="T757" s="37"/>
      <c r="V757"/>
      <c r="X757"/>
    </row>
    <row r="758" spans="1:24" ht="15" customHeight="1" thickBot="1" x14ac:dyDescent="0.35">
      <c r="A758" s="38">
        <v>43474.579861111109</v>
      </c>
      <c r="B758" s="40">
        <v>141965</v>
      </c>
      <c r="C758" s="36" t="s">
        <v>112</v>
      </c>
      <c r="D758" s="17">
        <v>1250000000000</v>
      </c>
      <c r="E758" s="16" t="s">
        <v>130</v>
      </c>
      <c r="F758" s="17">
        <v>1</v>
      </c>
      <c r="G758" s="18">
        <v>11.99</v>
      </c>
      <c r="H758" s="17">
        <v>5.9950000000000001</v>
      </c>
      <c r="I758" s="18">
        <v>11.99</v>
      </c>
      <c r="J758" s="18">
        <v>5.9950000000000001</v>
      </c>
      <c r="K758" s="37" t="str">
        <f t="shared" si="13"/>
        <v>Inexpensive</v>
      </c>
      <c r="L758" s="37"/>
      <c r="N758" s="37"/>
      <c r="O758" s="37"/>
      <c r="P758" s="37"/>
      <c r="Q758" s="37"/>
      <c r="R758" s="37"/>
      <c r="S758" s="37"/>
      <c r="T758" s="37"/>
      <c r="V758"/>
      <c r="X758"/>
    </row>
    <row r="759" spans="1:24" ht="15" customHeight="1" thickBot="1" x14ac:dyDescent="0.35">
      <c r="A759" s="38">
        <v>43480.738194444442</v>
      </c>
      <c r="B759" s="39">
        <v>141966</v>
      </c>
      <c r="C759" s="36" t="s">
        <v>111</v>
      </c>
      <c r="D759" s="17">
        <v>4350000000000</v>
      </c>
      <c r="E759" s="16" t="s">
        <v>130</v>
      </c>
      <c r="F759" s="17">
        <v>1</v>
      </c>
      <c r="G759" s="18">
        <v>14.95</v>
      </c>
      <c r="H759" s="17">
        <v>7.4749999999999996</v>
      </c>
      <c r="I759" s="18">
        <v>14.95</v>
      </c>
      <c r="J759" s="18">
        <v>7.4749999999999996</v>
      </c>
      <c r="K759" s="37" t="str">
        <f t="shared" si="13"/>
        <v>Inexpensive</v>
      </c>
      <c r="L759" s="37"/>
      <c r="N759" s="37"/>
      <c r="O759" s="37"/>
      <c r="P759" s="37"/>
      <c r="Q759" s="37"/>
      <c r="R759" s="37"/>
      <c r="S759" s="37"/>
      <c r="T759" s="37"/>
      <c r="V759"/>
      <c r="X759"/>
    </row>
    <row r="760" spans="1:24" ht="15" customHeight="1" thickBot="1" x14ac:dyDescent="0.35">
      <c r="A760" s="38">
        <v>43490.501388888886</v>
      </c>
      <c r="B760" s="40">
        <v>141967</v>
      </c>
      <c r="C760" s="36" t="s">
        <v>110</v>
      </c>
      <c r="D760" s="17">
        <v>1020000000000</v>
      </c>
      <c r="E760" s="16" t="s">
        <v>132</v>
      </c>
      <c r="F760" s="17">
        <v>1</v>
      </c>
      <c r="G760" s="18">
        <v>700</v>
      </c>
      <c r="H760" s="17">
        <v>231</v>
      </c>
      <c r="I760" s="18">
        <v>700</v>
      </c>
      <c r="J760" s="18">
        <v>469</v>
      </c>
      <c r="K760" s="37" t="str">
        <f t="shared" si="13"/>
        <v>Expensive</v>
      </c>
      <c r="L760" s="37"/>
      <c r="N760" s="37"/>
      <c r="O760" s="37"/>
      <c r="P760" s="37"/>
      <c r="Q760" s="37"/>
      <c r="R760" s="37"/>
      <c r="S760" s="37"/>
      <c r="T760" s="37"/>
      <c r="V760"/>
      <c r="X760"/>
    </row>
    <row r="761" spans="1:24" ht="15" customHeight="1" thickBot="1" x14ac:dyDescent="0.35">
      <c r="A761" s="38">
        <v>43490.501388888886</v>
      </c>
      <c r="B761" s="40">
        <v>141967</v>
      </c>
      <c r="C761" s="36" t="s">
        <v>112</v>
      </c>
      <c r="D761" s="17">
        <v>3980000000000</v>
      </c>
      <c r="E761" s="16" t="s">
        <v>132</v>
      </c>
      <c r="F761" s="17">
        <v>1</v>
      </c>
      <c r="G761" s="18">
        <v>11.99</v>
      </c>
      <c r="H761" s="17">
        <v>5.9950000000000001</v>
      </c>
      <c r="I761" s="18">
        <v>11.99</v>
      </c>
      <c r="J761" s="18">
        <v>5.9950000000000001</v>
      </c>
      <c r="K761" s="37" t="str">
        <f t="shared" si="13"/>
        <v>Inexpensive</v>
      </c>
      <c r="L761" s="37"/>
      <c r="N761" s="37"/>
      <c r="O761" s="37"/>
      <c r="P761" s="37"/>
      <c r="Q761" s="37"/>
      <c r="R761" s="37"/>
      <c r="S761" s="37"/>
      <c r="T761" s="37"/>
      <c r="V761"/>
      <c r="X761"/>
    </row>
    <row r="762" spans="1:24" ht="15" customHeight="1" thickBot="1" x14ac:dyDescent="0.35">
      <c r="A762" s="38">
        <v>43480.826388888891</v>
      </c>
      <c r="B762" s="39">
        <v>141968</v>
      </c>
      <c r="C762" s="36" t="s">
        <v>120</v>
      </c>
      <c r="D762" s="17">
        <v>4620000000000</v>
      </c>
      <c r="E762" s="16" t="s">
        <v>132</v>
      </c>
      <c r="F762" s="17">
        <v>1</v>
      </c>
      <c r="G762" s="18">
        <v>300</v>
      </c>
      <c r="H762" s="17">
        <v>99</v>
      </c>
      <c r="I762" s="18">
        <v>300</v>
      </c>
      <c r="J762" s="18">
        <v>201</v>
      </c>
      <c r="K762" s="37" t="str">
        <f t="shared" si="13"/>
        <v>Inexpensive</v>
      </c>
      <c r="L762" s="37"/>
      <c r="N762" s="37"/>
      <c r="O762" s="37"/>
      <c r="P762" s="37"/>
      <c r="Q762" s="37"/>
      <c r="R762" s="37"/>
      <c r="S762" s="37"/>
      <c r="T762" s="37"/>
      <c r="V762"/>
      <c r="X762"/>
    </row>
    <row r="763" spans="1:24" ht="15" customHeight="1" thickBot="1" x14ac:dyDescent="0.35">
      <c r="A763" s="38">
        <v>43480.951388888891</v>
      </c>
      <c r="B763" s="39">
        <v>141969</v>
      </c>
      <c r="C763" s="36" t="s">
        <v>113</v>
      </c>
      <c r="D763" s="17">
        <v>3620000000000</v>
      </c>
      <c r="E763" s="16" t="s">
        <v>131</v>
      </c>
      <c r="F763" s="17">
        <v>1</v>
      </c>
      <c r="G763" s="18">
        <v>149.99</v>
      </c>
      <c r="H763" s="17">
        <v>97.493499999999997</v>
      </c>
      <c r="I763" s="18">
        <v>149.99</v>
      </c>
      <c r="J763" s="18">
        <v>52.496499999999997</v>
      </c>
      <c r="K763" s="37" t="str">
        <f t="shared" si="13"/>
        <v>Inexpensive</v>
      </c>
      <c r="L763" s="37"/>
      <c r="N763" s="37"/>
      <c r="O763" s="37"/>
      <c r="P763" s="37"/>
      <c r="Q763" s="37"/>
      <c r="R763" s="37"/>
      <c r="S763" s="37"/>
      <c r="T763" s="37"/>
      <c r="V763"/>
      <c r="X763"/>
    </row>
    <row r="764" spans="1:24" ht="15" customHeight="1" thickBot="1" x14ac:dyDescent="0.35">
      <c r="A764" s="38">
        <v>43470.54583333333</v>
      </c>
      <c r="B764" s="40">
        <v>141970</v>
      </c>
      <c r="C764" s="36" t="s">
        <v>118</v>
      </c>
      <c r="D764" s="17">
        <v>3560000000000</v>
      </c>
      <c r="E764" s="16" t="s">
        <v>132</v>
      </c>
      <c r="F764" s="17">
        <v>1</v>
      </c>
      <c r="G764" s="18">
        <v>150</v>
      </c>
      <c r="H764" s="17">
        <v>97.5</v>
      </c>
      <c r="I764" s="18">
        <v>150</v>
      </c>
      <c r="J764" s="18">
        <v>52.5</v>
      </c>
      <c r="K764" s="37" t="str">
        <f t="shared" si="13"/>
        <v>Inexpensive</v>
      </c>
      <c r="L764" s="37"/>
      <c r="N764" s="37"/>
      <c r="O764" s="37"/>
      <c r="P764" s="37"/>
      <c r="Q764" s="37"/>
      <c r="R764" s="37"/>
      <c r="S764" s="37"/>
      <c r="T764" s="37"/>
      <c r="V764"/>
      <c r="X764"/>
    </row>
    <row r="765" spans="1:24" ht="15" customHeight="1" thickBot="1" x14ac:dyDescent="0.35">
      <c r="A765" s="38">
        <v>43470.54583333333</v>
      </c>
      <c r="B765" s="40">
        <v>141970</v>
      </c>
      <c r="C765" s="36" t="s">
        <v>111</v>
      </c>
      <c r="D765" s="17">
        <v>6270000000000</v>
      </c>
      <c r="E765" s="16" t="s">
        <v>132</v>
      </c>
      <c r="F765" s="17">
        <v>1</v>
      </c>
      <c r="G765" s="18">
        <v>14.95</v>
      </c>
      <c r="H765" s="17">
        <v>7.4749999999999996</v>
      </c>
      <c r="I765" s="18">
        <v>14.95</v>
      </c>
      <c r="J765" s="18">
        <v>7.4749999999999996</v>
      </c>
      <c r="K765" s="37" t="str">
        <f t="shared" si="13"/>
        <v>Inexpensive</v>
      </c>
      <c r="L765" s="37"/>
      <c r="N765" s="37"/>
      <c r="O765" s="37"/>
      <c r="P765" s="37"/>
      <c r="Q765" s="37"/>
      <c r="R765" s="37"/>
      <c r="S765" s="37"/>
      <c r="T765" s="37"/>
      <c r="V765"/>
      <c r="X765"/>
    </row>
    <row r="766" spans="1:24" ht="15" customHeight="1" thickBot="1" x14ac:dyDescent="0.35">
      <c r="A766" s="38">
        <v>43484.291666666664</v>
      </c>
      <c r="B766" s="39">
        <v>141971</v>
      </c>
      <c r="C766" s="36" t="s">
        <v>125</v>
      </c>
      <c r="D766" s="17">
        <v>4420000000000</v>
      </c>
      <c r="E766" s="16" t="s">
        <v>130</v>
      </c>
      <c r="F766" s="17">
        <v>1</v>
      </c>
      <c r="G766" s="18">
        <v>379.99</v>
      </c>
      <c r="H766" s="17">
        <v>125.3967</v>
      </c>
      <c r="I766" s="18">
        <v>379.99</v>
      </c>
      <c r="J766" s="18">
        <v>254.5933</v>
      </c>
      <c r="K766" s="37" t="str">
        <f t="shared" si="13"/>
        <v>Inexpensive</v>
      </c>
      <c r="L766" s="37"/>
      <c r="N766" s="37"/>
      <c r="O766" s="37"/>
      <c r="P766" s="37"/>
      <c r="Q766" s="37"/>
      <c r="R766" s="37"/>
      <c r="S766" s="37"/>
      <c r="T766" s="37"/>
      <c r="V766"/>
      <c r="X766"/>
    </row>
    <row r="767" spans="1:24" ht="15" customHeight="1" thickBot="1" x14ac:dyDescent="0.35">
      <c r="A767" s="38">
        <v>43489.642361111109</v>
      </c>
      <c r="B767" s="40">
        <v>141972</v>
      </c>
      <c r="C767" s="36" t="s">
        <v>123</v>
      </c>
      <c r="D767" s="17">
        <v>7050000000000</v>
      </c>
      <c r="E767" s="16" t="s">
        <v>132</v>
      </c>
      <c r="F767" s="17">
        <v>1</v>
      </c>
      <c r="G767" s="18">
        <v>600</v>
      </c>
      <c r="H767" s="17">
        <v>198</v>
      </c>
      <c r="I767" s="18">
        <v>600</v>
      </c>
      <c r="J767" s="18">
        <v>402</v>
      </c>
      <c r="K767" s="37" t="str">
        <f t="shared" si="13"/>
        <v>Inexpensive</v>
      </c>
      <c r="L767" s="37"/>
      <c r="N767" s="37"/>
      <c r="O767" s="37"/>
      <c r="P767" s="37"/>
      <c r="Q767" s="37"/>
      <c r="R767" s="37"/>
      <c r="S767" s="37"/>
      <c r="T767" s="37"/>
      <c r="V767"/>
      <c r="X767"/>
    </row>
    <row r="768" spans="1:24" ht="15" customHeight="1" thickBot="1" x14ac:dyDescent="0.35">
      <c r="A768" s="38">
        <v>43489.642361111109</v>
      </c>
      <c r="B768" s="40">
        <v>141972</v>
      </c>
      <c r="C768" s="36" t="s">
        <v>110</v>
      </c>
      <c r="D768" s="17">
        <v>5030000000000</v>
      </c>
      <c r="E768" s="16" t="s">
        <v>131</v>
      </c>
      <c r="F768" s="17">
        <v>1</v>
      </c>
      <c r="G768" s="18">
        <v>700</v>
      </c>
      <c r="H768" s="17">
        <v>231</v>
      </c>
      <c r="I768" s="18">
        <v>700</v>
      </c>
      <c r="J768" s="18">
        <v>469</v>
      </c>
      <c r="K768" s="37" t="str">
        <f t="shared" si="13"/>
        <v>Expensive</v>
      </c>
      <c r="L768" s="37"/>
      <c r="N768" s="37"/>
      <c r="O768" s="37"/>
      <c r="P768" s="37"/>
      <c r="Q768" s="37"/>
      <c r="R768" s="37"/>
      <c r="S768" s="37"/>
      <c r="T768" s="37"/>
      <c r="V768"/>
      <c r="X768"/>
    </row>
    <row r="769" spans="1:24" ht="15" customHeight="1" thickBot="1" x14ac:dyDescent="0.35">
      <c r="A769" s="38">
        <v>43488.317361111112</v>
      </c>
      <c r="B769" s="39">
        <v>141973</v>
      </c>
      <c r="C769" s="36" t="s">
        <v>114</v>
      </c>
      <c r="D769" s="17">
        <v>5360000000000</v>
      </c>
      <c r="E769" s="16" t="s">
        <v>132</v>
      </c>
      <c r="F769" s="17">
        <v>1</v>
      </c>
      <c r="G769" s="18">
        <v>2.99</v>
      </c>
      <c r="H769" s="17">
        <v>1.4950000000000001</v>
      </c>
      <c r="I769" s="18">
        <v>2.99</v>
      </c>
      <c r="J769" s="18">
        <v>1.4950000000000001</v>
      </c>
      <c r="K769" s="37" t="str">
        <f t="shared" si="13"/>
        <v>Inexpensive</v>
      </c>
      <c r="L769" s="37"/>
      <c r="N769" s="37"/>
      <c r="O769" s="37"/>
      <c r="P769" s="37"/>
      <c r="Q769" s="37"/>
      <c r="R769" s="37"/>
      <c r="S769" s="37"/>
      <c r="T769" s="37"/>
      <c r="V769"/>
      <c r="X769"/>
    </row>
    <row r="770" spans="1:24" ht="15" customHeight="1" thickBot="1" x14ac:dyDescent="0.35">
      <c r="A770" s="38">
        <v>43488.870833333334</v>
      </c>
      <c r="B770" s="39">
        <v>141974</v>
      </c>
      <c r="C770" s="36" t="s">
        <v>114</v>
      </c>
      <c r="D770" s="17">
        <v>1480000000000</v>
      </c>
      <c r="E770" s="16" t="s">
        <v>131</v>
      </c>
      <c r="F770" s="17">
        <v>1</v>
      </c>
      <c r="G770" s="18">
        <v>2.99</v>
      </c>
      <c r="H770" s="17">
        <v>1.4950000000000001</v>
      </c>
      <c r="I770" s="18">
        <v>2.99</v>
      </c>
      <c r="J770" s="18">
        <v>1.4950000000000001</v>
      </c>
      <c r="K770" s="37" t="str">
        <f t="shared" si="13"/>
        <v>Inexpensive</v>
      </c>
      <c r="L770" s="37"/>
      <c r="N770" s="37"/>
      <c r="O770" s="37"/>
      <c r="P770" s="37"/>
      <c r="Q770" s="37"/>
      <c r="R770" s="37"/>
      <c r="S770" s="37"/>
      <c r="T770" s="37"/>
      <c r="V770"/>
      <c r="X770"/>
    </row>
    <row r="771" spans="1:24" ht="15" customHeight="1" thickBot="1" x14ac:dyDescent="0.35">
      <c r="A771" s="38">
        <v>43483.911805555559</v>
      </c>
      <c r="B771" s="39">
        <v>141975</v>
      </c>
      <c r="C771" s="36" t="s">
        <v>122</v>
      </c>
      <c r="D771" s="17">
        <v>7550000000000</v>
      </c>
      <c r="E771" s="16" t="s">
        <v>131</v>
      </c>
      <c r="F771" s="17">
        <v>1</v>
      </c>
      <c r="G771" s="18">
        <v>3.84</v>
      </c>
      <c r="H771" s="17">
        <v>1.92</v>
      </c>
      <c r="I771" s="18">
        <v>3.84</v>
      </c>
      <c r="J771" s="18">
        <v>1.92</v>
      </c>
      <c r="K771" s="37" t="str">
        <f t="shared" ref="K771:K834" si="14">IF(G771&gt;=700,"Expensive","Inexpensive")</f>
        <v>Inexpensive</v>
      </c>
      <c r="L771" s="37"/>
      <c r="N771" s="37"/>
      <c r="O771" s="37"/>
      <c r="P771" s="37"/>
      <c r="Q771" s="37"/>
      <c r="R771" s="37"/>
      <c r="S771" s="37"/>
      <c r="T771" s="37"/>
      <c r="V771"/>
      <c r="X771"/>
    </row>
    <row r="772" spans="1:24" ht="15" customHeight="1" thickBot="1" x14ac:dyDescent="0.35">
      <c r="A772" s="38">
        <v>43480.40347222222</v>
      </c>
      <c r="B772" s="39">
        <v>141976</v>
      </c>
      <c r="C772" s="36" t="s">
        <v>116</v>
      </c>
      <c r="D772" s="17">
        <v>2040000000000</v>
      </c>
      <c r="E772" s="16" t="s">
        <v>131</v>
      </c>
      <c r="F772" s="17">
        <v>1</v>
      </c>
      <c r="G772" s="18">
        <v>11.95</v>
      </c>
      <c r="H772" s="17">
        <v>5.9749999999999996</v>
      </c>
      <c r="I772" s="18">
        <v>11.95</v>
      </c>
      <c r="J772" s="18">
        <v>5.9749999999999996</v>
      </c>
      <c r="K772" s="37" t="str">
        <f t="shared" si="14"/>
        <v>Inexpensive</v>
      </c>
      <c r="L772" s="37"/>
      <c r="N772" s="37"/>
      <c r="O772" s="37"/>
      <c r="P772" s="37"/>
      <c r="Q772" s="37"/>
      <c r="R772" s="37"/>
      <c r="S772" s="37"/>
      <c r="T772" s="37"/>
      <c r="V772"/>
      <c r="X772"/>
    </row>
    <row r="773" spans="1:24" ht="15" customHeight="1" thickBot="1" x14ac:dyDescent="0.35">
      <c r="A773" s="38">
        <v>43474.167361111111</v>
      </c>
      <c r="B773" s="39">
        <v>141977</v>
      </c>
      <c r="C773" s="36" t="s">
        <v>113</v>
      </c>
      <c r="D773" s="17">
        <v>2560000000000</v>
      </c>
      <c r="E773" s="16" t="s">
        <v>130</v>
      </c>
      <c r="F773" s="17">
        <v>1</v>
      </c>
      <c r="G773" s="18">
        <v>149.99</v>
      </c>
      <c r="H773" s="17">
        <v>97.493499999999997</v>
      </c>
      <c r="I773" s="18">
        <v>149.99</v>
      </c>
      <c r="J773" s="18">
        <v>52.496499999999997</v>
      </c>
      <c r="K773" s="37" t="str">
        <f t="shared" si="14"/>
        <v>Inexpensive</v>
      </c>
      <c r="L773" s="37"/>
      <c r="N773" s="37"/>
      <c r="O773" s="37"/>
      <c r="P773" s="37"/>
      <c r="Q773" s="37"/>
      <c r="R773" s="37"/>
      <c r="S773" s="37"/>
      <c r="T773" s="37"/>
      <c r="V773"/>
      <c r="X773"/>
    </row>
    <row r="774" spans="1:24" ht="15" customHeight="1" thickBot="1" x14ac:dyDescent="0.35">
      <c r="A774" s="38">
        <v>43491.543055555558</v>
      </c>
      <c r="B774" s="39">
        <v>141978</v>
      </c>
      <c r="C774" s="36" t="s">
        <v>112</v>
      </c>
      <c r="D774" s="17">
        <v>8230000000000</v>
      </c>
      <c r="E774" s="16" t="s">
        <v>131</v>
      </c>
      <c r="F774" s="17">
        <v>1</v>
      </c>
      <c r="G774" s="18">
        <v>11.99</v>
      </c>
      <c r="H774" s="17">
        <v>5.9950000000000001</v>
      </c>
      <c r="I774" s="18">
        <v>11.99</v>
      </c>
      <c r="J774" s="18">
        <v>5.9950000000000001</v>
      </c>
      <c r="K774" s="37" t="str">
        <f t="shared" si="14"/>
        <v>Inexpensive</v>
      </c>
      <c r="L774" s="37"/>
      <c r="N774" s="37"/>
      <c r="O774" s="37"/>
      <c r="P774" s="37"/>
      <c r="Q774" s="37"/>
      <c r="R774" s="37"/>
      <c r="S774" s="37"/>
      <c r="T774" s="37"/>
      <c r="V774"/>
      <c r="X774"/>
    </row>
    <row r="775" spans="1:24" ht="15" customHeight="1" thickBot="1" x14ac:dyDescent="0.35">
      <c r="A775" s="38">
        <v>43473.847916666666</v>
      </c>
      <c r="B775" s="39">
        <v>141979</v>
      </c>
      <c r="C775" s="36" t="s">
        <v>120</v>
      </c>
      <c r="D775" s="17">
        <v>9730000000000</v>
      </c>
      <c r="E775" s="16" t="s">
        <v>131</v>
      </c>
      <c r="F775" s="17">
        <v>1</v>
      </c>
      <c r="G775" s="18">
        <v>300</v>
      </c>
      <c r="H775" s="17">
        <v>99</v>
      </c>
      <c r="I775" s="18">
        <v>300</v>
      </c>
      <c r="J775" s="18">
        <v>201</v>
      </c>
      <c r="K775" s="37" t="str">
        <f t="shared" si="14"/>
        <v>Inexpensive</v>
      </c>
      <c r="L775" s="37"/>
      <c r="N775" s="37"/>
      <c r="O775" s="37"/>
      <c r="P775" s="37"/>
      <c r="Q775" s="37"/>
      <c r="R775" s="37"/>
      <c r="S775" s="37"/>
      <c r="T775" s="37"/>
      <c r="V775"/>
      <c r="X775"/>
    </row>
    <row r="776" spans="1:24" ht="15" customHeight="1" thickBot="1" x14ac:dyDescent="0.35">
      <c r="A776" s="38">
        <v>43470.914583333331</v>
      </c>
      <c r="B776" s="39">
        <v>141980</v>
      </c>
      <c r="C776" s="36" t="s">
        <v>117</v>
      </c>
      <c r="D776" s="17">
        <v>8350000000000</v>
      </c>
      <c r="E776" s="16" t="s">
        <v>132</v>
      </c>
      <c r="F776" s="17">
        <v>1</v>
      </c>
      <c r="G776" s="18">
        <v>99.99</v>
      </c>
      <c r="H776" s="17">
        <v>49.994999999999997</v>
      </c>
      <c r="I776" s="18">
        <v>99.99</v>
      </c>
      <c r="J776" s="18">
        <v>49.994999999999997</v>
      </c>
      <c r="K776" s="37" t="str">
        <f t="shared" si="14"/>
        <v>Inexpensive</v>
      </c>
      <c r="L776" s="37"/>
      <c r="N776" s="37"/>
      <c r="O776" s="37"/>
      <c r="P776" s="37"/>
      <c r="Q776" s="37"/>
      <c r="R776" s="37"/>
      <c r="S776" s="37"/>
      <c r="T776" s="37"/>
      <c r="V776"/>
      <c r="X776"/>
    </row>
    <row r="777" spans="1:24" ht="15" customHeight="1" thickBot="1" x14ac:dyDescent="0.35">
      <c r="A777" s="38">
        <v>43467.923611111109</v>
      </c>
      <c r="B777" s="39">
        <v>141981</v>
      </c>
      <c r="C777" s="36" t="s">
        <v>124</v>
      </c>
      <c r="D777" s="17">
        <v>8590000000000</v>
      </c>
      <c r="E777" s="16" t="s">
        <v>130</v>
      </c>
      <c r="F777" s="17">
        <v>1</v>
      </c>
      <c r="G777" s="18">
        <v>109.99</v>
      </c>
      <c r="H777" s="17">
        <v>71.493499999999997</v>
      </c>
      <c r="I777" s="18">
        <v>109.99</v>
      </c>
      <c r="J777" s="18">
        <v>38.496499999999997</v>
      </c>
      <c r="K777" s="37" t="str">
        <f t="shared" si="14"/>
        <v>Inexpensive</v>
      </c>
      <c r="L777" s="37"/>
      <c r="N777" s="37"/>
      <c r="O777" s="37"/>
      <c r="P777" s="37"/>
      <c r="Q777" s="37"/>
      <c r="R777" s="37"/>
      <c r="S777" s="37"/>
      <c r="T777" s="37"/>
      <c r="V777"/>
      <c r="X777"/>
    </row>
    <row r="778" spans="1:24" ht="15" customHeight="1" thickBot="1" x14ac:dyDescent="0.35">
      <c r="A778" s="38">
        <v>43476.664583333331</v>
      </c>
      <c r="B778" s="39">
        <v>141982</v>
      </c>
      <c r="C778" s="36" t="s">
        <v>113</v>
      </c>
      <c r="D778" s="17">
        <v>2910000000000</v>
      </c>
      <c r="E778" s="16" t="s">
        <v>132</v>
      </c>
      <c r="F778" s="17">
        <v>1</v>
      </c>
      <c r="G778" s="18">
        <v>149.99</v>
      </c>
      <c r="H778" s="17">
        <v>97.493499999999997</v>
      </c>
      <c r="I778" s="18">
        <v>149.99</v>
      </c>
      <c r="J778" s="18">
        <v>52.496499999999997</v>
      </c>
      <c r="K778" s="37" t="str">
        <f t="shared" si="14"/>
        <v>Inexpensive</v>
      </c>
      <c r="L778" s="37"/>
      <c r="N778" s="37"/>
      <c r="O778" s="37"/>
      <c r="P778" s="37"/>
      <c r="Q778" s="37"/>
      <c r="R778" s="37"/>
      <c r="S778" s="37"/>
      <c r="T778" s="37"/>
      <c r="V778"/>
      <c r="X778"/>
    </row>
    <row r="779" spans="1:24" ht="15" customHeight="1" thickBot="1" x14ac:dyDescent="0.35">
      <c r="A779" s="38">
        <v>43470.727083333331</v>
      </c>
      <c r="B779" s="39">
        <v>141983</v>
      </c>
      <c r="C779" s="36" t="s">
        <v>115</v>
      </c>
      <c r="D779" s="17">
        <v>8620000000000</v>
      </c>
      <c r="E779" s="16" t="s">
        <v>130</v>
      </c>
      <c r="F779" s="17">
        <v>1</v>
      </c>
      <c r="G779" s="18">
        <v>389.99</v>
      </c>
      <c r="H779" s="17">
        <v>128.69669999999999</v>
      </c>
      <c r="I779" s="18">
        <v>389.99</v>
      </c>
      <c r="J779" s="18">
        <v>261.29329999999999</v>
      </c>
      <c r="K779" s="37" t="str">
        <f t="shared" si="14"/>
        <v>Inexpensive</v>
      </c>
      <c r="L779" s="37"/>
      <c r="N779" s="37"/>
      <c r="O779" s="37"/>
      <c r="P779" s="37"/>
      <c r="Q779" s="37"/>
      <c r="R779" s="37"/>
      <c r="S779" s="37"/>
      <c r="T779" s="37"/>
      <c r="V779"/>
      <c r="X779"/>
    </row>
    <row r="780" spans="1:24" ht="15" customHeight="1" thickBot="1" x14ac:dyDescent="0.35">
      <c r="A780" s="38">
        <v>43488.7</v>
      </c>
      <c r="B780" s="39">
        <v>141984</v>
      </c>
      <c r="C780" s="36" t="s">
        <v>121</v>
      </c>
      <c r="D780" s="17">
        <v>3280000000000</v>
      </c>
      <c r="E780" s="16" t="s">
        <v>131</v>
      </c>
      <c r="F780" s="17">
        <v>1</v>
      </c>
      <c r="G780" s="18">
        <v>400</v>
      </c>
      <c r="H780" s="17">
        <v>132</v>
      </c>
      <c r="I780" s="18">
        <v>400</v>
      </c>
      <c r="J780" s="18">
        <v>268</v>
      </c>
      <c r="K780" s="37" t="str">
        <f t="shared" si="14"/>
        <v>Inexpensive</v>
      </c>
      <c r="L780" s="37"/>
      <c r="N780" s="37"/>
      <c r="O780" s="37"/>
      <c r="P780" s="37"/>
      <c r="Q780" s="37"/>
      <c r="R780" s="37"/>
      <c r="S780" s="37"/>
      <c r="T780" s="37"/>
      <c r="V780"/>
      <c r="X780"/>
    </row>
    <row r="781" spans="1:24" ht="15" customHeight="1" thickBot="1" x14ac:dyDescent="0.35">
      <c r="A781" s="38">
        <v>43491.824999999997</v>
      </c>
      <c r="B781" s="39">
        <v>141985</v>
      </c>
      <c r="C781" s="36" t="s">
        <v>118</v>
      </c>
      <c r="D781" s="17">
        <v>8540000000000</v>
      </c>
      <c r="E781" s="16" t="s">
        <v>131</v>
      </c>
      <c r="F781" s="17">
        <v>1</v>
      </c>
      <c r="G781" s="18">
        <v>150</v>
      </c>
      <c r="H781" s="17">
        <v>97.5</v>
      </c>
      <c r="I781" s="18">
        <v>150</v>
      </c>
      <c r="J781" s="18">
        <v>52.5</v>
      </c>
      <c r="K781" s="37" t="str">
        <f t="shared" si="14"/>
        <v>Inexpensive</v>
      </c>
      <c r="L781" s="37"/>
      <c r="N781" s="37"/>
      <c r="O781" s="37"/>
      <c r="P781" s="37"/>
      <c r="Q781" s="37"/>
      <c r="R781" s="37"/>
      <c r="S781" s="37"/>
      <c r="T781" s="37"/>
      <c r="V781"/>
      <c r="X781"/>
    </row>
    <row r="782" spans="1:24" ht="15" customHeight="1" thickBot="1" x14ac:dyDescent="0.35">
      <c r="A782" s="38">
        <v>43496.597916666666</v>
      </c>
      <c r="B782" s="39">
        <v>141986</v>
      </c>
      <c r="C782" s="36" t="s">
        <v>111</v>
      </c>
      <c r="D782" s="17">
        <v>6550000000000</v>
      </c>
      <c r="E782" s="16" t="s">
        <v>131</v>
      </c>
      <c r="F782" s="17">
        <v>1</v>
      </c>
      <c r="G782" s="18">
        <v>14.95</v>
      </c>
      <c r="H782" s="17">
        <v>7.4749999999999996</v>
      </c>
      <c r="I782" s="18">
        <v>14.95</v>
      </c>
      <c r="J782" s="18">
        <v>7.4749999999999996</v>
      </c>
      <c r="K782" s="37" t="str">
        <f t="shared" si="14"/>
        <v>Inexpensive</v>
      </c>
      <c r="L782" s="37"/>
      <c r="N782" s="37"/>
      <c r="O782" s="37"/>
      <c r="P782" s="37"/>
      <c r="Q782" s="37"/>
      <c r="R782" s="37"/>
      <c r="S782" s="37"/>
      <c r="T782" s="37"/>
      <c r="V782"/>
      <c r="X782"/>
    </row>
    <row r="783" spans="1:24" ht="15" customHeight="1" thickBot="1" x14ac:dyDescent="0.35">
      <c r="A783" s="38">
        <v>43494.705555555556</v>
      </c>
      <c r="B783" s="39">
        <v>141987</v>
      </c>
      <c r="C783" s="36" t="s">
        <v>123</v>
      </c>
      <c r="D783" s="17">
        <v>8210000000000</v>
      </c>
      <c r="E783" s="16" t="s">
        <v>131</v>
      </c>
      <c r="F783" s="17">
        <v>1</v>
      </c>
      <c r="G783" s="18">
        <v>600</v>
      </c>
      <c r="H783" s="17">
        <v>198</v>
      </c>
      <c r="I783" s="18">
        <v>600</v>
      </c>
      <c r="J783" s="18">
        <v>402</v>
      </c>
      <c r="K783" s="37" t="str">
        <f t="shared" si="14"/>
        <v>Inexpensive</v>
      </c>
      <c r="L783" s="37"/>
      <c r="N783" s="37"/>
      <c r="O783" s="37"/>
      <c r="P783" s="37"/>
      <c r="Q783" s="37"/>
      <c r="R783" s="37"/>
      <c r="S783" s="37"/>
      <c r="T783" s="37"/>
      <c r="V783"/>
      <c r="X783"/>
    </row>
    <row r="784" spans="1:24" ht="15" customHeight="1" thickBot="1" x14ac:dyDescent="0.35">
      <c r="A784" s="38">
        <v>43482.477777777778</v>
      </c>
      <c r="B784" s="39">
        <v>141988</v>
      </c>
      <c r="C784" s="36" t="s">
        <v>117</v>
      </c>
      <c r="D784" s="17">
        <v>2980000000000</v>
      </c>
      <c r="E784" s="16" t="s">
        <v>131</v>
      </c>
      <c r="F784" s="17">
        <v>1</v>
      </c>
      <c r="G784" s="18">
        <v>99.99</v>
      </c>
      <c r="H784" s="17">
        <v>49.994999999999997</v>
      </c>
      <c r="I784" s="18">
        <v>99.99</v>
      </c>
      <c r="J784" s="18">
        <v>49.994999999999997</v>
      </c>
      <c r="K784" s="37" t="str">
        <f t="shared" si="14"/>
        <v>Inexpensive</v>
      </c>
      <c r="L784" s="37"/>
      <c r="N784" s="37"/>
      <c r="O784" s="37"/>
      <c r="P784" s="37"/>
      <c r="Q784" s="37"/>
      <c r="R784" s="37"/>
      <c r="S784" s="37"/>
      <c r="T784" s="37"/>
      <c r="V784"/>
      <c r="X784"/>
    </row>
    <row r="785" spans="1:24" ht="15" customHeight="1" thickBot="1" x14ac:dyDescent="0.35">
      <c r="A785" s="38">
        <v>43480.48333333333</v>
      </c>
      <c r="B785" s="39">
        <v>141989</v>
      </c>
      <c r="C785" s="36" t="s">
        <v>117</v>
      </c>
      <c r="D785" s="17">
        <v>5630000000000</v>
      </c>
      <c r="E785" s="16" t="s">
        <v>130</v>
      </c>
      <c r="F785" s="17">
        <v>1</v>
      </c>
      <c r="G785" s="18">
        <v>99.99</v>
      </c>
      <c r="H785" s="17">
        <v>49.994999999999997</v>
      </c>
      <c r="I785" s="18">
        <v>99.99</v>
      </c>
      <c r="J785" s="18">
        <v>49.994999999999997</v>
      </c>
      <c r="K785" s="37" t="str">
        <f t="shared" si="14"/>
        <v>Inexpensive</v>
      </c>
      <c r="L785" s="37"/>
      <c r="N785" s="37"/>
      <c r="O785" s="37"/>
      <c r="P785" s="37"/>
      <c r="Q785" s="37"/>
      <c r="R785" s="37"/>
      <c r="S785" s="37"/>
      <c r="T785" s="37"/>
      <c r="V785"/>
      <c r="X785"/>
    </row>
    <row r="786" spans="1:24" ht="15" customHeight="1" thickBot="1" x14ac:dyDescent="0.35">
      <c r="A786" s="38">
        <v>43483.027083333334</v>
      </c>
      <c r="B786" s="39">
        <v>141990</v>
      </c>
      <c r="C786" s="36" t="s">
        <v>116</v>
      </c>
      <c r="D786" s="17">
        <v>4650000000000</v>
      </c>
      <c r="E786" s="16" t="s">
        <v>130</v>
      </c>
      <c r="F786" s="17">
        <v>1</v>
      </c>
      <c r="G786" s="18">
        <v>11.95</v>
      </c>
      <c r="H786" s="17">
        <v>5.9749999999999996</v>
      </c>
      <c r="I786" s="18">
        <v>11.95</v>
      </c>
      <c r="J786" s="18">
        <v>5.9749999999999996</v>
      </c>
      <c r="K786" s="37" t="str">
        <f t="shared" si="14"/>
        <v>Inexpensive</v>
      </c>
      <c r="L786" s="37"/>
      <c r="N786" s="37"/>
      <c r="O786" s="37"/>
      <c r="P786" s="37"/>
      <c r="Q786" s="37"/>
      <c r="R786" s="37"/>
      <c r="S786" s="37"/>
      <c r="T786" s="37"/>
      <c r="V786"/>
      <c r="X786"/>
    </row>
    <row r="787" spans="1:24" ht="15" customHeight="1" thickBot="1" x14ac:dyDescent="0.35">
      <c r="A787" s="38">
        <v>43466.82708333333</v>
      </c>
      <c r="B787" s="39">
        <v>141991</v>
      </c>
      <c r="C787" s="36" t="s">
        <v>114</v>
      </c>
      <c r="D787" s="17">
        <v>2640000000000</v>
      </c>
      <c r="E787" s="16" t="s">
        <v>130</v>
      </c>
      <c r="F787" s="17">
        <v>2</v>
      </c>
      <c r="G787" s="18">
        <v>2.99</v>
      </c>
      <c r="H787" s="17">
        <v>1.4950000000000001</v>
      </c>
      <c r="I787" s="18">
        <v>5.98</v>
      </c>
      <c r="J787" s="18">
        <v>2.99</v>
      </c>
      <c r="K787" s="37" t="str">
        <f t="shared" si="14"/>
        <v>Inexpensive</v>
      </c>
      <c r="L787" s="37"/>
      <c r="N787" s="37"/>
      <c r="O787" s="37"/>
      <c r="P787" s="37"/>
      <c r="Q787" s="37"/>
      <c r="R787" s="37"/>
      <c r="S787" s="37"/>
      <c r="T787" s="37"/>
      <c r="V787"/>
      <c r="X787"/>
    </row>
    <row r="788" spans="1:24" ht="15" customHeight="1" thickBot="1" x14ac:dyDescent="0.35">
      <c r="A788" s="38">
        <v>43467.935416666667</v>
      </c>
      <c r="B788" s="39">
        <v>141992</v>
      </c>
      <c r="C788" s="36" t="s">
        <v>117</v>
      </c>
      <c r="D788" s="17">
        <v>9270000000000</v>
      </c>
      <c r="E788" s="16" t="s">
        <v>132</v>
      </c>
      <c r="F788" s="17">
        <v>1</v>
      </c>
      <c r="G788" s="18">
        <v>99.99</v>
      </c>
      <c r="H788" s="17">
        <v>49.994999999999997</v>
      </c>
      <c r="I788" s="18">
        <v>99.99</v>
      </c>
      <c r="J788" s="18">
        <v>49.994999999999997</v>
      </c>
      <c r="K788" s="37" t="str">
        <f t="shared" si="14"/>
        <v>Inexpensive</v>
      </c>
      <c r="L788" s="37"/>
      <c r="N788" s="37"/>
      <c r="O788" s="37"/>
      <c r="P788" s="37"/>
      <c r="Q788" s="37"/>
      <c r="R788" s="37"/>
      <c r="S788" s="37"/>
      <c r="T788" s="37"/>
      <c r="V788"/>
      <c r="X788"/>
    </row>
    <row r="789" spans="1:24" ht="15" customHeight="1" thickBot="1" x14ac:dyDescent="0.35">
      <c r="A789" s="38">
        <v>43471.388194444444</v>
      </c>
      <c r="B789" s="40">
        <v>141993</v>
      </c>
      <c r="C789" s="36" t="s">
        <v>110</v>
      </c>
      <c r="D789" s="17">
        <v>9150000000000</v>
      </c>
      <c r="E789" s="16" t="s">
        <v>130</v>
      </c>
      <c r="F789" s="17">
        <v>1</v>
      </c>
      <c r="G789" s="18">
        <v>700</v>
      </c>
      <c r="H789" s="17">
        <v>231</v>
      </c>
      <c r="I789" s="18">
        <v>700</v>
      </c>
      <c r="J789" s="18">
        <v>469</v>
      </c>
      <c r="K789" s="37" t="str">
        <f t="shared" si="14"/>
        <v>Expensive</v>
      </c>
      <c r="L789" s="37"/>
      <c r="N789" s="37"/>
      <c r="O789" s="37"/>
      <c r="P789" s="37"/>
      <c r="Q789" s="37"/>
      <c r="R789" s="37"/>
      <c r="S789" s="37"/>
      <c r="T789" s="37"/>
      <c r="V789"/>
      <c r="X789"/>
    </row>
    <row r="790" spans="1:24" ht="15" customHeight="1" thickBot="1" x14ac:dyDescent="0.35">
      <c r="A790" s="38">
        <v>43471.388194444444</v>
      </c>
      <c r="B790" s="40">
        <v>141993</v>
      </c>
      <c r="C790" s="36" t="s">
        <v>112</v>
      </c>
      <c r="D790" s="17">
        <v>3260000000000</v>
      </c>
      <c r="E790" s="16" t="s">
        <v>130</v>
      </c>
      <c r="F790" s="17">
        <v>1</v>
      </c>
      <c r="G790" s="18">
        <v>11.99</v>
      </c>
      <c r="H790" s="17">
        <v>5.9950000000000001</v>
      </c>
      <c r="I790" s="18">
        <v>11.99</v>
      </c>
      <c r="J790" s="18">
        <v>5.9950000000000001</v>
      </c>
      <c r="K790" s="37" t="str">
        <f t="shared" si="14"/>
        <v>Inexpensive</v>
      </c>
      <c r="L790" s="37"/>
      <c r="N790" s="37"/>
      <c r="O790" s="37"/>
      <c r="P790" s="37"/>
      <c r="Q790" s="37"/>
      <c r="R790" s="37"/>
      <c r="S790" s="37"/>
      <c r="T790" s="37"/>
      <c r="V790"/>
      <c r="X790"/>
    </row>
    <row r="791" spans="1:24" ht="15" customHeight="1" thickBot="1" x14ac:dyDescent="0.35">
      <c r="A791" s="38">
        <v>43467.365972222222</v>
      </c>
      <c r="B791" s="39">
        <v>141994</v>
      </c>
      <c r="C791" s="36" t="s">
        <v>111</v>
      </c>
      <c r="D791" s="17">
        <v>3100000000000</v>
      </c>
      <c r="E791" s="16" t="s">
        <v>130</v>
      </c>
      <c r="F791" s="17">
        <v>1</v>
      </c>
      <c r="G791" s="18">
        <v>14.95</v>
      </c>
      <c r="H791" s="17">
        <v>7.4749999999999996</v>
      </c>
      <c r="I791" s="18">
        <v>14.95</v>
      </c>
      <c r="J791" s="18">
        <v>7.4749999999999996</v>
      </c>
      <c r="K791" s="37" t="str">
        <f t="shared" si="14"/>
        <v>Inexpensive</v>
      </c>
      <c r="L791" s="37"/>
      <c r="N791" s="37"/>
      <c r="O791" s="37"/>
      <c r="P791" s="37"/>
      <c r="Q791" s="37"/>
      <c r="R791" s="37"/>
      <c r="S791" s="37"/>
      <c r="T791" s="37"/>
      <c r="V791"/>
      <c r="X791"/>
    </row>
    <row r="792" spans="1:24" ht="15" customHeight="1" thickBot="1" x14ac:dyDescent="0.35">
      <c r="A792" s="38">
        <v>43476.450694444444</v>
      </c>
      <c r="B792" s="39">
        <v>141995</v>
      </c>
      <c r="C792" s="36" t="s">
        <v>122</v>
      </c>
      <c r="D792" s="17">
        <v>8660000000000</v>
      </c>
      <c r="E792" s="16" t="s">
        <v>130</v>
      </c>
      <c r="F792" s="17">
        <v>1</v>
      </c>
      <c r="G792" s="18">
        <v>3.84</v>
      </c>
      <c r="H792" s="17">
        <v>1.92</v>
      </c>
      <c r="I792" s="18">
        <v>3.84</v>
      </c>
      <c r="J792" s="18">
        <v>1.92</v>
      </c>
      <c r="K792" s="37" t="str">
        <f t="shared" si="14"/>
        <v>Inexpensive</v>
      </c>
      <c r="L792" s="37"/>
      <c r="N792" s="37"/>
      <c r="O792" s="37"/>
      <c r="P792" s="37"/>
      <c r="Q792" s="37"/>
      <c r="R792" s="37"/>
      <c r="S792" s="37"/>
      <c r="T792" s="37"/>
      <c r="V792"/>
      <c r="X792"/>
    </row>
    <row r="793" spans="1:24" ht="15" customHeight="1" thickBot="1" x14ac:dyDescent="0.35">
      <c r="A793" s="38">
        <v>43485.870138888888</v>
      </c>
      <c r="B793" s="39">
        <v>141996</v>
      </c>
      <c r="C793" s="36" t="s">
        <v>111</v>
      </c>
      <c r="D793" s="17">
        <v>7680000000000</v>
      </c>
      <c r="E793" s="16" t="s">
        <v>132</v>
      </c>
      <c r="F793" s="17">
        <v>1</v>
      </c>
      <c r="G793" s="18">
        <v>14.95</v>
      </c>
      <c r="H793" s="17">
        <v>7.4749999999999996</v>
      </c>
      <c r="I793" s="18">
        <v>14.95</v>
      </c>
      <c r="J793" s="18">
        <v>7.4749999999999996</v>
      </c>
      <c r="K793" s="37" t="str">
        <f t="shared" si="14"/>
        <v>Inexpensive</v>
      </c>
      <c r="L793" s="37"/>
      <c r="N793" s="37"/>
      <c r="O793" s="37"/>
      <c r="P793" s="37"/>
      <c r="Q793" s="37"/>
      <c r="R793" s="37"/>
      <c r="S793" s="37"/>
      <c r="T793" s="37"/>
      <c r="V793"/>
      <c r="X793"/>
    </row>
    <row r="794" spans="1:24" ht="15" customHeight="1" thickBot="1" x14ac:dyDescent="0.35">
      <c r="A794" s="38">
        <v>43491.538194444445</v>
      </c>
      <c r="B794" s="39">
        <v>141997</v>
      </c>
      <c r="C794" s="36" t="s">
        <v>113</v>
      </c>
      <c r="D794" s="17">
        <v>5410000000000</v>
      </c>
      <c r="E794" s="16" t="s">
        <v>131</v>
      </c>
      <c r="F794" s="17">
        <v>1</v>
      </c>
      <c r="G794" s="18">
        <v>149.99</v>
      </c>
      <c r="H794" s="17">
        <v>97.493499999999997</v>
      </c>
      <c r="I794" s="18">
        <v>149.99</v>
      </c>
      <c r="J794" s="18">
        <v>52.496499999999997</v>
      </c>
      <c r="K794" s="37" t="str">
        <f t="shared" si="14"/>
        <v>Inexpensive</v>
      </c>
      <c r="L794" s="37"/>
      <c r="N794" s="37"/>
      <c r="O794" s="37"/>
      <c r="P794" s="37"/>
      <c r="Q794" s="37"/>
      <c r="R794" s="37"/>
      <c r="S794" s="37"/>
      <c r="T794" s="37"/>
      <c r="V794"/>
      <c r="X794"/>
    </row>
    <row r="795" spans="1:24" ht="15" customHeight="1" thickBot="1" x14ac:dyDescent="0.35">
      <c r="A795" s="38">
        <v>43491.804861111108</v>
      </c>
      <c r="B795" s="39">
        <v>141998</v>
      </c>
      <c r="C795" s="36" t="s">
        <v>114</v>
      </c>
      <c r="D795" s="17">
        <v>7500000000000</v>
      </c>
      <c r="E795" s="16" t="s">
        <v>132</v>
      </c>
      <c r="F795" s="17">
        <v>3</v>
      </c>
      <c r="G795" s="18">
        <v>2.99</v>
      </c>
      <c r="H795" s="17">
        <v>1.4950000000000001</v>
      </c>
      <c r="I795" s="18">
        <v>8.9700000000000006</v>
      </c>
      <c r="J795" s="18">
        <v>4.4850000000000003</v>
      </c>
      <c r="K795" s="37" t="str">
        <f t="shared" si="14"/>
        <v>Inexpensive</v>
      </c>
      <c r="L795" s="37"/>
      <c r="N795" s="37"/>
      <c r="O795" s="37"/>
      <c r="P795" s="37"/>
      <c r="Q795" s="37"/>
      <c r="R795" s="37"/>
      <c r="S795" s="37"/>
      <c r="T795" s="37"/>
      <c r="V795"/>
      <c r="X795"/>
    </row>
    <row r="796" spans="1:24" ht="15" customHeight="1" thickBot="1" x14ac:dyDescent="0.35">
      <c r="A796" s="38">
        <v>43489.347916666666</v>
      </c>
      <c r="B796" s="39">
        <v>141999</v>
      </c>
      <c r="C796" s="36" t="s">
        <v>113</v>
      </c>
      <c r="D796" s="17">
        <v>9350000000000</v>
      </c>
      <c r="E796" s="16" t="s">
        <v>130</v>
      </c>
      <c r="F796" s="17">
        <v>1</v>
      </c>
      <c r="G796" s="18">
        <v>149.99</v>
      </c>
      <c r="H796" s="17">
        <v>97.493499999999997</v>
      </c>
      <c r="I796" s="18">
        <v>149.99</v>
      </c>
      <c r="J796" s="18">
        <v>52.496499999999997</v>
      </c>
      <c r="K796" s="37" t="str">
        <f t="shared" si="14"/>
        <v>Inexpensive</v>
      </c>
      <c r="L796" s="37"/>
      <c r="N796" s="37"/>
      <c r="O796" s="37"/>
      <c r="P796" s="37"/>
      <c r="Q796" s="37"/>
      <c r="R796" s="37"/>
      <c r="S796" s="37"/>
      <c r="T796" s="37"/>
      <c r="V796"/>
      <c r="X796"/>
    </row>
    <row r="797" spans="1:24" ht="15" customHeight="1" thickBot="1" x14ac:dyDescent="0.35">
      <c r="A797" s="38">
        <v>43488.45416666667</v>
      </c>
      <c r="B797" s="39">
        <v>142000</v>
      </c>
      <c r="C797" s="36" t="s">
        <v>115</v>
      </c>
      <c r="D797" s="17">
        <v>9860000000000</v>
      </c>
      <c r="E797" s="16" t="s">
        <v>132</v>
      </c>
      <c r="F797" s="17">
        <v>1</v>
      </c>
      <c r="G797" s="18">
        <v>389.99</v>
      </c>
      <c r="H797" s="17">
        <v>128.69669999999999</v>
      </c>
      <c r="I797" s="18">
        <v>389.99</v>
      </c>
      <c r="J797" s="18">
        <v>261.29329999999999</v>
      </c>
      <c r="K797" s="37" t="str">
        <f t="shared" si="14"/>
        <v>Inexpensive</v>
      </c>
      <c r="L797" s="37"/>
      <c r="N797" s="37"/>
      <c r="O797" s="37"/>
      <c r="P797" s="37"/>
      <c r="Q797" s="37"/>
      <c r="R797" s="37"/>
      <c r="S797" s="37"/>
      <c r="T797" s="37"/>
      <c r="V797"/>
      <c r="X797"/>
    </row>
    <row r="798" spans="1:24" ht="15" customHeight="1" thickBot="1" x14ac:dyDescent="0.35">
      <c r="A798" s="38">
        <v>43494.706944444442</v>
      </c>
      <c r="B798" s="39">
        <v>142001</v>
      </c>
      <c r="C798" s="36" t="s">
        <v>114</v>
      </c>
      <c r="D798" s="17">
        <v>3160000000000</v>
      </c>
      <c r="E798" s="16" t="s">
        <v>131</v>
      </c>
      <c r="F798" s="17">
        <v>1</v>
      </c>
      <c r="G798" s="18">
        <v>2.99</v>
      </c>
      <c r="H798" s="17">
        <v>1.4950000000000001</v>
      </c>
      <c r="I798" s="18">
        <v>2.99</v>
      </c>
      <c r="J798" s="18">
        <v>1.4950000000000001</v>
      </c>
      <c r="K798" s="37" t="str">
        <f t="shared" si="14"/>
        <v>Inexpensive</v>
      </c>
      <c r="L798" s="37"/>
      <c r="N798" s="37"/>
      <c r="O798" s="37"/>
      <c r="P798" s="37"/>
      <c r="Q798" s="37"/>
      <c r="R798" s="37"/>
      <c r="S798" s="37"/>
      <c r="T798" s="37"/>
      <c r="V798"/>
      <c r="X798"/>
    </row>
    <row r="799" spans="1:24" ht="15" customHeight="1" thickBot="1" x14ac:dyDescent="0.35">
      <c r="A799" s="38">
        <v>43485.90625</v>
      </c>
      <c r="B799" s="39">
        <v>142002</v>
      </c>
      <c r="C799" s="36" t="s">
        <v>113</v>
      </c>
      <c r="D799" s="17">
        <v>1210000000000</v>
      </c>
      <c r="E799" s="16" t="s">
        <v>132</v>
      </c>
      <c r="F799" s="17">
        <v>1</v>
      </c>
      <c r="G799" s="18">
        <v>149.99</v>
      </c>
      <c r="H799" s="17">
        <v>97.493499999999997</v>
      </c>
      <c r="I799" s="18">
        <v>149.99</v>
      </c>
      <c r="J799" s="18">
        <v>52.496499999999997</v>
      </c>
      <c r="K799" s="37" t="str">
        <f t="shared" si="14"/>
        <v>Inexpensive</v>
      </c>
      <c r="L799" s="37"/>
      <c r="N799" s="37"/>
      <c r="O799" s="37"/>
      <c r="P799" s="37"/>
      <c r="Q799" s="37"/>
      <c r="R799" s="37"/>
      <c r="S799" s="37"/>
      <c r="T799" s="37"/>
      <c r="V799"/>
      <c r="X799"/>
    </row>
    <row r="800" spans="1:24" ht="15" customHeight="1" thickBot="1" x14ac:dyDescent="0.35">
      <c r="A800" s="38">
        <v>43484.744444444441</v>
      </c>
      <c r="B800" s="39">
        <v>142003</v>
      </c>
      <c r="C800" s="36" t="s">
        <v>111</v>
      </c>
      <c r="D800" s="17">
        <v>8010000000000</v>
      </c>
      <c r="E800" s="16" t="s">
        <v>131</v>
      </c>
      <c r="F800" s="17">
        <v>1</v>
      </c>
      <c r="G800" s="18">
        <v>14.95</v>
      </c>
      <c r="H800" s="17">
        <v>7.4749999999999996</v>
      </c>
      <c r="I800" s="18">
        <v>14.95</v>
      </c>
      <c r="J800" s="18">
        <v>7.4749999999999996</v>
      </c>
      <c r="K800" s="37" t="str">
        <f t="shared" si="14"/>
        <v>Inexpensive</v>
      </c>
      <c r="L800" s="37"/>
      <c r="N800" s="37"/>
      <c r="O800" s="37"/>
      <c r="P800" s="37"/>
      <c r="Q800" s="37"/>
      <c r="R800" s="37"/>
      <c r="S800" s="37"/>
      <c r="T800" s="37"/>
      <c r="V800"/>
      <c r="X800"/>
    </row>
    <row r="801" spans="1:24" ht="15" customHeight="1" thickBot="1" x14ac:dyDescent="0.35">
      <c r="A801" s="38">
        <v>43469.37777777778</v>
      </c>
      <c r="B801" s="39">
        <v>142004</v>
      </c>
      <c r="C801" s="36" t="s">
        <v>117</v>
      </c>
      <c r="D801" s="17">
        <v>2070000000000</v>
      </c>
      <c r="E801" s="16" t="s">
        <v>131</v>
      </c>
      <c r="F801" s="17">
        <v>1</v>
      </c>
      <c r="G801" s="18">
        <v>99.99</v>
      </c>
      <c r="H801" s="17">
        <v>49.994999999999997</v>
      </c>
      <c r="I801" s="18">
        <v>99.99</v>
      </c>
      <c r="J801" s="18">
        <v>49.994999999999997</v>
      </c>
      <c r="K801" s="37" t="str">
        <f t="shared" si="14"/>
        <v>Inexpensive</v>
      </c>
      <c r="L801" s="37"/>
      <c r="N801" s="37"/>
      <c r="O801" s="37"/>
      <c r="P801" s="37"/>
      <c r="Q801" s="37"/>
      <c r="R801" s="37"/>
      <c r="S801" s="37"/>
      <c r="T801" s="37"/>
      <c r="V801"/>
      <c r="X801"/>
    </row>
    <row r="802" spans="1:24" ht="15" customHeight="1" thickBot="1" x14ac:dyDescent="0.35">
      <c r="A802" s="38">
        <v>43471.967361111114</v>
      </c>
      <c r="B802" s="39">
        <v>142005</v>
      </c>
      <c r="C802" s="36" t="s">
        <v>116</v>
      </c>
      <c r="D802" s="17">
        <v>1310000000000</v>
      </c>
      <c r="E802" s="16" t="s">
        <v>132</v>
      </c>
      <c r="F802" s="17">
        <v>1</v>
      </c>
      <c r="G802" s="18">
        <v>11.95</v>
      </c>
      <c r="H802" s="17">
        <v>5.9749999999999996</v>
      </c>
      <c r="I802" s="18">
        <v>11.95</v>
      </c>
      <c r="J802" s="18">
        <v>5.9749999999999996</v>
      </c>
      <c r="K802" s="37" t="str">
        <f t="shared" si="14"/>
        <v>Inexpensive</v>
      </c>
      <c r="L802" s="37"/>
      <c r="N802" s="37"/>
      <c r="O802" s="37"/>
      <c r="P802" s="37"/>
      <c r="Q802" s="37"/>
      <c r="R802" s="37"/>
      <c r="S802" s="37"/>
      <c r="T802" s="37"/>
      <c r="V802"/>
      <c r="X802"/>
    </row>
    <row r="803" spans="1:24" ht="15" customHeight="1" thickBot="1" x14ac:dyDescent="0.35">
      <c r="A803" s="38">
        <v>43488.573611111111</v>
      </c>
      <c r="B803" s="39">
        <v>142006</v>
      </c>
      <c r="C803" s="36" t="s">
        <v>117</v>
      </c>
      <c r="D803" s="17">
        <v>4410000000000</v>
      </c>
      <c r="E803" s="16" t="s">
        <v>130</v>
      </c>
      <c r="F803" s="17">
        <v>1</v>
      </c>
      <c r="G803" s="18">
        <v>99.99</v>
      </c>
      <c r="H803" s="17">
        <v>49.994999999999997</v>
      </c>
      <c r="I803" s="18">
        <v>99.99</v>
      </c>
      <c r="J803" s="18">
        <v>49.994999999999997</v>
      </c>
      <c r="K803" s="37" t="str">
        <f t="shared" si="14"/>
        <v>Inexpensive</v>
      </c>
      <c r="L803" s="37"/>
      <c r="N803" s="37"/>
      <c r="O803" s="37"/>
      <c r="P803" s="37"/>
      <c r="Q803" s="37"/>
      <c r="R803" s="37"/>
      <c r="S803" s="37"/>
      <c r="T803" s="37"/>
      <c r="V803"/>
      <c r="X803"/>
    </row>
    <row r="804" spans="1:24" ht="15" customHeight="1" thickBot="1" x14ac:dyDescent="0.35">
      <c r="A804" s="38">
        <v>43468.537499999999</v>
      </c>
      <c r="B804" s="39">
        <v>142007</v>
      </c>
      <c r="C804" s="36" t="s">
        <v>113</v>
      </c>
      <c r="D804" s="17">
        <v>9360000000000</v>
      </c>
      <c r="E804" s="16" t="s">
        <v>131</v>
      </c>
      <c r="F804" s="17">
        <v>1</v>
      </c>
      <c r="G804" s="18">
        <v>149.99</v>
      </c>
      <c r="H804" s="17">
        <v>97.493499999999997</v>
      </c>
      <c r="I804" s="18">
        <v>149.99</v>
      </c>
      <c r="J804" s="18">
        <v>52.496499999999997</v>
      </c>
      <c r="K804" s="37" t="str">
        <f t="shared" si="14"/>
        <v>Inexpensive</v>
      </c>
      <c r="L804" s="37"/>
      <c r="N804" s="37"/>
      <c r="O804" s="37"/>
      <c r="P804" s="37"/>
      <c r="Q804" s="37"/>
      <c r="R804" s="37"/>
      <c r="S804" s="37"/>
      <c r="T804" s="37"/>
      <c r="V804"/>
      <c r="X804"/>
    </row>
    <row r="805" spans="1:24" ht="15" customHeight="1" thickBot="1" x14ac:dyDescent="0.35">
      <c r="A805" s="38">
        <v>43486.664583333331</v>
      </c>
      <c r="B805" s="39">
        <v>142008</v>
      </c>
      <c r="C805" s="36" t="s">
        <v>112</v>
      </c>
      <c r="D805" s="17">
        <v>4220000000000</v>
      </c>
      <c r="E805" s="16" t="s">
        <v>132</v>
      </c>
      <c r="F805" s="17">
        <v>1</v>
      </c>
      <c r="G805" s="18">
        <v>11.99</v>
      </c>
      <c r="H805" s="17">
        <v>5.9950000000000001</v>
      </c>
      <c r="I805" s="18">
        <v>11.99</v>
      </c>
      <c r="J805" s="18">
        <v>5.9950000000000001</v>
      </c>
      <c r="K805" s="37" t="str">
        <f t="shared" si="14"/>
        <v>Inexpensive</v>
      </c>
      <c r="L805" s="37"/>
      <c r="N805" s="37"/>
      <c r="O805" s="37"/>
      <c r="P805" s="37"/>
      <c r="Q805" s="37"/>
      <c r="R805" s="37"/>
      <c r="S805" s="37"/>
      <c r="T805" s="37"/>
      <c r="V805"/>
      <c r="X805"/>
    </row>
    <row r="806" spans="1:24" ht="15" customHeight="1" thickBot="1" x14ac:dyDescent="0.35">
      <c r="A806" s="38">
        <v>43480.582638888889</v>
      </c>
      <c r="B806" s="39">
        <v>142009</v>
      </c>
      <c r="C806" s="36" t="s">
        <v>110</v>
      </c>
      <c r="D806" s="17">
        <v>6650000000000</v>
      </c>
      <c r="E806" s="16" t="s">
        <v>132</v>
      </c>
      <c r="F806" s="17">
        <v>1</v>
      </c>
      <c r="G806" s="18">
        <v>700</v>
      </c>
      <c r="H806" s="17">
        <v>231</v>
      </c>
      <c r="I806" s="18">
        <v>700</v>
      </c>
      <c r="J806" s="18">
        <v>469</v>
      </c>
      <c r="K806" s="37" t="str">
        <f t="shared" si="14"/>
        <v>Expensive</v>
      </c>
      <c r="L806" s="37"/>
      <c r="N806" s="37"/>
      <c r="O806" s="37"/>
      <c r="P806" s="37"/>
      <c r="Q806" s="37"/>
      <c r="R806" s="37"/>
      <c r="S806" s="37"/>
      <c r="T806" s="37"/>
      <c r="V806"/>
      <c r="X806"/>
    </row>
    <row r="807" spans="1:24" ht="15" customHeight="1" thickBot="1" x14ac:dyDescent="0.35">
      <c r="A807" s="38">
        <v>43469.269444444442</v>
      </c>
      <c r="B807" s="40">
        <v>142010</v>
      </c>
      <c r="C807" s="36" t="s">
        <v>110</v>
      </c>
      <c r="D807" s="17">
        <v>2360000000000</v>
      </c>
      <c r="E807" s="16" t="s">
        <v>131</v>
      </c>
      <c r="F807" s="17">
        <v>1</v>
      </c>
      <c r="G807" s="18">
        <v>700</v>
      </c>
      <c r="H807" s="17">
        <v>231</v>
      </c>
      <c r="I807" s="18">
        <v>700</v>
      </c>
      <c r="J807" s="18">
        <v>469</v>
      </c>
      <c r="K807" s="37" t="str">
        <f t="shared" si="14"/>
        <v>Expensive</v>
      </c>
      <c r="L807" s="37"/>
      <c r="N807" s="37"/>
      <c r="O807" s="37"/>
      <c r="P807" s="37"/>
      <c r="Q807" s="37"/>
      <c r="R807" s="37"/>
      <c r="S807" s="37"/>
      <c r="T807" s="37"/>
      <c r="V807"/>
      <c r="X807"/>
    </row>
    <row r="808" spans="1:24" ht="15" customHeight="1" thickBot="1" x14ac:dyDescent="0.35">
      <c r="A808" s="38">
        <v>43469.269444444442</v>
      </c>
      <c r="B808" s="40">
        <v>142010</v>
      </c>
      <c r="C808" s="36" t="s">
        <v>111</v>
      </c>
      <c r="D808" s="17">
        <v>1590000000000</v>
      </c>
      <c r="E808" s="16" t="s">
        <v>130</v>
      </c>
      <c r="F808" s="17">
        <v>1</v>
      </c>
      <c r="G808" s="18">
        <v>14.95</v>
      </c>
      <c r="H808" s="17">
        <v>7.4749999999999996</v>
      </c>
      <c r="I808" s="18">
        <v>14.95</v>
      </c>
      <c r="J808" s="18">
        <v>7.4749999999999996</v>
      </c>
      <c r="K808" s="37" t="str">
        <f t="shared" si="14"/>
        <v>Inexpensive</v>
      </c>
      <c r="L808" s="37"/>
      <c r="N808" s="37"/>
      <c r="O808" s="37"/>
      <c r="P808" s="37"/>
      <c r="Q808" s="37"/>
      <c r="R808" s="37"/>
      <c r="S808" s="37"/>
      <c r="T808" s="37"/>
      <c r="V808"/>
      <c r="X808"/>
    </row>
    <row r="809" spans="1:24" ht="15" customHeight="1" thickBot="1" x14ac:dyDescent="0.35">
      <c r="A809" s="38">
        <v>43483.4</v>
      </c>
      <c r="B809" s="39">
        <v>142011</v>
      </c>
      <c r="C809" s="36" t="s">
        <v>118</v>
      </c>
      <c r="D809" s="17">
        <v>3820000000000</v>
      </c>
      <c r="E809" s="16" t="s">
        <v>130</v>
      </c>
      <c r="F809" s="17">
        <v>1</v>
      </c>
      <c r="G809" s="18">
        <v>150</v>
      </c>
      <c r="H809" s="17">
        <v>97.5</v>
      </c>
      <c r="I809" s="18">
        <v>150</v>
      </c>
      <c r="J809" s="18">
        <v>52.5</v>
      </c>
      <c r="K809" s="37" t="str">
        <f t="shared" si="14"/>
        <v>Inexpensive</v>
      </c>
      <c r="L809" s="37"/>
      <c r="N809" s="37"/>
      <c r="O809" s="37"/>
      <c r="P809" s="37"/>
      <c r="Q809" s="37"/>
      <c r="R809" s="37"/>
      <c r="S809" s="37"/>
      <c r="T809" s="37"/>
      <c r="V809"/>
      <c r="X809"/>
    </row>
    <row r="810" spans="1:24" ht="15" customHeight="1" thickBot="1" x14ac:dyDescent="0.35">
      <c r="A810" s="38">
        <v>43492.570833333331</v>
      </c>
      <c r="B810" s="39">
        <v>142012</v>
      </c>
      <c r="C810" s="36" t="s">
        <v>114</v>
      </c>
      <c r="D810" s="17">
        <v>7910000000000</v>
      </c>
      <c r="E810" s="16" t="s">
        <v>130</v>
      </c>
      <c r="F810" s="17">
        <v>2</v>
      </c>
      <c r="G810" s="18">
        <v>2.99</v>
      </c>
      <c r="H810" s="17">
        <v>1.4950000000000001</v>
      </c>
      <c r="I810" s="18">
        <v>5.98</v>
      </c>
      <c r="J810" s="18">
        <v>2.99</v>
      </c>
      <c r="K810" s="37" t="str">
        <f t="shared" si="14"/>
        <v>Inexpensive</v>
      </c>
      <c r="L810" s="37"/>
      <c r="N810" s="37"/>
      <c r="O810" s="37"/>
      <c r="P810" s="37"/>
      <c r="Q810" s="37"/>
      <c r="R810" s="37"/>
      <c r="S810" s="37"/>
      <c r="T810" s="37"/>
      <c r="V810"/>
      <c r="X810"/>
    </row>
    <row r="811" spans="1:24" ht="15" customHeight="1" thickBot="1" x14ac:dyDescent="0.35">
      <c r="A811" s="38">
        <v>43473.751388888886</v>
      </c>
      <c r="B811" s="39">
        <v>142013</v>
      </c>
      <c r="C811" s="36" t="s">
        <v>117</v>
      </c>
      <c r="D811" s="17">
        <v>6230000000000</v>
      </c>
      <c r="E811" s="16" t="s">
        <v>132</v>
      </c>
      <c r="F811" s="17">
        <v>1</v>
      </c>
      <c r="G811" s="18">
        <v>99.99</v>
      </c>
      <c r="H811" s="17">
        <v>49.994999999999997</v>
      </c>
      <c r="I811" s="18">
        <v>99.99</v>
      </c>
      <c r="J811" s="18">
        <v>49.994999999999997</v>
      </c>
      <c r="K811" s="37" t="str">
        <f t="shared" si="14"/>
        <v>Inexpensive</v>
      </c>
      <c r="L811" s="37"/>
      <c r="N811" s="37"/>
      <c r="O811" s="37"/>
      <c r="P811" s="37"/>
      <c r="Q811" s="37"/>
      <c r="R811" s="37"/>
      <c r="S811" s="37"/>
      <c r="T811" s="37"/>
      <c r="V811"/>
      <c r="X811"/>
    </row>
    <row r="812" spans="1:24" ht="15" customHeight="1" thickBot="1" x14ac:dyDescent="0.35">
      <c r="A812" s="38">
        <v>43467.861805555556</v>
      </c>
      <c r="B812" s="39">
        <v>142014</v>
      </c>
      <c r="C812" s="36" t="s">
        <v>119</v>
      </c>
      <c r="D812" s="17">
        <v>7350000000000</v>
      </c>
      <c r="E812" s="16" t="s">
        <v>130</v>
      </c>
      <c r="F812" s="17">
        <v>1</v>
      </c>
      <c r="G812" s="18">
        <v>1700</v>
      </c>
      <c r="H812" s="17">
        <v>561</v>
      </c>
      <c r="I812" s="18">
        <v>1700</v>
      </c>
      <c r="J812" s="18">
        <v>1139</v>
      </c>
      <c r="K812" s="37" t="str">
        <f t="shared" si="14"/>
        <v>Expensive</v>
      </c>
      <c r="L812" s="37"/>
      <c r="N812" s="37"/>
      <c r="O812" s="37"/>
      <c r="P812" s="37"/>
      <c r="Q812" s="37"/>
      <c r="R812" s="37"/>
      <c r="S812" s="37"/>
      <c r="T812" s="37"/>
      <c r="V812"/>
      <c r="X812"/>
    </row>
    <row r="813" spans="1:24" ht="15" customHeight="1" thickBot="1" x14ac:dyDescent="0.35">
      <c r="A813" s="38">
        <v>43466.55972222222</v>
      </c>
      <c r="B813" s="39">
        <v>142015</v>
      </c>
      <c r="C813" s="36" t="s">
        <v>118</v>
      </c>
      <c r="D813" s="17">
        <v>3290000000000</v>
      </c>
      <c r="E813" s="16" t="s">
        <v>132</v>
      </c>
      <c r="F813" s="17">
        <v>1</v>
      </c>
      <c r="G813" s="18">
        <v>150</v>
      </c>
      <c r="H813" s="17">
        <v>97.5</v>
      </c>
      <c r="I813" s="18">
        <v>150</v>
      </c>
      <c r="J813" s="18">
        <v>52.5</v>
      </c>
      <c r="K813" s="37" t="str">
        <f t="shared" si="14"/>
        <v>Inexpensive</v>
      </c>
      <c r="L813" s="37"/>
      <c r="N813" s="37"/>
      <c r="O813" s="37"/>
      <c r="P813" s="37"/>
      <c r="Q813" s="37"/>
      <c r="R813" s="37"/>
      <c r="S813" s="37"/>
      <c r="T813" s="37"/>
      <c r="V813"/>
      <c r="X813"/>
    </row>
    <row r="814" spans="1:24" ht="15" customHeight="1" thickBot="1" x14ac:dyDescent="0.35">
      <c r="A814" s="38">
        <v>43478.907638888886</v>
      </c>
      <c r="B814" s="39">
        <v>142016</v>
      </c>
      <c r="C814" s="36" t="s">
        <v>114</v>
      </c>
      <c r="D814" s="17">
        <v>2200000000000</v>
      </c>
      <c r="E814" s="16" t="s">
        <v>132</v>
      </c>
      <c r="F814" s="17">
        <v>2</v>
      </c>
      <c r="G814" s="18">
        <v>2.99</v>
      </c>
      <c r="H814" s="17">
        <v>1.4950000000000001</v>
      </c>
      <c r="I814" s="18">
        <v>5.98</v>
      </c>
      <c r="J814" s="18">
        <v>2.99</v>
      </c>
      <c r="K814" s="37" t="str">
        <f t="shared" si="14"/>
        <v>Inexpensive</v>
      </c>
      <c r="L814" s="37"/>
      <c r="N814" s="37"/>
      <c r="O814" s="37"/>
      <c r="P814" s="37"/>
      <c r="Q814" s="37"/>
      <c r="R814" s="37"/>
      <c r="S814" s="37"/>
      <c r="T814" s="37"/>
      <c r="V814"/>
      <c r="X814"/>
    </row>
    <row r="815" spans="1:24" ht="15" customHeight="1" thickBot="1" x14ac:dyDescent="0.35">
      <c r="A815" s="38">
        <v>43487.595138888886</v>
      </c>
      <c r="B815" s="39">
        <v>142017</v>
      </c>
      <c r="C815" s="36" t="s">
        <v>115</v>
      </c>
      <c r="D815" s="17">
        <v>9910000000000</v>
      </c>
      <c r="E815" s="16" t="s">
        <v>131</v>
      </c>
      <c r="F815" s="17">
        <v>1</v>
      </c>
      <c r="G815" s="18">
        <v>389.99</v>
      </c>
      <c r="H815" s="17">
        <v>128.69669999999999</v>
      </c>
      <c r="I815" s="18">
        <v>389.99</v>
      </c>
      <c r="J815" s="18">
        <v>261.29329999999999</v>
      </c>
      <c r="K815" s="37" t="str">
        <f t="shared" si="14"/>
        <v>Inexpensive</v>
      </c>
      <c r="L815" s="37"/>
      <c r="N815" s="37"/>
      <c r="O815" s="37"/>
      <c r="P815" s="37"/>
      <c r="Q815" s="37"/>
      <c r="R815" s="37"/>
      <c r="S815" s="37"/>
      <c r="T815" s="37"/>
      <c r="V815"/>
      <c r="X815"/>
    </row>
    <row r="816" spans="1:24" ht="15" customHeight="1" thickBot="1" x14ac:dyDescent="0.35">
      <c r="A816" s="38">
        <v>43474.693055555559</v>
      </c>
      <c r="B816" s="39">
        <v>142018</v>
      </c>
      <c r="C816" s="36" t="s">
        <v>116</v>
      </c>
      <c r="D816" s="17">
        <v>9500000000000</v>
      </c>
      <c r="E816" s="16" t="s">
        <v>131</v>
      </c>
      <c r="F816" s="17">
        <v>1</v>
      </c>
      <c r="G816" s="18">
        <v>11.95</v>
      </c>
      <c r="H816" s="17">
        <v>5.9749999999999996</v>
      </c>
      <c r="I816" s="18">
        <v>11.95</v>
      </c>
      <c r="J816" s="18">
        <v>5.9749999999999996</v>
      </c>
      <c r="K816" s="37" t="str">
        <f t="shared" si="14"/>
        <v>Inexpensive</v>
      </c>
      <c r="L816" s="37"/>
      <c r="N816" s="37"/>
      <c r="O816" s="37"/>
      <c r="P816" s="37"/>
      <c r="Q816" s="37"/>
      <c r="R816" s="37"/>
      <c r="S816" s="37"/>
      <c r="T816" s="37"/>
      <c r="V816"/>
      <c r="X816"/>
    </row>
    <row r="817" spans="1:24" ht="15" customHeight="1" thickBot="1" x14ac:dyDescent="0.35">
      <c r="A817" s="38">
        <v>43468.831944444442</v>
      </c>
      <c r="B817" s="39">
        <v>142019</v>
      </c>
      <c r="C817" s="36" t="s">
        <v>111</v>
      </c>
      <c r="D817" s="17">
        <v>8330000000000</v>
      </c>
      <c r="E817" s="16" t="s">
        <v>132</v>
      </c>
      <c r="F817" s="17">
        <v>1</v>
      </c>
      <c r="G817" s="18">
        <v>14.95</v>
      </c>
      <c r="H817" s="17">
        <v>7.4749999999999996</v>
      </c>
      <c r="I817" s="18">
        <v>14.95</v>
      </c>
      <c r="J817" s="18">
        <v>7.4749999999999996</v>
      </c>
      <c r="K817" s="37" t="str">
        <f t="shared" si="14"/>
        <v>Inexpensive</v>
      </c>
      <c r="L817" s="37"/>
      <c r="N817" s="37"/>
      <c r="O817" s="37"/>
      <c r="P817" s="37"/>
      <c r="Q817" s="37"/>
      <c r="R817" s="37"/>
      <c r="S817" s="37"/>
      <c r="T817" s="37"/>
      <c r="V817"/>
      <c r="X817"/>
    </row>
    <row r="818" spans="1:24" ht="15" customHeight="1" thickBot="1" x14ac:dyDescent="0.35">
      <c r="A818" s="38">
        <v>43475.356249999997</v>
      </c>
      <c r="B818" s="39">
        <v>142020</v>
      </c>
      <c r="C818" s="36" t="s">
        <v>116</v>
      </c>
      <c r="D818" s="17">
        <v>8520000000000</v>
      </c>
      <c r="E818" s="16" t="s">
        <v>130</v>
      </c>
      <c r="F818" s="17">
        <v>1</v>
      </c>
      <c r="G818" s="18">
        <v>11.95</v>
      </c>
      <c r="H818" s="17">
        <v>5.9749999999999996</v>
      </c>
      <c r="I818" s="18">
        <v>11.95</v>
      </c>
      <c r="J818" s="18">
        <v>5.9749999999999996</v>
      </c>
      <c r="K818" s="37" t="str">
        <f t="shared" si="14"/>
        <v>Inexpensive</v>
      </c>
      <c r="L818" s="37"/>
      <c r="N818" s="37"/>
      <c r="O818" s="37"/>
      <c r="P818" s="37"/>
      <c r="Q818" s="37"/>
      <c r="R818" s="37"/>
      <c r="S818" s="37"/>
      <c r="T818" s="37"/>
      <c r="V818"/>
      <c r="X818"/>
    </row>
    <row r="819" spans="1:24" ht="15" customHeight="1" thickBot="1" x14ac:dyDescent="0.35">
      <c r="A819" s="38">
        <v>43472.402083333334</v>
      </c>
      <c r="B819" s="39">
        <v>142021</v>
      </c>
      <c r="C819" s="36" t="s">
        <v>111</v>
      </c>
      <c r="D819" s="17">
        <v>3130000000000</v>
      </c>
      <c r="E819" s="16" t="s">
        <v>131</v>
      </c>
      <c r="F819" s="17">
        <v>1</v>
      </c>
      <c r="G819" s="18">
        <v>14.95</v>
      </c>
      <c r="H819" s="17">
        <v>7.4749999999999996</v>
      </c>
      <c r="I819" s="18">
        <v>14.95</v>
      </c>
      <c r="J819" s="18">
        <v>7.4749999999999996</v>
      </c>
      <c r="K819" s="37" t="str">
        <f t="shared" si="14"/>
        <v>Inexpensive</v>
      </c>
      <c r="L819" s="37"/>
      <c r="N819" s="37"/>
      <c r="O819" s="37"/>
      <c r="P819" s="37"/>
      <c r="Q819" s="37"/>
      <c r="R819" s="37"/>
      <c r="S819" s="37"/>
      <c r="T819" s="37"/>
      <c r="V819"/>
      <c r="X819"/>
    </row>
    <row r="820" spans="1:24" ht="15" customHeight="1" thickBot="1" x14ac:dyDescent="0.35">
      <c r="A820" s="38">
        <v>43492.384722222225</v>
      </c>
      <c r="B820" s="39">
        <v>142022</v>
      </c>
      <c r="C820" s="36" t="s">
        <v>122</v>
      </c>
      <c r="D820" s="17">
        <v>2170000000000</v>
      </c>
      <c r="E820" s="16" t="s">
        <v>132</v>
      </c>
      <c r="F820" s="17">
        <v>1</v>
      </c>
      <c r="G820" s="18">
        <v>3.84</v>
      </c>
      <c r="H820" s="17">
        <v>1.92</v>
      </c>
      <c r="I820" s="18">
        <v>3.84</v>
      </c>
      <c r="J820" s="18">
        <v>1.92</v>
      </c>
      <c r="K820" s="37" t="str">
        <f t="shared" si="14"/>
        <v>Inexpensive</v>
      </c>
      <c r="L820" s="37"/>
      <c r="N820" s="37"/>
      <c r="O820" s="37"/>
      <c r="P820" s="37"/>
      <c r="Q820" s="37"/>
      <c r="R820" s="37"/>
      <c r="S820" s="37"/>
      <c r="T820" s="37"/>
      <c r="V820"/>
      <c r="X820"/>
    </row>
    <row r="821" spans="1:24" ht="15" customHeight="1" thickBot="1" x14ac:dyDescent="0.35">
      <c r="A821" s="38">
        <v>43494.834722222222</v>
      </c>
      <c r="B821" s="40">
        <v>142023</v>
      </c>
      <c r="C821" s="36" t="s">
        <v>124</v>
      </c>
      <c r="D821" s="17">
        <v>3670000000000</v>
      </c>
      <c r="E821" s="16" t="s">
        <v>132</v>
      </c>
      <c r="F821" s="17">
        <v>1</v>
      </c>
      <c r="G821" s="18">
        <v>109.99</v>
      </c>
      <c r="H821" s="17">
        <v>71.493499999999997</v>
      </c>
      <c r="I821" s="18">
        <v>109.99</v>
      </c>
      <c r="J821" s="18">
        <v>38.496499999999997</v>
      </c>
      <c r="K821" s="37" t="str">
        <f t="shared" si="14"/>
        <v>Inexpensive</v>
      </c>
      <c r="L821" s="37"/>
      <c r="N821" s="37"/>
      <c r="O821" s="37"/>
      <c r="P821" s="37"/>
      <c r="Q821" s="37"/>
      <c r="R821" s="37"/>
      <c r="S821" s="37"/>
      <c r="T821" s="37"/>
      <c r="V821"/>
      <c r="X821"/>
    </row>
    <row r="822" spans="1:24" ht="15" customHeight="1" thickBot="1" x14ac:dyDescent="0.35">
      <c r="A822" s="38">
        <v>43494.834722222222</v>
      </c>
      <c r="B822" s="40">
        <v>142023</v>
      </c>
      <c r="C822" s="36" t="s">
        <v>112</v>
      </c>
      <c r="D822" s="17">
        <v>4010000000000</v>
      </c>
      <c r="E822" s="16" t="s">
        <v>131</v>
      </c>
      <c r="F822" s="17">
        <v>1</v>
      </c>
      <c r="G822" s="18">
        <v>11.99</v>
      </c>
      <c r="H822" s="17">
        <v>5.9950000000000001</v>
      </c>
      <c r="I822" s="18">
        <v>11.99</v>
      </c>
      <c r="J822" s="18">
        <v>5.9950000000000001</v>
      </c>
      <c r="K822" s="37" t="str">
        <f t="shared" si="14"/>
        <v>Inexpensive</v>
      </c>
      <c r="L822" s="37"/>
      <c r="N822" s="37"/>
      <c r="O822" s="37"/>
      <c r="P822" s="37"/>
      <c r="Q822" s="37"/>
      <c r="R822" s="37"/>
      <c r="S822" s="37"/>
      <c r="T822" s="37"/>
      <c r="V822"/>
      <c r="X822"/>
    </row>
    <row r="823" spans="1:24" ht="15" customHeight="1" thickBot="1" x14ac:dyDescent="0.35">
      <c r="A823" s="38">
        <v>43491.556944444441</v>
      </c>
      <c r="B823" s="39">
        <v>142024</v>
      </c>
      <c r="C823" s="36" t="s">
        <v>114</v>
      </c>
      <c r="D823" s="17">
        <v>6320000000000</v>
      </c>
      <c r="E823" s="16" t="s">
        <v>131</v>
      </c>
      <c r="F823" s="17">
        <v>1</v>
      </c>
      <c r="G823" s="18">
        <v>2.99</v>
      </c>
      <c r="H823" s="17">
        <v>1.4950000000000001</v>
      </c>
      <c r="I823" s="18">
        <v>2.99</v>
      </c>
      <c r="J823" s="18">
        <v>1.4950000000000001</v>
      </c>
      <c r="K823" s="37" t="str">
        <f t="shared" si="14"/>
        <v>Inexpensive</v>
      </c>
      <c r="L823" s="37"/>
      <c r="N823" s="37"/>
      <c r="O823" s="37"/>
      <c r="P823" s="37"/>
      <c r="Q823" s="37"/>
      <c r="R823" s="37"/>
      <c r="S823" s="37"/>
      <c r="T823" s="37"/>
      <c r="V823"/>
      <c r="X823"/>
    </row>
    <row r="824" spans="1:24" ht="15" customHeight="1" thickBot="1" x14ac:dyDescent="0.35">
      <c r="A824" s="38">
        <v>43480.004166666666</v>
      </c>
      <c r="B824" s="39">
        <v>142025</v>
      </c>
      <c r="C824" s="36" t="s">
        <v>120</v>
      </c>
      <c r="D824" s="17">
        <v>1210000000000</v>
      </c>
      <c r="E824" s="16" t="s">
        <v>130</v>
      </c>
      <c r="F824" s="17">
        <v>1</v>
      </c>
      <c r="G824" s="18">
        <v>300</v>
      </c>
      <c r="H824" s="17">
        <v>99</v>
      </c>
      <c r="I824" s="18">
        <v>300</v>
      </c>
      <c r="J824" s="18">
        <v>201</v>
      </c>
      <c r="K824" s="37" t="str">
        <f t="shared" si="14"/>
        <v>Inexpensive</v>
      </c>
      <c r="L824" s="37"/>
      <c r="N824" s="37"/>
      <c r="O824" s="37"/>
      <c r="P824" s="37"/>
      <c r="Q824" s="37"/>
      <c r="R824" s="37"/>
      <c r="S824" s="37"/>
      <c r="T824" s="37"/>
      <c r="V824"/>
      <c r="X824"/>
    </row>
    <row r="825" spans="1:24" ht="15" customHeight="1" thickBot="1" x14ac:dyDescent="0.35">
      <c r="A825" s="38">
        <v>43483.736805555556</v>
      </c>
      <c r="B825" s="39">
        <v>142026</v>
      </c>
      <c r="C825" s="36" t="s">
        <v>123</v>
      </c>
      <c r="D825" s="17">
        <v>4830000000000</v>
      </c>
      <c r="E825" s="16" t="s">
        <v>130</v>
      </c>
      <c r="F825" s="17">
        <v>1</v>
      </c>
      <c r="G825" s="18">
        <v>600</v>
      </c>
      <c r="H825" s="17">
        <v>198</v>
      </c>
      <c r="I825" s="18">
        <v>600</v>
      </c>
      <c r="J825" s="18">
        <v>402</v>
      </c>
      <c r="K825" s="37" t="str">
        <f t="shared" si="14"/>
        <v>Inexpensive</v>
      </c>
      <c r="L825" s="37"/>
      <c r="N825" s="37"/>
      <c r="O825" s="37"/>
      <c r="P825" s="37"/>
      <c r="Q825" s="37"/>
      <c r="R825" s="37"/>
      <c r="S825" s="37"/>
      <c r="T825" s="37"/>
      <c r="V825"/>
      <c r="X825"/>
    </row>
    <row r="826" spans="1:24" ht="15" customHeight="1" thickBot="1" x14ac:dyDescent="0.35">
      <c r="A826" s="38">
        <v>43493.730555555558</v>
      </c>
      <c r="B826" s="39">
        <v>142027</v>
      </c>
      <c r="C826" s="36" t="s">
        <v>112</v>
      </c>
      <c r="D826" s="17">
        <v>1540000000000</v>
      </c>
      <c r="E826" s="16" t="s">
        <v>130</v>
      </c>
      <c r="F826" s="17">
        <v>1</v>
      </c>
      <c r="G826" s="18">
        <v>11.99</v>
      </c>
      <c r="H826" s="17">
        <v>5.9950000000000001</v>
      </c>
      <c r="I826" s="18">
        <v>11.99</v>
      </c>
      <c r="J826" s="18">
        <v>5.9950000000000001</v>
      </c>
      <c r="K826" s="37" t="str">
        <f t="shared" si="14"/>
        <v>Inexpensive</v>
      </c>
      <c r="L826" s="37"/>
      <c r="N826" s="37"/>
      <c r="O826" s="37"/>
      <c r="P826" s="37"/>
      <c r="Q826" s="37"/>
      <c r="R826" s="37"/>
      <c r="S826" s="37"/>
      <c r="T826" s="37"/>
      <c r="V826"/>
      <c r="X826"/>
    </row>
    <row r="827" spans="1:24" ht="15" customHeight="1" thickBot="1" x14ac:dyDescent="0.35">
      <c r="A827" s="38">
        <v>43474.530555555553</v>
      </c>
      <c r="B827" s="39">
        <v>142028</v>
      </c>
      <c r="C827" s="36" t="s">
        <v>122</v>
      </c>
      <c r="D827" s="17">
        <v>5820000000000</v>
      </c>
      <c r="E827" s="16" t="s">
        <v>131</v>
      </c>
      <c r="F827" s="17">
        <v>1</v>
      </c>
      <c r="G827" s="18">
        <v>3.84</v>
      </c>
      <c r="H827" s="17">
        <v>1.92</v>
      </c>
      <c r="I827" s="18">
        <v>3.84</v>
      </c>
      <c r="J827" s="18">
        <v>1.92</v>
      </c>
      <c r="K827" s="37" t="str">
        <f t="shared" si="14"/>
        <v>Inexpensive</v>
      </c>
      <c r="L827" s="37"/>
      <c r="N827" s="37"/>
      <c r="O827" s="37"/>
      <c r="P827" s="37"/>
      <c r="Q827" s="37"/>
      <c r="R827" s="37"/>
      <c r="S827" s="37"/>
      <c r="T827" s="37"/>
      <c r="V827"/>
      <c r="X827"/>
    </row>
    <row r="828" spans="1:24" ht="15" customHeight="1" thickBot="1" x14ac:dyDescent="0.35">
      <c r="A828" s="38">
        <v>43473.527083333334</v>
      </c>
      <c r="B828" s="39">
        <v>142029</v>
      </c>
      <c r="C828" s="36" t="s">
        <v>124</v>
      </c>
      <c r="D828" s="17">
        <v>4040000000000</v>
      </c>
      <c r="E828" s="16" t="s">
        <v>131</v>
      </c>
      <c r="F828" s="17">
        <v>1</v>
      </c>
      <c r="G828" s="18">
        <v>109.99</v>
      </c>
      <c r="H828" s="17">
        <v>71.493499999999997</v>
      </c>
      <c r="I828" s="18">
        <v>109.99</v>
      </c>
      <c r="J828" s="18">
        <v>38.496499999999997</v>
      </c>
      <c r="K828" s="37" t="str">
        <f t="shared" si="14"/>
        <v>Inexpensive</v>
      </c>
      <c r="L828" s="37"/>
      <c r="N828" s="37"/>
      <c r="O828" s="37"/>
      <c r="P828" s="37"/>
      <c r="Q828" s="37"/>
      <c r="R828" s="37"/>
      <c r="S828" s="37"/>
      <c r="T828" s="37"/>
      <c r="V828"/>
      <c r="X828"/>
    </row>
    <row r="829" spans="1:24" ht="15" customHeight="1" thickBot="1" x14ac:dyDescent="0.35">
      <c r="A829" s="38">
        <v>43467.572916666664</v>
      </c>
      <c r="B829" s="39">
        <v>142030</v>
      </c>
      <c r="C829" s="36" t="s">
        <v>114</v>
      </c>
      <c r="D829" s="17">
        <v>3380000000000</v>
      </c>
      <c r="E829" s="16" t="s">
        <v>130</v>
      </c>
      <c r="F829" s="17">
        <v>1</v>
      </c>
      <c r="G829" s="18">
        <v>2.99</v>
      </c>
      <c r="H829" s="17">
        <v>1.4950000000000001</v>
      </c>
      <c r="I829" s="18">
        <v>2.99</v>
      </c>
      <c r="J829" s="18">
        <v>1.4950000000000001</v>
      </c>
      <c r="K829" s="37" t="str">
        <f t="shared" si="14"/>
        <v>Inexpensive</v>
      </c>
      <c r="L829" s="37"/>
      <c r="N829" s="37"/>
      <c r="O829" s="37"/>
      <c r="P829" s="37"/>
      <c r="Q829" s="37"/>
      <c r="R829" s="37"/>
      <c r="S829" s="37"/>
      <c r="T829" s="37"/>
      <c r="V829"/>
      <c r="X829"/>
    </row>
    <row r="830" spans="1:24" ht="15" customHeight="1" thickBot="1" x14ac:dyDescent="0.35">
      <c r="A830" s="38">
        <v>43474.984722222223</v>
      </c>
      <c r="B830" s="39">
        <v>142031</v>
      </c>
      <c r="C830" s="36" t="s">
        <v>122</v>
      </c>
      <c r="D830" s="17">
        <v>6610000000000</v>
      </c>
      <c r="E830" s="16" t="s">
        <v>130</v>
      </c>
      <c r="F830" s="17">
        <v>1</v>
      </c>
      <c r="G830" s="18">
        <v>3.84</v>
      </c>
      <c r="H830" s="17">
        <v>1.92</v>
      </c>
      <c r="I830" s="18">
        <v>3.84</v>
      </c>
      <c r="J830" s="18">
        <v>1.92</v>
      </c>
      <c r="K830" s="37" t="str">
        <f t="shared" si="14"/>
        <v>Inexpensive</v>
      </c>
      <c r="L830" s="37"/>
      <c r="N830" s="37"/>
      <c r="O830" s="37"/>
      <c r="P830" s="37"/>
      <c r="Q830" s="37"/>
      <c r="R830" s="37"/>
      <c r="S830" s="37"/>
      <c r="T830" s="37"/>
      <c r="V830"/>
      <c r="X830"/>
    </row>
    <row r="831" spans="1:24" ht="15" customHeight="1" thickBot="1" x14ac:dyDescent="0.35">
      <c r="A831" s="38">
        <v>43479.384722222225</v>
      </c>
      <c r="B831" s="39">
        <v>142032</v>
      </c>
      <c r="C831" s="36" t="s">
        <v>120</v>
      </c>
      <c r="D831" s="17">
        <v>3830000000000</v>
      </c>
      <c r="E831" s="16" t="s">
        <v>132</v>
      </c>
      <c r="F831" s="17">
        <v>1</v>
      </c>
      <c r="G831" s="18">
        <v>300</v>
      </c>
      <c r="H831" s="17">
        <v>99</v>
      </c>
      <c r="I831" s="18">
        <v>300</v>
      </c>
      <c r="J831" s="18">
        <v>201</v>
      </c>
      <c r="K831" s="37" t="str">
        <f t="shared" si="14"/>
        <v>Inexpensive</v>
      </c>
      <c r="L831" s="37"/>
      <c r="N831" s="37"/>
      <c r="O831" s="37"/>
      <c r="P831" s="37"/>
      <c r="Q831" s="37"/>
      <c r="R831" s="37"/>
      <c r="S831" s="37"/>
      <c r="T831" s="37"/>
      <c r="V831"/>
      <c r="X831"/>
    </row>
    <row r="832" spans="1:24" ht="15" customHeight="1" thickBot="1" x14ac:dyDescent="0.35">
      <c r="A832" s="38">
        <v>43491.809027777781</v>
      </c>
      <c r="B832" s="39">
        <v>142033</v>
      </c>
      <c r="C832" s="36" t="s">
        <v>118</v>
      </c>
      <c r="D832" s="17">
        <v>7290000000000</v>
      </c>
      <c r="E832" s="16" t="s">
        <v>131</v>
      </c>
      <c r="F832" s="17">
        <v>1</v>
      </c>
      <c r="G832" s="18">
        <v>150</v>
      </c>
      <c r="H832" s="17">
        <v>97.5</v>
      </c>
      <c r="I832" s="18">
        <v>150</v>
      </c>
      <c r="J832" s="18">
        <v>52.5</v>
      </c>
      <c r="K832" s="37" t="str">
        <f t="shared" si="14"/>
        <v>Inexpensive</v>
      </c>
      <c r="L832" s="37"/>
      <c r="N832" s="37"/>
      <c r="O832" s="37"/>
      <c r="P832" s="37"/>
      <c r="Q832" s="37"/>
      <c r="R832" s="37"/>
      <c r="S832" s="37"/>
      <c r="T832" s="37"/>
      <c r="V832"/>
      <c r="X832"/>
    </row>
    <row r="833" spans="1:24" ht="15" customHeight="1" thickBot="1" x14ac:dyDescent="0.35">
      <c r="A833" s="38">
        <v>43481.435416666667</v>
      </c>
      <c r="B833" s="39">
        <v>142034</v>
      </c>
      <c r="C833" s="36" t="s">
        <v>118</v>
      </c>
      <c r="D833" s="17">
        <v>1280000000000</v>
      </c>
      <c r="E833" s="16" t="s">
        <v>130</v>
      </c>
      <c r="F833" s="17">
        <v>1</v>
      </c>
      <c r="G833" s="18">
        <v>150</v>
      </c>
      <c r="H833" s="17">
        <v>97.5</v>
      </c>
      <c r="I833" s="18">
        <v>150</v>
      </c>
      <c r="J833" s="18">
        <v>52.5</v>
      </c>
      <c r="K833" s="37" t="str">
        <f t="shared" si="14"/>
        <v>Inexpensive</v>
      </c>
      <c r="L833" s="37"/>
      <c r="N833" s="37"/>
      <c r="O833" s="37"/>
      <c r="P833" s="37"/>
      <c r="Q833" s="37"/>
      <c r="R833" s="37"/>
      <c r="S833" s="37"/>
      <c r="T833" s="37"/>
      <c r="V833"/>
      <c r="X833"/>
    </row>
    <row r="834" spans="1:24" ht="15" customHeight="1" thickBot="1" x14ac:dyDescent="0.35">
      <c r="A834" s="38">
        <v>43482.462500000001</v>
      </c>
      <c r="B834" s="39">
        <v>142035</v>
      </c>
      <c r="C834" s="36" t="s">
        <v>110</v>
      </c>
      <c r="D834" s="17">
        <v>1430000000000</v>
      </c>
      <c r="E834" s="16" t="s">
        <v>130</v>
      </c>
      <c r="F834" s="17">
        <v>1</v>
      </c>
      <c r="G834" s="18">
        <v>700</v>
      </c>
      <c r="H834" s="17">
        <v>231</v>
      </c>
      <c r="I834" s="18">
        <v>700</v>
      </c>
      <c r="J834" s="18">
        <v>469</v>
      </c>
      <c r="K834" s="37" t="str">
        <f t="shared" si="14"/>
        <v>Expensive</v>
      </c>
      <c r="L834" s="37"/>
      <c r="N834" s="37"/>
      <c r="O834" s="37"/>
      <c r="P834" s="37"/>
      <c r="Q834" s="37"/>
      <c r="R834" s="37"/>
      <c r="S834" s="37"/>
      <c r="T834" s="37"/>
      <c r="V834"/>
      <c r="X834"/>
    </row>
    <row r="835" spans="1:24" ht="15" customHeight="1" thickBot="1" x14ac:dyDescent="0.35">
      <c r="A835" s="38">
        <v>43491.805555555555</v>
      </c>
      <c r="B835" s="39">
        <v>142036</v>
      </c>
      <c r="C835" s="36" t="s">
        <v>126</v>
      </c>
      <c r="D835" s="17">
        <v>7730000000000</v>
      </c>
      <c r="E835" s="16" t="s">
        <v>132</v>
      </c>
      <c r="F835" s="17">
        <v>1</v>
      </c>
      <c r="G835" s="18">
        <v>999.99</v>
      </c>
      <c r="H835" s="17">
        <v>329.99669999999998</v>
      </c>
      <c r="I835" s="18">
        <v>999.99</v>
      </c>
      <c r="J835" s="18">
        <v>669.99329999999998</v>
      </c>
      <c r="K835" s="37" t="str">
        <f t="shared" ref="K835:K898" si="15">IF(G835&gt;=700,"Expensive","Inexpensive")</f>
        <v>Expensive</v>
      </c>
      <c r="L835" s="37"/>
      <c r="N835" s="37"/>
      <c r="O835" s="37"/>
      <c r="P835" s="37"/>
      <c r="Q835" s="37"/>
      <c r="R835" s="37"/>
      <c r="S835" s="37"/>
      <c r="T835" s="37"/>
      <c r="V835"/>
      <c r="X835"/>
    </row>
    <row r="836" spans="1:24" ht="15" customHeight="1" thickBot="1" x14ac:dyDescent="0.35">
      <c r="A836" s="38">
        <v>43476.908333333333</v>
      </c>
      <c r="B836" s="40">
        <v>142037</v>
      </c>
      <c r="C836" s="36" t="s">
        <v>118</v>
      </c>
      <c r="D836" s="17">
        <v>8350000000000</v>
      </c>
      <c r="E836" s="16" t="s">
        <v>132</v>
      </c>
      <c r="F836" s="17">
        <v>1</v>
      </c>
      <c r="G836" s="18">
        <v>150</v>
      </c>
      <c r="H836" s="17">
        <v>97.5</v>
      </c>
      <c r="I836" s="18">
        <v>150</v>
      </c>
      <c r="J836" s="18">
        <v>52.5</v>
      </c>
      <c r="K836" s="37" t="str">
        <f t="shared" si="15"/>
        <v>Inexpensive</v>
      </c>
      <c r="L836" s="37"/>
      <c r="N836" s="37"/>
      <c r="O836" s="37"/>
      <c r="P836" s="37"/>
      <c r="Q836" s="37"/>
      <c r="R836" s="37"/>
      <c r="S836" s="37"/>
      <c r="T836" s="37"/>
      <c r="V836"/>
      <c r="X836"/>
    </row>
    <row r="837" spans="1:24" ht="15" customHeight="1" thickBot="1" x14ac:dyDescent="0.35">
      <c r="A837" s="38">
        <v>43476.908333333333</v>
      </c>
      <c r="B837" s="40">
        <v>142037</v>
      </c>
      <c r="C837" s="36" t="s">
        <v>110</v>
      </c>
      <c r="D837" s="17">
        <v>6700000000000</v>
      </c>
      <c r="E837" s="16" t="s">
        <v>132</v>
      </c>
      <c r="F837" s="17">
        <v>1</v>
      </c>
      <c r="G837" s="18">
        <v>700</v>
      </c>
      <c r="H837" s="17">
        <v>231</v>
      </c>
      <c r="I837" s="18">
        <v>700</v>
      </c>
      <c r="J837" s="18">
        <v>469</v>
      </c>
      <c r="K837" s="37" t="str">
        <f t="shared" si="15"/>
        <v>Expensive</v>
      </c>
      <c r="L837" s="37"/>
      <c r="N837" s="37"/>
      <c r="O837" s="37"/>
      <c r="P837" s="37"/>
      <c r="Q837" s="37"/>
      <c r="R837" s="37"/>
      <c r="S837" s="37"/>
      <c r="T837" s="37"/>
      <c r="V837"/>
      <c r="X837"/>
    </row>
    <row r="838" spans="1:24" ht="15" customHeight="1" thickBot="1" x14ac:dyDescent="0.35">
      <c r="A838" s="38">
        <v>43472.338194444441</v>
      </c>
      <c r="B838" s="39">
        <v>142038</v>
      </c>
      <c r="C838" s="36" t="s">
        <v>114</v>
      </c>
      <c r="D838" s="17">
        <v>2640000000000</v>
      </c>
      <c r="E838" s="16" t="s">
        <v>132</v>
      </c>
      <c r="F838" s="17">
        <v>3</v>
      </c>
      <c r="G838" s="18">
        <v>2.99</v>
      </c>
      <c r="H838" s="17">
        <v>1.4950000000000001</v>
      </c>
      <c r="I838" s="18">
        <v>8.9700000000000006</v>
      </c>
      <c r="J838" s="18">
        <v>4.4850000000000003</v>
      </c>
      <c r="K838" s="37" t="str">
        <f t="shared" si="15"/>
        <v>Inexpensive</v>
      </c>
      <c r="L838" s="37"/>
      <c r="N838" s="37"/>
      <c r="O838" s="37"/>
      <c r="P838" s="37"/>
      <c r="Q838" s="37"/>
      <c r="R838" s="37"/>
      <c r="S838" s="37"/>
      <c r="T838" s="37"/>
      <c r="V838"/>
      <c r="X838"/>
    </row>
    <row r="839" spans="1:24" ht="15" customHeight="1" thickBot="1" x14ac:dyDescent="0.35">
      <c r="A839" s="38">
        <v>43496.675694444442</v>
      </c>
      <c r="B839" s="40">
        <v>142039</v>
      </c>
      <c r="C839" s="36" t="s">
        <v>123</v>
      </c>
      <c r="D839" s="17">
        <v>6390000000000</v>
      </c>
      <c r="E839" s="16" t="s">
        <v>132</v>
      </c>
      <c r="F839" s="17">
        <v>1</v>
      </c>
      <c r="G839" s="18">
        <v>600</v>
      </c>
      <c r="H839" s="17">
        <v>198</v>
      </c>
      <c r="I839" s="18">
        <v>600</v>
      </c>
      <c r="J839" s="18">
        <v>402</v>
      </c>
      <c r="K839" s="37" t="str">
        <f t="shared" si="15"/>
        <v>Inexpensive</v>
      </c>
      <c r="L839" s="37"/>
      <c r="N839" s="37"/>
      <c r="O839" s="37"/>
      <c r="P839" s="37"/>
      <c r="Q839" s="37"/>
      <c r="R839" s="37"/>
      <c r="S839" s="37"/>
      <c r="T839" s="37"/>
      <c r="V839"/>
      <c r="X839"/>
    </row>
    <row r="840" spans="1:24" ht="15" customHeight="1" thickBot="1" x14ac:dyDescent="0.35">
      <c r="A840" s="38">
        <v>43496.675694444442</v>
      </c>
      <c r="B840" s="40">
        <v>142039</v>
      </c>
      <c r="C840" s="36" t="s">
        <v>116</v>
      </c>
      <c r="D840" s="17">
        <v>9170000000000</v>
      </c>
      <c r="E840" s="16" t="s">
        <v>132</v>
      </c>
      <c r="F840" s="17">
        <v>3</v>
      </c>
      <c r="G840" s="18">
        <v>11.95</v>
      </c>
      <c r="H840" s="17">
        <v>5.9749999999999996</v>
      </c>
      <c r="I840" s="18">
        <v>35.85</v>
      </c>
      <c r="J840" s="18">
        <v>17.925000000000001</v>
      </c>
      <c r="K840" s="37" t="str">
        <f t="shared" si="15"/>
        <v>Inexpensive</v>
      </c>
      <c r="L840" s="37"/>
      <c r="N840" s="37"/>
      <c r="O840" s="37"/>
      <c r="P840" s="37"/>
      <c r="Q840" s="37"/>
      <c r="R840" s="37"/>
      <c r="S840" s="37"/>
      <c r="T840" s="37"/>
      <c r="V840"/>
      <c r="X840"/>
    </row>
    <row r="841" spans="1:24" ht="15" customHeight="1" thickBot="1" x14ac:dyDescent="0.35">
      <c r="A841" s="38">
        <v>43495.859722222223</v>
      </c>
      <c r="B841" s="39">
        <v>142040</v>
      </c>
      <c r="C841" s="36" t="s">
        <v>111</v>
      </c>
      <c r="D841" s="17">
        <v>4050000000000</v>
      </c>
      <c r="E841" s="16" t="s">
        <v>130</v>
      </c>
      <c r="F841" s="17">
        <v>1</v>
      </c>
      <c r="G841" s="18">
        <v>14.95</v>
      </c>
      <c r="H841" s="17">
        <v>7.4749999999999996</v>
      </c>
      <c r="I841" s="18">
        <v>14.95</v>
      </c>
      <c r="J841" s="18">
        <v>7.4749999999999996</v>
      </c>
      <c r="K841" s="37" t="str">
        <f t="shared" si="15"/>
        <v>Inexpensive</v>
      </c>
      <c r="L841" s="37"/>
      <c r="N841" s="37"/>
      <c r="O841" s="37"/>
      <c r="P841" s="37"/>
      <c r="Q841" s="37"/>
      <c r="R841" s="37"/>
      <c r="S841" s="37"/>
      <c r="T841" s="37"/>
      <c r="V841"/>
      <c r="X841"/>
    </row>
    <row r="842" spans="1:24" ht="15" customHeight="1" thickBot="1" x14ac:dyDescent="0.35">
      <c r="A842" s="38">
        <v>43474.506249999999</v>
      </c>
      <c r="B842" s="39">
        <v>142041</v>
      </c>
      <c r="C842" s="36" t="s">
        <v>111</v>
      </c>
      <c r="D842" s="17">
        <v>5340000000000</v>
      </c>
      <c r="E842" s="16" t="s">
        <v>132</v>
      </c>
      <c r="F842" s="17">
        <v>1</v>
      </c>
      <c r="G842" s="18">
        <v>14.95</v>
      </c>
      <c r="H842" s="17">
        <v>7.4749999999999996</v>
      </c>
      <c r="I842" s="18">
        <v>14.95</v>
      </c>
      <c r="J842" s="18">
        <v>7.4749999999999996</v>
      </c>
      <c r="K842" s="37" t="str">
        <f t="shared" si="15"/>
        <v>Inexpensive</v>
      </c>
      <c r="L842" s="37"/>
      <c r="N842" s="37"/>
      <c r="O842" s="37"/>
      <c r="P842" s="37"/>
      <c r="Q842" s="37"/>
      <c r="R842" s="37"/>
      <c r="S842" s="37"/>
      <c r="T842" s="37"/>
      <c r="V842"/>
      <c r="X842"/>
    </row>
    <row r="843" spans="1:24" ht="15" customHeight="1" thickBot="1" x14ac:dyDescent="0.35">
      <c r="A843" s="38">
        <v>43472.908333333333</v>
      </c>
      <c r="B843" s="39">
        <v>142042</v>
      </c>
      <c r="C843" s="36" t="s">
        <v>111</v>
      </c>
      <c r="D843" s="17">
        <v>8690000000000</v>
      </c>
      <c r="E843" s="16" t="s">
        <v>131</v>
      </c>
      <c r="F843" s="17">
        <v>2</v>
      </c>
      <c r="G843" s="18">
        <v>14.95</v>
      </c>
      <c r="H843" s="17">
        <v>7.4749999999999996</v>
      </c>
      <c r="I843" s="18">
        <v>29.9</v>
      </c>
      <c r="J843" s="18">
        <v>14.95</v>
      </c>
      <c r="K843" s="37" t="str">
        <f t="shared" si="15"/>
        <v>Inexpensive</v>
      </c>
      <c r="L843" s="37"/>
      <c r="N843" s="37"/>
      <c r="O843" s="37"/>
      <c r="P843" s="37"/>
      <c r="Q843" s="37"/>
      <c r="R843" s="37"/>
      <c r="S843" s="37"/>
      <c r="T843" s="37"/>
      <c r="V843"/>
      <c r="X843"/>
    </row>
    <row r="844" spans="1:24" ht="15" customHeight="1" thickBot="1" x14ac:dyDescent="0.35">
      <c r="A844" s="38">
        <v>43487.538194444445</v>
      </c>
      <c r="B844" s="39">
        <v>142043</v>
      </c>
      <c r="C844" s="36" t="s">
        <v>120</v>
      </c>
      <c r="D844" s="17">
        <v>4870000000000</v>
      </c>
      <c r="E844" s="16" t="s">
        <v>131</v>
      </c>
      <c r="F844" s="17">
        <v>1</v>
      </c>
      <c r="G844" s="18">
        <v>300</v>
      </c>
      <c r="H844" s="17">
        <v>99</v>
      </c>
      <c r="I844" s="18">
        <v>300</v>
      </c>
      <c r="J844" s="18">
        <v>201</v>
      </c>
      <c r="K844" s="37" t="str">
        <f t="shared" si="15"/>
        <v>Inexpensive</v>
      </c>
      <c r="L844" s="37"/>
      <c r="N844" s="37"/>
      <c r="O844" s="37"/>
      <c r="P844" s="37"/>
      <c r="Q844" s="37"/>
      <c r="R844" s="37"/>
      <c r="S844" s="37"/>
      <c r="T844" s="37"/>
      <c r="V844"/>
      <c r="X844"/>
    </row>
    <row r="845" spans="1:24" ht="15" customHeight="1" thickBot="1" x14ac:dyDescent="0.35">
      <c r="A845" s="38">
        <v>43484.534722222219</v>
      </c>
      <c r="B845" s="39">
        <v>142044</v>
      </c>
      <c r="C845" s="36" t="s">
        <v>116</v>
      </c>
      <c r="D845" s="17">
        <v>5850000000000</v>
      </c>
      <c r="E845" s="16" t="s">
        <v>131</v>
      </c>
      <c r="F845" s="17">
        <v>1</v>
      </c>
      <c r="G845" s="18">
        <v>11.95</v>
      </c>
      <c r="H845" s="17">
        <v>5.9749999999999996</v>
      </c>
      <c r="I845" s="18">
        <v>11.95</v>
      </c>
      <c r="J845" s="18">
        <v>5.9749999999999996</v>
      </c>
      <c r="K845" s="37" t="str">
        <f t="shared" si="15"/>
        <v>Inexpensive</v>
      </c>
      <c r="L845" s="37"/>
      <c r="N845" s="37"/>
      <c r="O845" s="37"/>
      <c r="P845" s="37"/>
      <c r="Q845" s="37"/>
      <c r="R845" s="37"/>
      <c r="S845" s="37"/>
      <c r="T845" s="37"/>
      <c r="V845"/>
      <c r="X845"/>
    </row>
    <row r="846" spans="1:24" ht="15" customHeight="1" thickBot="1" x14ac:dyDescent="0.35">
      <c r="A846" s="38">
        <v>43472.523611111108</v>
      </c>
      <c r="B846" s="39">
        <v>142045</v>
      </c>
      <c r="C846" s="36" t="s">
        <v>126</v>
      </c>
      <c r="D846" s="17">
        <v>8450000000000</v>
      </c>
      <c r="E846" s="16" t="s">
        <v>131</v>
      </c>
      <c r="F846" s="17">
        <v>1</v>
      </c>
      <c r="G846" s="18">
        <v>999.99</v>
      </c>
      <c r="H846" s="17">
        <v>329.99669999999998</v>
      </c>
      <c r="I846" s="18">
        <v>999.99</v>
      </c>
      <c r="J846" s="18">
        <v>669.99329999999998</v>
      </c>
      <c r="K846" s="37" t="str">
        <f t="shared" si="15"/>
        <v>Expensive</v>
      </c>
      <c r="L846" s="37"/>
      <c r="N846" s="37"/>
      <c r="O846" s="37"/>
      <c r="P846" s="37"/>
      <c r="Q846" s="37"/>
      <c r="R846" s="37"/>
      <c r="S846" s="37"/>
      <c r="T846" s="37"/>
      <c r="V846"/>
      <c r="X846"/>
    </row>
    <row r="847" spans="1:24" ht="15" customHeight="1" thickBot="1" x14ac:dyDescent="0.35">
      <c r="A847" s="38">
        <v>43485.819444444445</v>
      </c>
      <c r="B847" s="39">
        <v>142046</v>
      </c>
      <c r="C847" s="36" t="s">
        <v>112</v>
      </c>
      <c r="D847" s="17">
        <v>4120000000000</v>
      </c>
      <c r="E847" s="16" t="s">
        <v>132</v>
      </c>
      <c r="F847" s="17">
        <v>2</v>
      </c>
      <c r="G847" s="18">
        <v>11.99</v>
      </c>
      <c r="H847" s="17">
        <v>5.9950000000000001</v>
      </c>
      <c r="I847" s="18">
        <v>23.98</v>
      </c>
      <c r="J847" s="18">
        <v>11.99</v>
      </c>
      <c r="K847" s="37" t="str">
        <f t="shared" si="15"/>
        <v>Inexpensive</v>
      </c>
      <c r="L847" s="37"/>
      <c r="N847" s="37"/>
      <c r="O847" s="37"/>
      <c r="P847" s="37"/>
      <c r="Q847" s="37"/>
      <c r="R847" s="37"/>
      <c r="S847" s="37"/>
      <c r="T847" s="37"/>
      <c r="V847"/>
      <c r="X847"/>
    </row>
    <row r="848" spans="1:24" ht="15" customHeight="1" thickBot="1" x14ac:dyDescent="0.35">
      <c r="A848" s="38">
        <v>43491.720138888886</v>
      </c>
      <c r="B848" s="39">
        <v>142047</v>
      </c>
      <c r="C848" s="36" t="s">
        <v>122</v>
      </c>
      <c r="D848" s="17">
        <v>4090000000000</v>
      </c>
      <c r="E848" s="16" t="s">
        <v>132</v>
      </c>
      <c r="F848" s="17">
        <v>1</v>
      </c>
      <c r="G848" s="18">
        <v>3.84</v>
      </c>
      <c r="H848" s="17">
        <v>1.92</v>
      </c>
      <c r="I848" s="18">
        <v>3.84</v>
      </c>
      <c r="J848" s="18">
        <v>1.92</v>
      </c>
      <c r="K848" s="37" t="str">
        <f t="shared" si="15"/>
        <v>Inexpensive</v>
      </c>
      <c r="L848" s="37"/>
      <c r="N848" s="37"/>
      <c r="O848" s="37"/>
      <c r="P848" s="37"/>
      <c r="Q848" s="37"/>
      <c r="R848" s="37"/>
      <c r="S848" s="37"/>
      <c r="T848" s="37"/>
      <c r="V848"/>
      <c r="X848"/>
    </row>
    <row r="849" spans="1:24" ht="15" customHeight="1" thickBot="1" x14ac:dyDescent="0.35">
      <c r="A849" s="38">
        <v>43469.645833333336</v>
      </c>
      <c r="B849" s="40">
        <v>142048</v>
      </c>
      <c r="C849" s="36" t="s">
        <v>123</v>
      </c>
      <c r="D849" s="17">
        <v>9910000000000</v>
      </c>
      <c r="E849" s="16" t="s">
        <v>131</v>
      </c>
      <c r="F849" s="17">
        <v>1</v>
      </c>
      <c r="G849" s="18">
        <v>600</v>
      </c>
      <c r="H849" s="17">
        <v>198</v>
      </c>
      <c r="I849" s="18">
        <v>600</v>
      </c>
      <c r="J849" s="18">
        <v>402</v>
      </c>
      <c r="K849" s="37" t="str">
        <f t="shared" si="15"/>
        <v>Inexpensive</v>
      </c>
      <c r="L849" s="37"/>
      <c r="N849" s="37"/>
      <c r="O849" s="37"/>
      <c r="P849" s="37"/>
      <c r="Q849" s="37"/>
      <c r="R849" s="37"/>
      <c r="S849" s="37"/>
      <c r="T849" s="37"/>
      <c r="V849"/>
      <c r="X849"/>
    </row>
    <row r="850" spans="1:24" ht="15" customHeight="1" thickBot="1" x14ac:dyDescent="0.35">
      <c r="A850" s="38">
        <v>43469.645833333336</v>
      </c>
      <c r="B850" s="40">
        <v>142048</v>
      </c>
      <c r="C850" s="36" t="s">
        <v>112</v>
      </c>
      <c r="D850" s="17">
        <v>3740000000000</v>
      </c>
      <c r="E850" s="16" t="s">
        <v>131</v>
      </c>
      <c r="F850" s="17">
        <v>1</v>
      </c>
      <c r="G850" s="18">
        <v>11.99</v>
      </c>
      <c r="H850" s="17">
        <v>5.9950000000000001</v>
      </c>
      <c r="I850" s="18">
        <v>11.99</v>
      </c>
      <c r="J850" s="18">
        <v>5.9950000000000001</v>
      </c>
      <c r="K850" s="37" t="str">
        <f t="shared" si="15"/>
        <v>Inexpensive</v>
      </c>
      <c r="L850" s="37"/>
      <c r="N850" s="37"/>
      <c r="O850" s="37"/>
      <c r="P850" s="37"/>
      <c r="Q850" s="37"/>
      <c r="R850" s="37"/>
      <c r="S850" s="37"/>
      <c r="T850" s="37"/>
      <c r="V850"/>
      <c r="X850"/>
    </row>
    <row r="851" spans="1:24" ht="15" customHeight="1" thickBot="1" x14ac:dyDescent="0.35">
      <c r="A851" s="38">
        <v>43476.538888888892</v>
      </c>
      <c r="B851" s="39">
        <v>142049</v>
      </c>
      <c r="C851" s="36" t="s">
        <v>114</v>
      </c>
      <c r="D851" s="17">
        <v>6060000000000</v>
      </c>
      <c r="E851" s="16" t="s">
        <v>131</v>
      </c>
      <c r="F851" s="17">
        <v>1</v>
      </c>
      <c r="G851" s="18">
        <v>2.99</v>
      </c>
      <c r="H851" s="17">
        <v>1.4950000000000001</v>
      </c>
      <c r="I851" s="18">
        <v>2.99</v>
      </c>
      <c r="J851" s="18">
        <v>1.4950000000000001</v>
      </c>
      <c r="K851" s="37" t="str">
        <f t="shared" si="15"/>
        <v>Inexpensive</v>
      </c>
      <c r="L851" s="37"/>
      <c r="N851" s="37"/>
      <c r="O851" s="37"/>
      <c r="P851" s="37"/>
      <c r="Q851" s="37"/>
      <c r="R851" s="37"/>
      <c r="S851" s="37"/>
      <c r="T851" s="37"/>
      <c r="V851"/>
      <c r="X851"/>
    </row>
    <row r="852" spans="1:24" ht="15" customHeight="1" thickBot="1" x14ac:dyDescent="0.35">
      <c r="A852" s="38">
        <v>43487.708333333336</v>
      </c>
      <c r="B852" s="39">
        <v>142050</v>
      </c>
      <c r="C852" s="36" t="s">
        <v>113</v>
      </c>
      <c r="D852" s="17">
        <v>5200000000000</v>
      </c>
      <c r="E852" s="16" t="s">
        <v>130</v>
      </c>
      <c r="F852" s="17">
        <v>1</v>
      </c>
      <c r="G852" s="18">
        <v>149.99</v>
      </c>
      <c r="H852" s="17">
        <v>97.493499999999997</v>
      </c>
      <c r="I852" s="18">
        <v>149.99</v>
      </c>
      <c r="J852" s="18">
        <v>52.496499999999997</v>
      </c>
      <c r="K852" s="37" t="str">
        <f t="shared" si="15"/>
        <v>Inexpensive</v>
      </c>
      <c r="L852" s="37"/>
      <c r="N852" s="37"/>
      <c r="O852" s="37"/>
      <c r="P852" s="37"/>
      <c r="Q852" s="37"/>
      <c r="R852" s="37"/>
      <c r="S852" s="37"/>
      <c r="T852" s="37"/>
      <c r="V852"/>
      <c r="X852"/>
    </row>
    <row r="853" spans="1:24" ht="15" customHeight="1" thickBot="1" x14ac:dyDescent="0.35">
      <c r="A853" s="38">
        <v>43469.694444444445</v>
      </c>
      <c r="B853" s="39">
        <v>142051</v>
      </c>
      <c r="C853" s="36" t="s">
        <v>116</v>
      </c>
      <c r="D853" s="17">
        <v>9100000000000</v>
      </c>
      <c r="E853" s="16" t="s">
        <v>130</v>
      </c>
      <c r="F853" s="17">
        <v>1</v>
      </c>
      <c r="G853" s="18">
        <v>11.95</v>
      </c>
      <c r="H853" s="17">
        <v>5.9749999999999996</v>
      </c>
      <c r="I853" s="18">
        <v>11.95</v>
      </c>
      <c r="J853" s="18">
        <v>5.9749999999999996</v>
      </c>
      <c r="K853" s="37" t="str">
        <f t="shared" si="15"/>
        <v>Inexpensive</v>
      </c>
      <c r="L853" s="37"/>
      <c r="N853" s="37"/>
      <c r="O853" s="37"/>
      <c r="P853" s="37"/>
      <c r="Q853" s="37"/>
      <c r="R853" s="37"/>
      <c r="S853" s="37"/>
      <c r="T853" s="37"/>
      <c r="V853"/>
      <c r="X853"/>
    </row>
    <row r="854" spans="1:24" ht="15" customHeight="1" thickBot="1" x14ac:dyDescent="0.35">
      <c r="A854" s="38">
        <v>43467.726388888892</v>
      </c>
      <c r="B854" s="39">
        <v>142052</v>
      </c>
      <c r="C854" s="36" t="s">
        <v>119</v>
      </c>
      <c r="D854" s="17">
        <v>1970000000000</v>
      </c>
      <c r="E854" s="16" t="s">
        <v>132</v>
      </c>
      <c r="F854" s="17">
        <v>1</v>
      </c>
      <c r="G854" s="18">
        <v>1700</v>
      </c>
      <c r="H854" s="17">
        <v>561</v>
      </c>
      <c r="I854" s="18">
        <v>1700</v>
      </c>
      <c r="J854" s="18">
        <v>1139</v>
      </c>
      <c r="K854" s="37" t="str">
        <f t="shared" si="15"/>
        <v>Expensive</v>
      </c>
      <c r="L854" s="37"/>
      <c r="N854" s="37"/>
      <c r="O854" s="37"/>
      <c r="P854" s="37"/>
      <c r="Q854" s="37"/>
      <c r="R854" s="37"/>
      <c r="S854" s="37"/>
      <c r="T854" s="37"/>
      <c r="V854"/>
      <c r="X854"/>
    </row>
    <row r="855" spans="1:24" ht="15" customHeight="1" thickBot="1" x14ac:dyDescent="0.35">
      <c r="A855" s="38">
        <v>43495.453472222223</v>
      </c>
      <c r="B855" s="39">
        <v>142053</v>
      </c>
      <c r="C855" s="36" t="s">
        <v>118</v>
      </c>
      <c r="D855" s="17">
        <v>9790000000000</v>
      </c>
      <c r="E855" s="16" t="s">
        <v>131</v>
      </c>
      <c r="F855" s="17">
        <v>1</v>
      </c>
      <c r="G855" s="18">
        <v>150</v>
      </c>
      <c r="H855" s="17">
        <v>97.5</v>
      </c>
      <c r="I855" s="18">
        <v>150</v>
      </c>
      <c r="J855" s="18">
        <v>52.5</v>
      </c>
      <c r="K855" s="37" t="str">
        <f t="shared" si="15"/>
        <v>Inexpensive</v>
      </c>
      <c r="L855" s="37"/>
      <c r="N855" s="37"/>
      <c r="O855" s="37"/>
      <c r="P855" s="37"/>
      <c r="Q855" s="37"/>
      <c r="R855" s="37"/>
      <c r="S855" s="37"/>
      <c r="T855" s="37"/>
      <c r="V855"/>
      <c r="X855"/>
    </row>
    <row r="856" spans="1:24" ht="15" customHeight="1" thickBot="1" x14ac:dyDescent="0.35">
      <c r="A856" s="38">
        <v>43476.811805555553</v>
      </c>
      <c r="B856" s="39">
        <v>142054</v>
      </c>
      <c r="C856" s="36" t="s">
        <v>117</v>
      </c>
      <c r="D856" s="17">
        <v>5600000000000</v>
      </c>
      <c r="E856" s="16" t="s">
        <v>131</v>
      </c>
      <c r="F856" s="17">
        <v>1</v>
      </c>
      <c r="G856" s="18">
        <v>99.99</v>
      </c>
      <c r="H856" s="17">
        <v>49.994999999999997</v>
      </c>
      <c r="I856" s="18">
        <v>99.99</v>
      </c>
      <c r="J856" s="18">
        <v>49.994999999999997</v>
      </c>
      <c r="K856" s="37" t="str">
        <f t="shared" si="15"/>
        <v>Inexpensive</v>
      </c>
      <c r="L856" s="37"/>
      <c r="N856" s="37"/>
      <c r="O856" s="37"/>
      <c r="P856" s="37"/>
      <c r="Q856" s="37"/>
      <c r="R856" s="37"/>
      <c r="S856" s="37"/>
      <c r="T856" s="37"/>
      <c r="V856"/>
      <c r="X856"/>
    </row>
    <row r="857" spans="1:24" ht="15" customHeight="1" thickBot="1" x14ac:dyDescent="0.35">
      <c r="A857" s="38">
        <v>43470.085416666669</v>
      </c>
      <c r="B857" s="39">
        <v>142055</v>
      </c>
      <c r="C857" s="36" t="s">
        <v>117</v>
      </c>
      <c r="D857" s="17">
        <v>3520000000000</v>
      </c>
      <c r="E857" s="16" t="s">
        <v>130</v>
      </c>
      <c r="F857" s="17">
        <v>1</v>
      </c>
      <c r="G857" s="18">
        <v>99.99</v>
      </c>
      <c r="H857" s="17">
        <v>49.994999999999997</v>
      </c>
      <c r="I857" s="18">
        <v>99.99</v>
      </c>
      <c r="J857" s="18">
        <v>49.994999999999997</v>
      </c>
      <c r="K857" s="37" t="str">
        <f t="shared" si="15"/>
        <v>Inexpensive</v>
      </c>
      <c r="L857" s="37"/>
      <c r="N857" s="37"/>
      <c r="O857" s="37"/>
      <c r="P857" s="37"/>
      <c r="Q857" s="37"/>
      <c r="R857" s="37"/>
      <c r="S857" s="37"/>
      <c r="T857" s="37"/>
      <c r="V857"/>
      <c r="X857"/>
    </row>
    <row r="858" spans="1:24" ht="15" customHeight="1" thickBot="1" x14ac:dyDescent="0.35">
      <c r="A858" s="38">
        <v>43473.386111111111</v>
      </c>
      <c r="B858" s="39">
        <v>142056</v>
      </c>
      <c r="C858" s="36" t="s">
        <v>116</v>
      </c>
      <c r="D858" s="17">
        <v>1950000000000</v>
      </c>
      <c r="E858" s="16" t="s">
        <v>132</v>
      </c>
      <c r="F858" s="17">
        <v>1</v>
      </c>
      <c r="G858" s="18">
        <v>11.95</v>
      </c>
      <c r="H858" s="17">
        <v>5.9749999999999996</v>
      </c>
      <c r="I858" s="18">
        <v>11.95</v>
      </c>
      <c r="J858" s="18">
        <v>5.9749999999999996</v>
      </c>
      <c r="K858" s="37" t="str">
        <f t="shared" si="15"/>
        <v>Inexpensive</v>
      </c>
      <c r="L858" s="37"/>
      <c r="N858" s="37"/>
      <c r="O858" s="37"/>
      <c r="P858" s="37"/>
      <c r="Q858" s="37"/>
      <c r="R858" s="37"/>
      <c r="S858" s="37"/>
      <c r="T858" s="37"/>
      <c r="V858"/>
      <c r="X858"/>
    </row>
    <row r="859" spans="1:24" ht="15" customHeight="1" thickBot="1" x14ac:dyDescent="0.35">
      <c r="A859" s="38">
        <v>43469.46875</v>
      </c>
      <c r="B859" s="39">
        <v>142057</v>
      </c>
      <c r="C859" s="36" t="s">
        <v>123</v>
      </c>
      <c r="D859" s="17">
        <v>6430000000000</v>
      </c>
      <c r="E859" s="16" t="s">
        <v>130</v>
      </c>
      <c r="F859" s="17">
        <v>1</v>
      </c>
      <c r="G859" s="18">
        <v>600</v>
      </c>
      <c r="H859" s="17">
        <v>198</v>
      </c>
      <c r="I859" s="18">
        <v>600</v>
      </c>
      <c r="J859" s="18">
        <v>402</v>
      </c>
      <c r="K859" s="37" t="str">
        <f t="shared" si="15"/>
        <v>Inexpensive</v>
      </c>
      <c r="L859" s="37"/>
      <c r="N859" s="37"/>
      <c r="O859" s="37"/>
      <c r="P859" s="37"/>
      <c r="Q859" s="37"/>
      <c r="R859" s="37"/>
      <c r="S859" s="37"/>
      <c r="T859" s="37"/>
      <c r="V859"/>
      <c r="X859"/>
    </row>
    <row r="860" spans="1:24" ht="15" customHeight="1" thickBot="1" x14ac:dyDescent="0.35">
      <c r="A860" s="38">
        <v>43489.897916666669</v>
      </c>
      <c r="B860" s="39">
        <v>142058</v>
      </c>
      <c r="C860" s="36" t="s">
        <v>110</v>
      </c>
      <c r="D860" s="17">
        <v>6290000000000</v>
      </c>
      <c r="E860" s="16" t="s">
        <v>131</v>
      </c>
      <c r="F860" s="17">
        <v>1</v>
      </c>
      <c r="G860" s="18">
        <v>700</v>
      </c>
      <c r="H860" s="17">
        <v>231</v>
      </c>
      <c r="I860" s="18">
        <v>700</v>
      </c>
      <c r="J860" s="18">
        <v>469</v>
      </c>
      <c r="K860" s="37" t="str">
        <f t="shared" si="15"/>
        <v>Expensive</v>
      </c>
      <c r="L860" s="37"/>
      <c r="N860" s="37"/>
      <c r="O860" s="37"/>
      <c r="P860" s="37"/>
      <c r="Q860" s="37"/>
      <c r="R860" s="37"/>
      <c r="S860" s="37"/>
      <c r="T860" s="37"/>
      <c r="V860"/>
      <c r="X860"/>
    </row>
    <row r="861" spans="1:24" ht="15" customHeight="1" thickBot="1" x14ac:dyDescent="0.35">
      <c r="A861" s="38">
        <v>43473.867361111108</v>
      </c>
      <c r="B861" s="39">
        <v>142059</v>
      </c>
      <c r="C861" s="36" t="s">
        <v>119</v>
      </c>
      <c r="D861" s="17">
        <v>1200000000000</v>
      </c>
      <c r="E861" s="16" t="s">
        <v>131</v>
      </c>
      <c r="F861" s="17">
        <v>1</v>
      </c>
      <c r="G861" s="18">
        <v>1700</v>
      </c>
      <c r="H861" s="17">
        <v>561</v>
      </c>
      <c r="I861" s="18">
        <v>1700</v>
      </c>
      <c r="J861" s="18">
        <v>1139</v>
      </c>
      <c r="K861" s="37" t="str">
        <f t="shared" si="15"/>
        <v>Expensive</v>
      </c>
      <c r="L861" s="37"/>
      <c r="N861" s="37"/>
      <c r="O861" s="37"/>
      <c r="P861" s="37"/>
      <c r="Q861" s="37"/>
      <c r="R861" s="37"/>
      <c r="S861" s="37"/>
      <c r="T861" s="37"/>
      <c r="V861"/>
      <c r="X861"/>
    </row>
    <row r="862" spans="1:24" ht="15" customHeight="1" thickBot="1" x14ac:dyDescent="0.35">
      <c r="A862" s="38">
        <v>43479.48333333333</v>
      </c>
      <c r="B862" s="39">
        <v>142060</v>
      </c>
      <c r="C862" s="36" t="s">
        <v>111</v>
      </c>
      <c r="D862" s="17">
        <v>7460000000000</v>
      </c>
      <c r="E862" s="16" t="s">
        <v>130</v>
      </c>
      <c r="F862" s="17">
        <v>1</v>
      </c>
      <c r="G862" s="18">
        <v>14.95</v>
      </c>
      <c r="H862" s="17">
        <v>7.4749999999999996</v>
      </c>
      <c r="I862" s="18">
        <v>14.95</v>
      </c>
      <c r="J862" s="18">
        <v>7.4749999999999996</v>
      </c>
      <c r="K862" s="37" t="str">
        <f t="shared" si="15"/>
        <v>Inexpensive</v>
      </c>
      <c r="L862" s="37"/>
      <c r="N862" s="37"/>
      <c r="O862" s="37"/>
      <c r="P862" s="37"/>
      <c r="Q862" s="37"/>
      <c r="R862" s="37"/>
      <c r="S862" s="37"/>
      <c r="T862" s="37"/>
      <c r="V862"/>
      <c r="X862"/>
    </row>
    <row r="863" spans="1:24" ht="15" customHeight="1" thickBot="1" x14ac:dyDescent="0.35">
      <c r="A863" s="38">
        <v>43483.830555555556</v>
      </c>
      <c r="B863" s="39">
        <v>142061</v>
      </c>
      <c r="C863" s="36" t="s">
        <v>122</v>
      </c>
      <c r="D863" s="17">
        <v>7920000000000</v>
      </c>
      <c r="E863" s="16" t="s">
        <v>131</v>
      </c>
      <c r="F863" s="17">
        <v>1</v>
      </c>
      <c r="G863" s="18">
        <v>3.84</v>
      </c>
      <c r="H863" s="17">
        <v>1.92</v>
      </c>
      <c r="I863" s="18">
        <v>3.84</v>
      </c>
      <c r="J863" s="18">
        <v>1.92</v>
      </c>
      <c r="K863" s="37" t="str">
        <f t="shared" si="15"/>
        <v>Inexpensive</v>
      </c>
      <c r="L863" s="37"/>
      <c r="N863" s="37"/>
      <c r="O863" s="37"/>
      <c r="P863" s="37"/>
      <c r="Q863" s="37"/>
      <c r="R863" s="37"/>
      <c r="S863" s="37"/>
      <c r="T863" s="37"/>
      <c r="V863"/>
      <c r="X863"/>
    </row>
    <row r="864" spans="1:24" ht="15" customHeight="1" thickBot="1" x14ac:dyDescent="0.35">
      <c r="A864" s="38">
        <v>43489.521527777775</v>
      </c>
      <c r="B864" s="39">
        <v>142062</v>
      </c>
      <c r="C864" s="36" t="s">
        <v>112</v>
      </c>
      <c r="D864" s="17">
        <v>6570000000000</v>
      </c>
      <c r="E864" s="16" t="s">
        <v>130</v>
      </c>
      <c r="F864" s="17">
        <v>1</v>
      </c>
      <c r="G864" s="18">
        <v>11.99</v>
      </c>
      <c r="H864" s="17">
        <v>5.9950000000000001</v>
      </c>
      <c r="I864" s="18">
        <v>11.99</v>
      </c>
      <c r="J864" s="18">
        <v>5.9950000000000001</v>
      </c>
      <c r="K864" s="37" t="str">
        <f t="shared" si="15"/>
        <v>Inexpensive</v>
      </c>
      <c r="L864" s="37"/>
      <c r="N864" s="37"/>
      <c r="O864" s="37"/>
      <c r="P864" s="37"/>
      <c r="Q864" s="37"/>
      <c r="R864" s="37"/>
      <c r="S864" s="37"/>
      <c r="T864" s="37"/>
      <c r="V864"/>
      <c r="X864"/>
    </row>
    <row r="865" spans="1:24" ht="15" customHeight="1" thickBot="1" x14ac:dyDescent="0.35">
      <c r="A865" s="38">
        <v>43466.739583333336</v>
      </c>
      <c r="B865" s="39">
        <v>142063</v>
      </c>
      <c r="C865" s="36" t="s">
        <v>114</v>
      </c>
      <c r="D865" s="17">
        <v>6320000000000</v>
      </c>
      <c r="E865" s="16" t="s">
        <v>130</v>
      </c>
      <c r="F865" s="17">
        <v>1</v>
      </c>
      <c r="G865" s="18">
        <v>2.99</v>
      </c>
      <c r="H865" s="17">
        <v>1.4950000000000001</v>
      </c>
      <c r="I865" s="18">
        <v>2.99</v>
      </c>
      <c r="J865" s="18">
        <v>1.4950000000000001</v>
      </c>
      <c r="K865" s="37" t="str">
        <f t="shared" si="15"/>
        <v>Inexpensive</v>
      </c>
      <c r="L865" s="37"/>
      <c r="N865" s="37"/>
      <c r="O865" s="37"/>
      <c r="P865" s="37"/>
      <c r="Q865" s="37"/>
      <c r="R865" s="37"/>
      <c r="S865" s="37"/>
      <c r="T865" s="37"/>
      <c r="V865"/>
      <c r="X865"/>
    </row>
    <row r="866" spans="1:24" ht="15" customHeight="1" thickBot="1" x14ac:dyDescent="0.35">
      <c r="A866" s="38">
        <v>43473.827777777777</v>
      </c>
      <c r="B866" s="39">
        <v>142064</v>
      </c>
      <c r="C866" s="36" t="s">
        <v>122</v>
      </c>
      <c r="D866" s="17">
        <v>8090000000000</v>
      </c>
      <c r="E866" s="16" t="s">
        <v>130</v>
      </c>
      <c r="F866" s="17">
        <v>2</v>
      </c>
      <c r="G866" s="18">
        <v>3.84</v>
      </c>
      <c r="H866" s="17">
        <v>1.92</v>
      </c>
      <c r="I866" s="18">
        <v>7.68</v>
      </c>
      <c r="J866" s="18">
        <v>3.84</v>
      </c>
      <c r="K866" s="37" t="str">
        <f t="shared" si="15"/>
        <v>Inexpensive</v>
      </c>
      <c r="L866" s="37"/>
      <c r="N866" s="37"/>
      <c r="O866" s="37"/>
      <c r="P866" s="37"/>
      <c r="Q866" s="37"/>
      <c r="R866" s="37"/>
      <c r="S866" s="37"/>
      <c r="T866" s="37"/>
      <c r="V866"/>
      <c r="X866"/>
    </row>
    <row r="867" spans="1:24" ht="15" customHeight="1" thickBot="1" x14ac:dyDescent="0.35">
      <c r="A867" s="38">
        <v>43489.053472222222</v>
      </c>
      <c r="B867" s="39">
        <v>142065</v>
      </c>
      <c r="C867" s="36" t="s">
        <v>114</v>
      </c>
      <c r="D867" s="17">
        <v>5390000000000</v>
      </c>
      <c r="E867" s="16" t="s">
        <v>132</v>
      </c>
      <c r="F867" s="17">
        <v>2</v>
      </c>
      <c r="G867" s="18">
        <v>2.99</v>
      </c>
      <c r="H867" s="17">
        <v>1.4950000000000001</v>
      </c>
      <c r="I867" s="18">
        <v>5.98</v>
      </c>
      <c r="J867" s="18">
        <v>2.99</v>
      </c>
      <c r="K867" s="37" t="str">
        <f t="shared" si="15"/>
        <v>Inexpensive</v>
      </c>
      <c r="L867" s="37"/>
      <c r="N867" s="37"/>
      <c r="O867" s="37"/>
      <c r="P867" s="37"/>
      <c r="Q867" s="37"/>
      <c r="R867" s="37"/>
      <c r="S867" s="37"/>
      <c r="T867" s="37"/>
      <c r="V867"/>
      <c r="X867"/>
    </row>
    <row r="868" spans="1:24" ht="15" customHeight="1" thickBot="1" x14ac:dyDescent="0.35">
      <c r="A868" s="38">
        <v>43466.918055555558</v>
      </c>
      <c r="B868" s="39">
        <v>142066</v>
      </c>
      <c r="C868" s="36" t="s">
        <v>115</v>
      </c>
      <c r="D868" s="17">
        <v>1830000000000</v>
      </c>
      <c r="E868" s="16" t="s">
        <v>130</v>
      </c>
      <c r="F868" s="17">
        <v>1</v>
      </c>
      <c r="G868" s="18">
        <v>389.99</v>
      </c>
      <c r="H868" s="17">
        <v>128.69669999999999</v>
      </c>
      <c r="I868" s="18">
        <v>389.99</v>
      </c>
      <c r="J868" s="18">
        <v>261.29329999999999</v>
      </c>
      <c r="K868" s="37" t="str">
        <f t="shared" si="15"/>
        <v>Inexpensive</v>
      </c>
      <c r="L868" s="37"/>
      <c r="N868" s="37"/>
      <c r="O868" s="37"/>
      <c r="P868" s="37"/>
      <c r="Q868" s="37"/>
      <c r="R868" s="37"/>
      <c r="S868" s="37"/>
      <c r="T868" s="37"/>
      <c r="V868"/>
      <c r="X868"/>
    </row>
    <row r="869" spans="1:24" ht="15" customHeight="1" thickBot="1" x14ac:dyDescent="0.35">
      <c r="A869" s="38">
        <v>43495.390972222223</v>
      </c>
      <c r="B869" s="39">
        <v>142067</v>
      </c>
      <c r="C869" s="36" t="s">
        <v>113</v>
      </c>
      <c r="D869" s="17">
        <v>6160000000000</v>
      </c>
      <c r="E869" s="16" t="s">
        <v>132</v>
      </c>
      <c r="F869" s="17">
        <v>1</v>
      </c>
      <c r="G869" s="18">
        <v>149.99</v>
      </c>
      <c r="H869" s="17">
        <v>97.493499999999997</v>
      </c>
      <c r="I869" s="18">
        <v>149.99</v>
      </c>
      <c r="J869" s="18">
        <v>52.496499999999997</v>
      </c>
      <c r="K869" s="37" t="str">
        <f t="shared" si="15"/>
        <v>Inexpensive</v>
      </c>
      <c r="L869" s="37"/>
      <c r="N869" s="37"/>
      <c r="O869" s="37"/>
      <c r="P869" s="37"/>
      <c r="Q869" s="37"/>
      <c r="R869" s="37"/>
      <c r="S869" s="37"/>
      <c r="T869" s="37"/>
      <c r="V869"/>
      <c r="X869"/>
    </row>
    <row r="870" spans="1:24" ht="15" customHeight="1" thickBot="1" x14ac:dyDescent="0.35">
      <c r="A870" s="38">
        <v>43493.964583333334</v>
      </c>
      <c r="B870" s="39">
        <v>142068</v>
      </c>
      <c r="C870" s="36" t="s">
        <v>115</v>
      </c>
      <c r="D870" s="17">
        <v>9990000000000</v>
      </c>
      <c r="E870" s="16" t="s">
        <v>132</v>
      </c>
      <c r="F870" s="17">
        <v>1</v>
      </c>
      <c r="G870" s="18">
        <v>389.99</v>
      </c>
      <c r="H870" s="17">
        <v>128.69669999999999</v>
      </c>
      <c r="I870" s="18">
        <v>389.99</v>
      </c>
      <c r="J870" s="18">
        <v>261.29329999999999</v>
      </c>
      <c r="K870" s="37" t="str">
        <f t="shared" si="15"/>
        <v>Inexpensive</v>
      </c>
      <c r="L870" s="37"/>
      <c r="N870" s="37"/>
      <c r="O870" s="37"/>
      <c r="P870" s="37"/>
      <c r="Q870" s="37"/>
      <c r="R870" s="37"/>
      <c r="S870" s="37"/>
      <c r="T870" s="37"/>
      <c r="V870"/>
      <c r="X870"/>
    </row>
    <row r="871" spans="1:24" ht="15" customHeight="1" thickBot="1" x14ac:dyDescent="0.35">
      <c r="A871" s="38">
        <v>43487.487500000003</v>
      </c>
      <c r="B871" s="39">
        <v>142069</v>
      </c>
      <c r="C871" s="36" t="s">
        <v>114</v>
      </c>
      <c r="D871" s="17">
        <v>7940000000000</v>
      </c>
      <c r="E871" s="16" t="s">
        <v>131</v>
      </c>
      <c r="F871" s="17">
        <v>2</v>
      </c>
      <c r="G871" s="18">
        <v>2.99</v>
      </c>
      <c r="H871" s="17">
        <v>1.4950000000000001</v>
      </c>
      <c r="I871" s="18">
        <v>5.98</v>
      </c>
      <c r="J871" s="18">
        <v>2.99</v>
      </c>
      <c r="K871" s="37" t="str">
        <f t="shared" si="15"/>
        <v>Inexpensive</v>
      </c>
      <c r="L871" s="37"/>
      <c r="N871" s="37"/>
      <c r="O871" s="37"/>
      <c r="P871" s="37"/>
      <c r="Q871" s="37"/>
      <c r="R871" s="37"/>
      <c r="S871" s="37"/>
      <c r="T871" s="37"/>
      <c r="V871"/>
      <c r="X871"/>
    </row>
    <row r="872" spans="1:24" ht="15" customHeight="1" thickBot="1" x14ac:dyDescent="0.35">
      <c r="A872" s="38">
        <v>43478.675000000003</v>
      </c>
      <c r="B872" s="39">
        <v>142070</v>
      </c>
      <c r="C872" s="36" t="s">
        <v>116</v>
      </c>
      <c r="D872" s="17">
        <v>3910000000000</v>
      </c>
      <c r="E872" s="16" t="s">
        <v>131</v>
      </c>
      <c r="F872" s="17">
        <v>1</v>
      </c>
      <c r="G872" s="18">
        <v>11.95</v>
      </c>
      <c r="H872" s="17">
        <v>5.9749999999999996</v>
      </c>
      <c r="I872" s="18">
        <v>11.95</v>
      </c>
      <c r="J872" s="18">
        <v>5.9749999999999996</v>
      </c>
      <c r="K872" s="37" t="str">
        <f t="shared" si="15"/>
        <v>Inexpensive</v>
      </c>
      <c r="L872" s="37"/>
      <c r="N872" s="37"/>
      <c r="O872" s="37"/>
      <c r="P872" s="37"/>
      <c r="Q872" s="37"/>
      <c r="R872" s="37"/>
      <c r="S872" s="37"/>
      <c r="T872" s="37"/>
      <c r="V872"/>
      <c r="X872"/>
    </row>
    <row r="873" spans="1:24" ht="15" customHeight="1" thickBot="1" x14ac:dyDescent="0.35">
      <c r="A873" s="38">
        <v>43482.959722222222</v>
      </c>
      <c r="B873" s="40">
        <v>142071</v>
      </c>
      <c r="C873" s="36" t="s">
        <v>122</v>
      </c>
      <c r="D873" s="17">
        <v>4400000000000</v>
      </c>
      <c r="E873" s="16" t="s">
        <v>132</v>
      </c>
      <c r="F873" s="17">
        <v>1</v>
      </c>
      <c r="G873" s="18">
        <v>3.84</v>
      </c>
      <c r="H873" s="17">
        <v>1.92</v>
      </c>
      <c r="I873" s="18">
        <v>3.84</v>
      </c>
      <c r="J873" s="18">
        <v>1.92</v>
      </c>
      <c r="K873" s="37" t="str">
        <f t="shared" si="15"/>
        <v>Inexpensive</v>
      </c>
      <c r="L873" s="37"/>
      <c r="N873" s="37"/>
      <c r="O873" s="37"/>
      <c r="P873" s="37"/>
      <c r="Q873" s="37"/>
      <c r="R873" s="37"/>
      <c r="S873" s="37"/>
      <c r="T873" s="37"/>
      <c r="V873"/>
      <c r="X873"/>
    </row>
    <row r="874" spans="1:24" ht="15" customHeight="1" thickBot="1" x14ac:dyDescent="0.35">
      <c r="A874" s="38">
        <v>43482.959722222222</v>
      </c>
      <c r="B874" s="40">
        <v>142071</v>
      </c>
      <c r="C874" s="36" t="s">
        <v>122</v>
      </c>
      <c r="D874" s="17">
        <v>5520000000000</v>
      </c>
      <c r="E874" s="16" t="s">
        <v>131</v>
      </c>
      <c r="F874" s="17">
        <v>1</v>
      </c>
      <c r="G874" s="18">
        <v>3.84</v>
      </c>
      <c r="H874" s="17">
        <v>1.92</v>
      </c>
      <c r="I874" s="18">
        <v>3.84</v>
      </c>
      <c r="J874" s="18">
        <v>1.92</v>
      </c>
      <c r="K874" s="37" t="str">
        <f t="shared" si="15"/>
        <v>Inexpensive</v>
      </c>
      <c r="L874" s="37"/>
      <c r="N874" s="37"/>
      <c r="O874" s="37"/>
      <c r="P874" s="37"/>
      <c r="Q874" s="37"/>
      <c r="R874" s="37"/>
      <c r="S874" s="37"/>
      <c r="T874" s="37"/>
      <c r="V874"/>
      <c r="X874"/>
    </row>
    <row r="875" spans="1:24" ht="15" customHeight="1" thickBot="1" x14ac:dyDescent="0.35">
      <c r="A875" s="38">
        <v>43481.831250000003</v>
      </c>
      <c r="B875" s="39">
        <v>142072</v>
      </c>
      <c r="C875" s="36" t="s">
        <v>126</v>
      </c>
      <c r="D875" s="17">
        <v>7750000000000</v>
      </c>
      <c r="E875" s="16" t="s">
        <v>130</v>
      </c>
      <c r="F875" s="17">
        <v>1</v>
      </c>
      <c r="G875" s="18">
        <v>999.99</v>
      </c>
      <c r="H875" s="17">
        <v>329.99669999999998</v>
      </c>
      <c r="I875" s="18">
        <v>999.99</v>
      </c>
      <c r="J875" s="18">
        <v>669.99329999999998</v>
      </c>
      <c r="K875" s="37" t="str">
        <f t="shared" si="15"/>
        <v>Expensive</v>
      </c>
      <c r="L875" s="37"/>
      <c r="N875" s="37"/>
      <c r="O875" s="37"/>
      <c r="P875" s="37"/>
      <c r="Q875" s="37"/>
      <c r="R875" s="37"/>
      <c r="S875" s="37"/>
      <c r="T875" s="37"/>
      <c r="V875"/>
      <c r="X875"/>
    </row>
    <row r="876" spans="1:24" ht="15" customHeight="1" thickBot="1" x14ac:dyDescent="0.35">
      <c r="A876" s="38">
        <v>43470.681944444441</v>
      </c>
      <c r="B876" s="39">
        <v>142073</v>
      </c>
      <c r="C876" s="36" t="s">
        <v>112</v>
      </c>
      <c r="D876" s="17">
        <v>4250000000000</v>
      </c>
      <c r="E876" s="16" t="s">
        <v>132</v>
      </c>
      <c r="F876" s="17">
        <v>1</v>
      </c>
      <c r="G876" s="18">
        <v>11.99</v>
      </c>
      <c r="H876" s="17">
        <v>5.9950000000000001</v>
      </c>
      <c r="I876" s="18">
        <v>11.99</v>
      </c>
      <c r="J876" s="18">
        <v>5.9950000000000001</v>
      </c>
      <c r="K876" s="37" t="str">
        <f t="shared" si="15"/>
        <v>Inexpensive</v>
      </c>
      <c r="L876" s="37"/>
      <c r="N876" s="37"/>
      <c r="O876" s="37"/>
      <c r="P876" s="37"/>
      <c r="Q876" s="37"/>
      <c r="R876" s="37"/>
      <c r="S876" s="37"/>
      <c r="T876" s="37"/>
      <c r="V876"/>
      <c r="X876"/>
    </row>
    <row r="877" spans="1:24" ht="15" customHeight="1" thickBot="1" x14ac:dyDescent="0.35">
      <c r="A877" s="38">
        <v>43490.868750000001</v>
      </c>
      <c r="B877" s="39">
        <v>142074</v>
      </c>
      <c r="C877" s="36" t="s">
        <v>117</v>
      </c>
      <c r="D877" s="17">
        <v>1810000000000</v>
      </c>
      <c r="E877" s="16" t="s">
        <v>132</v>
      </c>
      <c r="F877" s="17">
        <v>1</v>
      </c>
      <c r="G877" s="18">
        <v>99.99</v>
      </c>
      <c r="H877" s="17">
        <v>49.994999999999997</v>
      </c>
      <c r="I877" s="18">
        <v>99.99</v>
      </c>
      <c r="J877" s="18">
        <v>49.994999999999997</v>
      </c>
      <c r="K877" s="37" t="str">
        <f t="shared" si="15"/>
        <v>Inexpensive</v>
      </c>
      <c r="L877" s="37"/>
      <c r="N877" s="37"/>
      <c r="O877" s="37"/>
      <c r="P877" s="37"/>
      <c r="Q877" s="37"/>
      <c r="R877" s="37"/>
      <c r="S877" s="37"/>
      <c r="T877" s="37"/>
      <c r="V877"/>
      <c r="X877"/>
    </row>
    <row r="878" spans="1:24" ht="15" customHeight="1" thickBot="1" x14ac:dyDescent="0.35">
      <c r="A878" s="38">
        <v>43484.680555555555</v>
      </c>
      <c r="B878" s="39">
        <v>142075</v>
      </c>
      <c r="C878" s="36" t="s">
        <v>112</v>
      </c>
      <c r="D878" s="17">
        <v>2290000000000</v>
      </c>
      <c r="E878" s="16" t="s">
        <v>131</v>
      </c>
      <c r="F878" s="17">
        <v>1</v>
      </c>
      <c r="G878" s="18">
        <v>11.99</v>
      </c>
      <c r="H878" s="17">
        <v>5.9950000000000001</v>
      </c>
      <c r="I878" s="18">
        <v>11.99</v>
      </c>
      <c r="J878" s="18">
        <v>5.9950000000000001</v>
      </c>
      <c r="K878" s="37" t="str">
        <f t="shared" si="15"/>
        <v>Inexpensive</v>
      </c>
      <c r="L878" s="37"/>
      <c r="N878" s="37"/>
      <c r="O878" s="37"/>
      <c r="P878" s="37"/>
      <c r="Q878" s="37"/>
      <c r="R878" s="37"/>
      <c r="S878" s="37"/>
      <c r="T878" s="37"/>
      <c r="V878"/>
      <c r="X878"/>
    </row>
    <row r="879" spans="1:24" ht="15" customHeight="1" thickBot="1" x14ac:dyDescent="0.35">
      <c r="A879" s="38">
        <v>43494.674305555556</v>
      </c>
      <c r="B879" s="39">
        <v>142076</v>
      </c>
      <c r="C879" s="36" t="s">
        <v>112</v>
      </c>
      <c r="D879" s="17">
        <v>8080000000000</v>
      </c>
      <c r="E879" s="16" t="s">
        <v>130</v>
      </c>
      <c r="F879" s="17">
        <v>1</v>
      </c>
      <c r="G879" s="18">
        <v>11.99</v>
      </c>
      <c r="H879" s="17">
        <v>5.9950000000000001</v>
      </c>
      <c r="I879" s="18">
        <v>11.99</v>
      </c>
      <c r="J879" s="18">
        <v>5.9950000000000001</v>
      </c>
      <c r="K879" s="37" t="str">
        <f t="shared" si="15"/>
        <v>Inexpensive</v>
      </c>
      <c r="L879" s="37"/>
      <c r="N879" s="37"/>
      <c r="O879" s="37"/>
      <c r="P879" s="37"/>
      <c r="Q879" s="37"/>
      <c r="R879" s="37"/>
      <c r="S879" s="37"/>
      <c r="T879" s="37"/>
      <c r="V879"/>
      <c r="X879"/>
    </row>
    <row r="880" spans="1:24" ht="15" customHeight="1" thickBot="1" x14ac:dyDescent="0.35">
      <c r="A880" s="38">
        <v>43482.720833333333</v>
      </c>
      <c r="B880" s="39">
        <v>142077</v>
      </c>
      <c r="C880" s="36" t="s">
        <v>118</v>
      </c>
      <c r="D880" s="17">
        <v>3780000000000</v>
      </c>
      <c r="E880" s="16" t="s">
        <v>130</v>
      </c>
      <c r="F880" s="17">
        <v>1</v>
      </c>
      <c r="G880" s="18">
        <v>150</v>
      </c>
      <c r="H880" s="17">
        <v>97.5</v>
      </c>
      <c r="I880" s="18">
        <v>150</v>
      </c>
      <c r="J880" s="18">
        <v>52.5</v>
      </c>
      <c r="K880" s="37" t="str">
        <f t="shared" si="15"/>
        <v>Inexpensive</v>
      </c>
      <c r="L880" s="37"/>
      <c r="N880" s="37"/>
      <c r="O880" s="37"/>
      <c r="P880" s="37"/>
      <c r="Q880" s="37"/>
      <c r="R880" s="37"/>
      <c r="S880" s="37"/>
      <c r="T880" s="37"/>
      <c r="V880"/>
      <c r="X880"/>
    </row>
    <row r="881" spans="1:24" ht="15" customHeight="1" thickBot="1" x14ac:dyDescent="0.35">
      <c r="A881" s="38">
        <v>43474.502083333333</v>
      </c>
      <c r="B881" s="39">
        <v>142078</v>
      </c>
      <c r="C881" s="36" t="s">
        <v>122</v>
      </c>
      <c r="D881" s="17">
        <v>1830000000000</v>
      </c>
      <c r="E881" s="16" t="s">
        <v>130</v>
      </c>
      <c r="F881" s="17">
        <v>1</v>
      </c>
      <c r="G881" s="18">
        <v>3.84</v>
      </c>
      <c r="H881" s="17">
        <v>1.92</v>
      </c>
      <c r="I881" s="18">
        <v>3.84</v>
      </c>
      <c r="J881" s="18">
        <v>1.92</v>
      </c>
      <c r="K881" s="37" t="str">
        <f t="shared" si="15"/>
        <v>Inexpensive</v>
      </c>
      <c r="L881" s="37"/>
      <c r="N881" s="37"/>
      <c r="O881" s="37"/>
      <c r="P881" s="37"/>
      <c r="Q881" s="37"/>
      <c r="R881" s="37"/>
      <c r="S881" s="37"/>
      <c r="T881" s="37"/>
      <c r="V881"/>
      <c r="X881"/>
    </row>
    <row r="882" spans="1:24" ht="15" customHeight="1" thickBot="1" x14ac:dyDescent="0.35">
      <c r="A882" s="38">
        <v>43467.720138888886</v>
      </c>
      <c r="B882" s="39">
        <v>142079</v>
      </c>
      <c r="C882" s="36" t="s">
        <v>122</v>
      </c>
      <c r="D882" s="17">
        <v>5700000000000</v>
      </c>
      <c r="E882" s="16" t="s">
        <v>132</v>
      </c>
      <c r="F882" s="17">
        <v>1</v>
      </c>
      <c r="G882" s="18">
        <v>3.84</v>
      </c>
      <c r="H882" s="17">
        <v>1.92</v>
      </c>
      <c r="I882" s="18">
        <v>3.84</v>
      </c>
      <c r="J882" s="18">
        <v>1.92</v>
      </c>
      <c r="K882" s="37" t="str">
        <f t="shared" si="15"/>
        <v>Inexpensive</v>
      </c>
      <c r="L882" s="37"/>
      <c r="N882" s="37"/>
      <c r="O882" s="37"/>
      <c r="P882" s="37"/>
      <c r="Q882" s="37"/>
      <c r="R882" s="37"/>
      <c r="S882" s="37"/>
      <c r="T882" s="37"/>
      <c r="V882"/>
      <c r="X882"/>
    </row>
    <row r="883" spans="1:24" ht="15" customHeight="1" thickBot="1" x14ac:dyDescent="0.35">
      <c r="A883" s="38">
        <v>43477.952777777777</v>
      </c>
      <c r="B883" s="39">
        <v>142080</v>
      </c>
      <c r="C883" s="36" t="s">
        <v>116</v>
      </c>
      <c r="D883" s="17">
        <v>1930000000000</v>
      </c>
      <c r="E883" s="16" t="s">
        <v>130</v>
      </c>
      <c r="F883" s="17">
        <v>1</v>
      </c>
      <c r="G883" s="18">
        <v>11.95</v>
      </c>
      <c r="H883" s="17">
        <v>5.9749999999999996</v>
      </c>
      <c r="I883" s="18">
        <v>11.95</v>
      </c>
      <c r="J883" s="18">
        <v>5.9749999999999996</v>
      </c>
      <c r="K883" s="37" t="str">
        <f t="shared" si="15"/>
        <v>Inexpensive</v>
      </c>
      <c r="L883" s="37"/>
      <c r="N883" s="37"/>
      <c r="O883" s="37"/>
      <c r="P883" s="37"/>
      <c r="Q883" s="37"/>
      <c r="R883" s="37"/>
      <c r="S883" s="37"/>
      <c r="T883" s="37"/>
      <c r="V883"/>
      <c r="X883"/>
    </row>
    <row r="884" spans="1:24" ht="15" customHeight="1" thickBot="1" x14ac:dyDescent="0.35">
      <c r="A884" s="38">
        <v>43494.717361111114</v>
      </c>
      <c r="B884" s="39">
        <v>142081</v>
      </c>
      <c r="C884" s="36" t="s">
        <v>114</v>
      </c>
      <c r="D884" s="17">
        <v>5160000000000</v>
      </c>
      <c r="E884" s="16" t="s">
        <v>130</v>
      </c>
      <c r="F884" s="17">
        <v>1</v>
      </c>
      <c r="G884" s="18">
        <v>2.99</v>
      </c>
      <c r="H884" s="17">
        <v>1.4950000000000001</v>
      </c>
      <c r="I884" s="18">
        <v>2.99</v>
      </c>
      <c r="J884" s="18">
        <v>1.4950000000000001</v>
      </c>
      <c r="K884" s="37" t="str">
        <f t="shared" si="15"/>
        <v>Inexpensive</v>
      </c>
      <c r="L884" s="37"/>
      <c r="N884" s="37"/>
      <c r="O884" s="37"/>
      <c r="P884" s="37"/>
      <c r="Q884" s="37"/>
      <c r="R884" s="37"/>
      <c r="S884" s="37"/>
      <c r="T884" s="37"/>
      <c r="V884"/>
      <c r="X884"/>
    </row>
    <row r="885" spans="1:24" ht="15" customHeight="1" thickBot="1" x14ac:dyDescent="0.35">
      <c r="A885" s="38">
        <v>43481.919444444444</v>
      </c>
      <c r="B885" s="39">
        <v>142082</v>
      </c>
      <c r="C885" s="36" t="s">
        <v>114</v>
      </c>
      <c r="D885" s="17">
        <v>9280000000000</v>
      </c>
      <c r="E885" s="16" t="s">
        <v>132</v>
      </c>
      <c r="F885" s="17">
        <v>1</v>
      </c>
      <c r="G885" s="18">
        <v>2.99</v>
      </c>
      <c r="H885" s="17">
        <v>1.4950000000000001</v>
      </c>
      <c r="I885" s="18">
        <v>2.99</v>
      </c>
      <c r="J885" s="18">
        <v>1.4950000000000001</v>
      </c>
      <c r="K885" s="37" t="str">
        <f t="shared" si="15"/>
        <v>Inexpensive</v>
      </c>
      <c r="L885" s="37"/>
      <c r="N885" s="37"/>
      <c r="O885" s="37"/>
      <c r="P885" s="37"/>
      <c r="Q885" s="37"/>
      <c r="R885" s="37"/>
      <c r="S885" s="37"/>
      <c r="T885" s="37"/>
      <c r="V885"/>
      <c r="X885"/>
    </row>
    <row r="886" spans="1:24" ht="15" customHeight="1" thickBot="1" x14ac:dyDescent="0.35">
      <c r="A886" s="38">
        <v>43485.740277777775</v>
      </c>
      <c r="B886" s="39">
        <v>142083</v>
      </c>
      <c r="C886" s="36" t="s">
        <v>119</v>
      </c>
      <c r="D886" s="17">
        <v>4160000000000</v>
      </c>
      <c r="E886" s="16" t="s">
        <v>130</v>
      </c>
      <c r="F886" s="17">
        <v>1</v>
      </c>
      <c r="G886" s="18">
        <v>1700</v>
      </c>
      <c r="H886" s="17">
        <v>561</v>
      </c>
      <c r="I886" s="18">
        <v>1700</v>
      </c>
      <c r="J886" s="18">
        <v>1139</v>
      </c>
      <c r="K886" s="37" t="str">
        <f t="shared" si="15"/>
        <v>Expensive</v>
      </c>
      <c r="L886" s="37"/>
      <c r="N886" s="37"/>
      <c r="O886" s="37"/>
      <c r="P886" s="37"/>
      <c r="Q886" s="37"/>
      <c r="R886" s="37"/>
      <c r="S886" s="37"/>
      <c r="T886" s="37"/>
      <c r="V886"/>
      <c r="X886"/>
    </row>
    <row r="887" spans="1:24" ht="15" customHeight="1" thickBot="1" x14ac:dyDescent="0.35">
      <c r="A887" s="38">
        <v>43479.581250000003</v>
      </c>
      <c r="B887" s="39">
        <v>142084</v>
      </c>
      <c r="C887" s="36" t="s">
        <v>116</v>
      </c>
      <c r="D887" s="17">
        <v>2900000000000</v>
      </c>
      <c r="E887" s="16" t="s">
        <v>132</v>
      </c>
      <c r="F887" s="17">
        <v>3</v>
      </c>
      <c r="G887" s="18">
        <v>11.95</v>
      </c>
      <c r="H887" s="17">
        <v>5.9749999999999996</v>
      </c>
      <c r="I887" s="18">
        <v>35.85</v>
      </c>
      <c r="J887" s="18">
        <v>17.925000000000001</v>
      </c>
      <c r="K887" s="37" t="str">
        <f t="shared" si="15"/>
        <v>Inexpensive</v>
      </c>
      <c r="L887" s="37"/>
      <c r="N887" s="37"/>
      <c r="O887" s="37"/>
      <c r="P887" s="37"/>
      <c r="Q887" s="37"/>
      <c r="R887" s="37"/>
      <c r="S887" s="37"/>
      <c r="T887" s="37"/>
      <c r="V887"/>
      <c r="X887"/>
    </row>
    <row r="888" spans="1:24" ht="15" customHeight="1" thickBot="1" x14ac:dyDescent="0.35">
      <c r="A888" s="38">
        <v>43491.786111111112</v>
      </c>
      <c r="B888" s="40">
        <v>142085</v>
      </c>
      <c r="C888" s="36" t="s">
        <v>110</v>
      </c>
      <c r="D888" s="17">
        <v>6380000000000</v>
      </c>
      <c r="E888" s="16" t="s">
        <v>130</v>
      </c>
      <c r="F888" s="17">
        <v>1</v>
      </c>
      <c r="G888" s="18">
        <v>700</v>
      </c>
      <c r="H888" s="17">
        <v>231</v>
      </c>
      <c r="I888" s="18">
        <v>700</v>
      </c>
      <c r="J888" s="18">
        <v>469</v>
      </c>
      <c r="K888" s="37" t="str">
        <f t="shared" si="15"/>
        <v>Expensive</v>
      </c>
      <c r="L888" s="37"/>
      <c r="N888" s="37"/>
      <c r="O888" s="37"/>
      <c r="P888" s="37"/>
      <c r="Q888" s="37"/>
      <c r="R888" s="37"/>
      <c r="S888" s="37"/>
      <c r="T888" s="37"/>
      <c r="V888"/>
      <c r="X888"/>
    </row>
    <row r="889" spans="1:24" ht="15" customHeight="1" thickBot="1" x14ac:dyDescent="0.35">
      <c r="A889" s="38">
        <v>43491.786111111112</v>
      </c>
      <c r="B889" s="40">
        <v>142085</v>
      </c>
      <c r="C889" s="36" t="s">
        <v>111</v>
      </c>
      <c r="D889" s="17">
        <v>6740000000000</v>
      </c>
      <c r="E889" s="16" t="s">
        <v>132</v>
      </c>
      <c r="F889" s="17">
        <v>1</v>
      </c>
      <c r="G889" s="18">
        <v>14.95</v>
      </c>
      <c r="H889" s="17">
        <v>7.4749999999999996</v>
      </c>
      <c r="I889" s="18">
        <v>14.95</v>
      </c>
      <c r="J889" s="18">
        <v>7.4749999999999996</v>
      </c>
      <c r="K889" s="37" t="str">
        <f t="shared" si="15"/>
        <v>Inexpensive</v>
      </c>
      <c r="L889" s="37"/>
      <c r="N889" s="37"/>
      <c r="O889" s="37"/>
      <c r="P889" s="37"/>
      <c r="Q889" s="37"/>
      <c r="R889" s="37"/>
      <c r="S889" s="37"/>
      <c r="T889" s="37"/>
      <c r="V889"/>
      <c r="X889"/>
    </row>
    <row r="890" spans="1:24" ht="15" customHeight="1" thickBot="1" x14ac:dyDescent="0.35">
      <c r="A890" s="38">
        <v>43470.507638888892</v>
      </c>
      <c r="B890" s="39">
        <v>142086</v>
      </c>
      <c r="C890" s="36" t="s">
        <v>111</v>
      </c>
      <c r="D890" s="17">
        <v>1780000000000</v>
      </c>
      <c r="E890" s="16" t="s">
        <v>131</v>
      </c>
      <c r="F890" s="17">
        <v>1</v>
      </c>
      <c r="G890" s="18">
        <v>14.95</v>
      </c>
      <c r="H890" s="17">
        <v>7.4749999999999996</v>
      </c>
      <c r="I890" s="18">
        <v>14.95</v>
      </c>
      <c r="J890" s="18">
        <v>7.4749999999999996</v>
      </c>
      <c r="K890" s="37" t="str">
        <f t="shared" si="15"/>
        <v>Inexpensive</v>
      </c>
      <c r="L890" s="37"/>
      <c r="N890" s="37"/>
      <c r="O890" s="37"/>
      <c r="P890" s="37"/>
      <c r="Q890" s="37"/>
      <c r="R890" s="37"/>
      <c r="S890" s="37"/>
      <c r="T890" s="37"/>
      <c r="V890"/>
      <c r="X890"/>
    </row>
    <row r="891" spans="1:24" ht="15" customHeight="1" thickBot="1" x14ac:dyDescent="0.35">
      <c r="A891" s="38">
        <v>43489.619444444441</v>
      </c>
      <c r="B891" s="39">
        <v>142087</v>
      </c>
      <c r="C891" s="36" t="s">
        <v>115</v>
      </c>
      <c r="D891" s="17">
        <v>3480000000000</v>
      </c>
      <c r="E891" s="16" t="s">
        <v>131</v>
      </c>
      <c r="F891" s="17">
        <v>1</v>
      </c>
      <c r="G891" s="18">
        <v>389.99</v>
      </c>
      <c r="H891" s="17">
        <v>128.69669999999999</v>
      </c>
      <c r="I891" s="18">
        <v>389.99</v>
      </c>
      <c r="J891" s="18">
        <v>261.29329999999999</v>
      </c>
      <c r="K891" s="37" t="str">
        <f t="shared" si="15"/>
        <v>Inexpensive</v>
      </c>
      <c r="L891" s="37"/>
      <c r="N891" s="37"/>
      <c r="O891" s="37"/>
      <c r="P891" s="37"/>
      <c r="Q891" s="37"/>
      <c r="R891" s="37"/>
      <c r="S891" s="37"/>
      <c r="T891" s="37"/>
      <c r="V891"/>
      <c r="X891"/>
    </row>
    <row r="892" spans="1:24" ht="15" customHeight="1" thickBot="1" x14ac:dyDescent="0.35">
      <c r="A892" s="38">
        <v>43477.507638888892</v>
      </c>
      <c r="B892" s="39">
        <v>142088</v>
      </c>
      <c r="C892" s="36" t="s">
        <v>123</v>
      </c>
      <c r="D892" s="17">
        <v>3730000000000</v>
      </c>
      <c r="E892" s="16" t="s">
        <v>132</v>
      </c>
      <c r="F892" s="17">
        <v>1</v>
      </c>
      <c r="G892" s="18">
        <v>600</v>
      </c>
      <c r="H892" s="17">
        <v>198</v>
      </c>
      <c r="I892" s="18">
        <v>600</v>
      </c>
      <c r="J892" s="18">
        <v>402</v>
      </c>
      <c r="K892" s="37" t="str">
        <f t="shared" si="15"/>
        <v>Inexpensive</v>
      </c>
      <c r="L892" s="37"/>
      <c r="N892" s="37"/>
      <c r="O892" s="37"/>
      <c r="P892" s="37"/>
      <c r="Q892" s="37"/>
      <c r="R892" s="37"/>
      <c r="S892" s="37"/>
      <c r="T892" s="37"/>
      <c r="V892"/>
      <c r="X892"/>
    </row>
    <row r="893" spans="1:24" ht="15" customHeight="1" thickBot="1" x14ac:dyDescent="0.35">
      <c r="A893" s="38">
        <v>43480.441666666666</v>
      </c>
      <c r="B893" s="39">
        <v>142089</v>
      </c>
      <c r="C893" s="36" t="s">
        <v>116</v>
      </c>
      <c r="D893" s="17">
        <v>3960000000000</v>
      </c>
      <c r="E893" s="16" t="s">
        <v>131</v>
      </c>
      <c r="F893" s="17">
        <v>1</v>
      </c>
      <c r="G893" s="18">
        <v>11.95</v>
      </c>
      <c r="H893" s="17">
        <v>5.9749999999999996</v>
      </c>
      <c r="I893" s="18">
        <v>11.95</v>
      </c>
      <c r="J893" s="18">
        <v>5.9749999999999996</v>
      </c>
      <c r="K893" s="37" t="str">
        <f t="shared" si="15"/>
        <v>Inexpensive</v>
      </c>
      <c r="L893" s="37"/>
      <c r="N893" s="37"/>
      <c r="O893" s="37"/>
      <c r="P893" s="37"/>
      <c r="Q893" s="37"/>
      <c r="R893" s="37"/>
      <c r="S893" s="37"/>
      <c r="T893" s="37"/>
      <c r="V893"/>
      <c r="X893"/>
    </row>
    <row r="894" spans="1:24" ht="15" customHeight="1" thickBot="1" x14ac:dyDescent="0.35">
      <c r="A894" s="38">
        <v>43471.238194444442</v>
      </c>
      <c r="B894" s="39">
        <v>142090</v>
      </c>
      <c r="C894" s="36" t="s">
        <v>112</v>
      </c>
      <c r="D894" s="17">
        <v>1090000000000</v>
      </c>
      <c r="E894" s="16" t="s">
        <v>132</v>
      </c>
      <c r="F894" s="17">
        <v>1</v>
      </c>
      <c r="G894" s="18">
        <v>11.99</v>
      </c>
      <c r="H894" s="17">
        <v>5.9950000000000001</v>
      </c>
      <c r="I894" s="18">
        <v>11.99</v>
      </c>
      <c r="J894" s="18">
        <v>5.9950000000000001</v>
      </c>
      <c r="K894" s="37" t="str">
        <f t="shared" si="15"/>
        <v>Inexpensive</v>
      </c>
      <c r="L894" s="37"/>
      <c r="N894" s="37"/>
      <c r="O894" s="37"/>
      <c r="P894" s="37"/>
      <c r="Q894" s="37"/>
      <c r="R894" s="37"/>
      <c r="S894" s="37"/>
      <c r="T894" s="37"/>
      <c r="V894"/>
      <c r="X894"/>
    </row>
    <row r="895" spans="1:24" ht="15" customHeight="1" thickBot="1" x14ac:dyDescent="0.35">
      <c r="A895" s="38">
        <v>43486.425694444442</v>
      </c>
      <c r="B895" s="39">
        <v>142091</v>
      </c>
      <c r="C895" s="36" t="s">
        <v>114</v>
      </c>
      <c r="D895" s="17">
        <v>4050000000000</v>
      </c>
      <c r="E895" s="16" t="s">
        <v>131</v>
      </c>
      <c r="F895" s="17">
        <v>1</v>
      </c>
      <c r="G895" s="18">
        <v>2.99</v>
      </c>
      <c r="H895" s="17">
        <v>1.4950000000000001</v>
      </c>
      <c r="I895" s="18">
        <v>2.99</v>
      </c>
      <c r="J895" s="18">
        <v>1.4950000000000001</v>
      </c>
      <c r="K895" s="37" t="str">
        <f t="shared" si="15"/>
        <v>Inexpensive</v>
      </c>
      <c r="L895" s="37"/>
      <c r="N895" s="37"/>
      <c r="O895" s="37"/>
      <c r="P895" s="37"/>
      <c r="Q895" s="37"/>
      <c r="R895" s="37"/>
      <c r="S895" s="37"/>
      <c r="T895" s="37"/>
      <c r="V895"/>
      <c r="X895"/>
    </row>
    <row r="896" spans="1:24" ht="15" customHeight="1" thickBot="1" x14ac:dyDescent="0.35">
      <c r="A896" s="38">
        <v>43489.480555555558</v>
      </c>
      <c r="B896" s="39">
        <v>142092</v>
      </c>
      <c r="C896" s="36" t="s">
        <v>117</v>
      </c>
      <c r="D896" s="17">
        <v>7270000000000</v>
      </c>
      <c r="E896" s="16" t="s">
        <v>131</v>
      </c>
      <c r="F896" s="17">
        <v>1</v>
      </c>
      <c r="G896" s="18">
        <v>99.99</v>
      </c>
      <c r="H896" s="17">
        <v>49.994999999999997</v>
      </c>
      <c r="I896" s="18">
        <v>99.99</v>
      </c>
      <c r="J896" s="18">
        <v>49.994999999999997</v>
      </c>
      <c r="K896" s="37" t="str">
        <f t="shared" si="15"/>
        <v>Inexpensive</v>
      </c>
      <c r="L896" s="37"/>
      <c r="N896" s="37"/>
      <c r="O896" s="37"/>
      <c r="P896" s="37"/>
      <c r="Q896" s="37"/>
      <c r="R896" s="37"/>
      <c r="S896" s="37"/>
      <c r="T896" s="37"/>
      <c r="V896"/>
      <c r="X896"/>
    </row>
    <row r="897" spans="1:24" ht="15" customHeight="1" thickBot="1" x14ac:dyDescent="0.35">
      <c r="A897" s="38">
        <v>43482.658333333333</v>
      </c>
      <c r="B897" s="39">
        <v>142093</v>
      </c>
      <c r="C897" s="36" t="s">
        <v>111</v>
      </c>
      <c r="D897" s="17">
        <v>2940000000000</v>
      </c>
      <c r="E897" s="16" t="s">
        <v>130</v>
      </c>
      <c r="F897" s="17">
        <v>1</v>
      </c>
      <c r="G897" s="18">
        <v>14.95</v>
      </c>
      <c r="H897" s="17">
        <v>7.4749999999999996</v>
      </c>
      <c r="I897" s="18">
        <v>14.95</v>
      </c>
      <c r="J897" s="18">
        <v>7.4749999999999996</v>
      </c>
      <c r="K897" s="37" t="str">
        <f t="shared" si="15"/>
        <v>Inexpensive</v>
      </c>
      <c r="L897" s="37"/>
      <c r="N897" s="37"/>
      <c r="O897" s="37"/>
      <c r="P897" s="37"/>
      <c r="Q897" s="37"/>
      <c r="R897" s="37"/>
      <c r="S897" s="37"/>
      <c r="T897" s="37"/>
      <c r="V897"/>
      <c r="X897"/>
    </row>
    <row r="898" spans="1:24" ht="15" customHeight="1" thickBot="1" x14ac:dyDescent="0.35">
      <c r="A898" s="38">
        <v>43484.76666666667</v>
      </c>
      <c r="B898" s="39">
        <v>142094</v>
      </c>
      <c r="C898" s="36" t="s">
        <v>112</v>
      </c>
      <c r="D898" s="17">
        <v>4080000000000</v>
      </c>
      <c r="E898" s="16" t="s">
        <v>131</v>
      </c>
      <c r="F898" s="17">
        <v>1</v>
      </c>
      <c r="G898" s="18">
        <v>11.99</v>
      </c>
      <c r="H898" s="17">
        <v>5.9950000000000001</v>
      </c>
      <c r="I898" s="18">
        <v>11.99</v>
      </c>
      <c r="J898" s="18">
        <v>5.9950000000000001</v>
      </c>
      <c r="K898" s="37" t="str">
        <f t="shared" si="15"/>
        <v>Inexpensive</v>
      </c>
      <c r="L898" s="37"/>
      <c r="N898" s="37"/>
      <c r="O898" s="37"/>
      <c r="P898" s="37"/>
      <c r="Q898" s="37"/>
      <c r="R898" s="37"/>
      <c r="S898" s="37"/>
      <c r="T898" s="37"/>
      <c r="V898"/>
      <c r="X898"/>
    </row>
    <row r="899" spans="1:24" ht="15" customHeight="1" thickBot="1" x14ac:dyDescent="0.35">
      <c r="A899" s="38">
        <v>43478.02847222222</v>
      </c>
      <c r="B899" s="39">
        <v>142095</v>
      </c>
      <c r="C899" s="36" t="s">
        <v>118</v>
      </c>
      <c r="D899" s="17">
        <v>2730000000000</v>
      </c>
      <c r="E899" s="16" t="s">
        <v>132</v>
      </c>
      <c r="F899" s="17">
        <v>1</v>
      </c>
      <c r="G899" s="18">
        <v>150</v>
      </c>
      <c r="H899" s="17">
        <v>97.5</v>
      </c>
      <c r="I899" s="18">
        <v>150</v>
      </c>
      <c r="J899" s="18">
        <v>52.5</v>
      </c>
      <c r="K899" s="37" t="str">
        <f t="shared" ref="K899:K962" si="16">IF(G899&gt;=700,"Expensive","Inexpensive")</f>
        <v>Inexpensive</v>
      </c>
      <c r="L899" s="37"/>
      <c r="N899" s="37"/>
      <c r="O899" s="37"/>
      <c r="P899" s="37"/>
      <c r="Q899" s="37"/>
      <c r="R899" s="37"/>
      <c r="S899" s="37"/>
      <c r="T899" s="37"/>
      <c r="V899"/>
      <c r="X899"/>
    </row>
    <row r="900" spans="1:24" ht="15" customHeight="1" thickBot="1" x14ac:dyDescent="0.35">
      <c r="A900" s="38">
        <v>43487.75</v>
      </c>
      <c r="B900" s="39">
        <v>142096</v>
      </c>
      <c r="C900" s="36" t="s">
        <v>116</v>
      </c>
      <c r="D900" s="17">
        <v>7250000000000</v>
      </c>
      <c r="E900" s="16" t="s">
        <v>130</v>
      </c>
      <c r="F900" s="17">
        <v>1</v>
      </c>
      <c r="G900" s="18">
        <v>11.95</v>
      </c>
      <c r="H900" s="17">
        <v>5.9749999999999996</v>
      </c>
      <c r="I900" s="18">
        <v>11.95</v>
      </c>
      <c r="J900" s="18">
        <v>5.9749999999999996</v>
      </c>
      <c r="K900" s="37" t="str">
        <f t="shared" si="16"/>
        <v>Inexpensive</v>
      </c>
      <c r="L900" s="37"/>
      <c r="N900" s="37"/>
      <c r="O900" s="37"/>
      <c r="P900" s="37"/>
      <c r="Q900" s="37"/>
      <c r="R900" s="37"/>
      <c r="S900" s="37"/>
      <c r="T900" s="37"/>
      <c r="V900"/>
      <c r="X900"/>
    </row>
    <row r="901" spans="1:24" ht="15" customHeight="1" thickBot="1" x14ac:dyDescent="0.35">
      <c r="A901" s="38">
        <v>43482.873611111114</v>
      </c>
      <c r="B901" s="39">
        <v>142097</v>
      </c>
      <c r="C901" s="36" t="s">
        <v>111</v>
      </c>
      <c r="D901" s="17">
        <v>7020000000000</v>
      </c>
      <c r="E901" s="16" t="s">
        <v>132</v>
      </c>
      <c r="F901" s="17">
        <v>1</v>
      </c>
      <c r="G901" s="18">
        <v>14.95</v>
      </c>
      <c r="H901" s="17">
        <v>7.4749999999999996</v>
      </c>
      <c r="I901" s="18">
        <v>14.95</v>
      </c>
      <c r="J901" s="18">
        <v>7.4749999999999996</v>
      </c>
      <c r="K901" s="37" t="str">
        <f t="shared" si="16"/>
        <v>Inexpensive</v>
      </c>
      <c r="L901" s="37"/>
      <c r="N901" s="37"/>
      <c r="O901" s="37"/>
      <c r="P901" s="37"/>
      <c r="Q901" s="37"/>
      <c r="R901" s="37"/>
      <c r="S901" s="37"/>
      <c r="T901" s="37"/>
      <c r="V901"/>
      <c r="X901"/>
    </row>
    <row r="902" spans="1:24" ht="15" customHeight="1" thickBot="1" x14ac:dyDescent="0.35">
      <c r="A902" s="38">
        <v>43491.081944444442</v>
      </c>
      <c r="B902" s="39">
        <v>142098</v>
      </c>
      <c r="C902" s="36" t="s">
        <v>122</v>
      </c>
      <c r="D902" s="17">
        <v>2800000000000</v>
      </c>
      <c r="E902" s="16" t="s">
        <v>131</v>
      </c>
      <c r="F902" s="17">
        <v>3</v>
      </c>
      <c r="G902" s="18">
        <v>3.84</v>
      </c>
      <c r="H902" s="17">
        <v>1.92</v>
      </c>
      <c r="I902" s="18">
        <v>11.52</v>
      </c>
      <c r="J902" s="18">
        <v>5.76</v>
      </c>
      <c r="K902" s="37" t="str">
        <f t="shared" si="16"/>
        <v>Inexpensive</v>
      </c>
      <c r="L902" s="37"/>
      <c r="N902" s="37"/>
      <c r="O902" s="37"/>
      <c r="P902" s="37"/>
      <c r="Q902" s="37"/>
      <c r="R902" s="37"/>
      <c r="S902" s="37"/>
      <c r="T902" s="37"/>
      <c r="V902"/>
      <c r="X902"/>
    </row>
    <row r="903" spans="1:24" ht="15" customHeight="1" thickBot="1" x14ac:dyDescent="0.35">
      <c r="A903" s="38">
        <v>43488.592361111114</v>
      </c>
      <c r="B903" s="39">
        <v>142099</v>
      </c>
      <c r="C903" s="36" t="s">
        <v>122</v>
      </c>
      <c r="D903" s="17">
        <v>3520000000000</v>
      </c>
      <c r="E903" s="16" t="s">
        <v>130</v>
      </c>
      <c r="F903" s="17">
        <v>2</v>
      </c>
      <c r="G903" s="18">
        <v>3.84</v>
      </c>
      <c r="H903" s="17">
        <v>1.92</v>
      </c>
      <c r="I903" s="18">
        <v>7.68</v>
      </c>
      <c r="J903" s="18">
        <v>3.84</v>
      </c>
      <c r="K903" s="37" t="str">
        <f t="shared" si="16"/>
        <v>Inexpensive</v>
      </c>
      <c r="L903" s="37"/>
      <c r="N903" s="37"/>
      <c r="O903" s="37"/>
      <c r="P903" s="37"/>
      <c r="Q903" s="37"/>
      <c r="R903" s="37"/>
      <c r="S903" s="37"/>
      <c r="T903" s="37"/>
      <c r="V903"/>
      <c r="X903"/>
    </row>
    <row r="904" spans="1:24" ht="15" customHeight="1" thickBot="1" x14ac:dyDescent="0.35">
      <c r="A904" s="38">
        <v>43470.495138888888</v>
      </c>
      <c r="B904" s="39">
        <v>142100</v>
      </c>
      <c r="C904" s="36" t="s">
        <v>117</v>
      </c>
      <c r="D904" s="17">
        <v>9180000000000</v>
      </c>
      <c r="E904" s="16" t="s">
        <v>130</v>
      </c>
      <c r="F904" s="17">
        <v>1</v>
      </c>
      <c r="G904" s="18">
        <v>99.99</v>
      </c>
      <c r="H904" s="17">
        <v>49.994999999999997</v>
      </c>
      <c r="I904" s="18">
        <v>99.99</v>
      </c>
      <c r="J904" s="18">
        <v>49.994999999999997</v>
      </c>
      <c r="K904" s="37" t="str">
        <f t="shared" si="16"/>
        <v>Inexpensive</v>
      </c>
      <c r="L904" s="37"/>
      <c r="N904" s="37"/>
      <c r="O904" s="37"/>
      <c r="P904" s="37"/>
      <c r="Q904" s="37"/>
      <c r="R904" s="37"/>
      <c r="S904" s="37"/>
      <c r="T904" s="37"/>
      <c r="V904"/>
      <c r="X904"/>
    </row>
    <row r="905" spans="1:24" ht="15" customHeight="1" thickBot="1" x14ac:dyDescent="0.35">
      <c r="A905" s="38">
        <v>43487.89166666667</v>
      </c>
      <c r="B905" s="39">
        <v>142101</v>
      </c>
      <c r="C905" s="36" t="s">
        <v>110</v>
      </c>
      <c r="D905" s="17">
        <v>6960000000000</v>
      </c>
      <c r="E905" s="16" t="s">
        <v>132</v>
      </c>
      <c r="F905" s="17">
        <v>1</v>
      </c>
      <c r="G905" s="18">
        <v>700</v>
      </c>
      <c r="H905" s="17">
        <v>231</v>
      </c>
      <c r="I905" s="18">
        <v>700</v>
      </c>
      <c r="J905" s="18">
        <v>469</v>
      </c>
      <c r="K905" s="37" t="str">
        <f t="shared" si="16"/>
        <v>Expensive</v>
      </c>
      <c r="L905" s="37"/>
      <c r="N905" s="37"/>
      <c r="O905" s="37"/>
      <c r="P905" s="37"/>
      <c r="Q905" s="37"/>
      <c r="R905" s="37"/>
      <c r="S905" s="37"/>
      <c r="T905" s="37"/>
      <c r="V905"/>
      <c r="X905"/>
    </row>
    <row r="906" spans="1:24" ht="15" customHeight="1" thickBot="1" x14ac:dyDescent="0.35">
      <c r="A906" s="38">
        <v>43490.510416666664</v>
      </c>
      <c r="B906" s="39">
        <v>142102</v>
      </c>
      <c r="C906" s="36" t="s">
        <v>114</v>
      </c>
      <c r="D906" s="17">
        <v>1960000000000</v>
      </c>
      <c r="E906" s="16" t="s">
        <v>130</v>
      </c>
      <c r="F906" s="17">
        <v>1</v>
      </c>
      <c r="G906" s="18">
        <v>2.99</v>
      </c>
      <c r="H906" s="17">
        <v>1.4950000000000001</v>
      </c>
      <c r="I906" s="18">
        <v>2.99</v>
      </c>
      <c r="J906" s="18">
        <v>1.4950000000000001</v>
      </c>
      <c r="K906" s="37" t="str">
        <f t="shared" si="16"/>
        <v>Inexpensive</v>
      </c>
      <c r="L906" s="37"/>
      <c r="N906" s="37"/>
      <c r="O906" s="37"/>
      <c r="P906" s="37"/>
      <c r="Q906" s="37"/>
      <c r="R906" s="37"/>
      <c r="S906" s="37"/>
      <c r="T906" s="37"/>
      <c r="V906"/>
      <c r="X906"/>
    </row>
    <row r="907" spans="1:24" ht="15" customHeight="1" thickBot="1" x14ac:dyDescent="0.35">
      <c r="A907" s="38">
        <v>43493.8</v>
      </c>
      <c r="B907" s="39">
        <v>142103</v>
      </c>
      <c r="C907" s="36" t="s">
        <v>110</v>
      </c>
      <c r="D907" s="17">
        <v>5550000000000</v>
      </c>
      <c r="E907" s="16" t="s">
        <v>131</v>
      </c>
      <c r="F907" s="17">
        <v>1</v>
      </c>
      <c r="G907" s="18">
        <v>700</v>
      </c>
      <c r="H907" s="17">
        <v>231</v>
      </c>
      <c r="I907" s="18">
        <v>700</v>
      </c>
      <c r="J907" s="18">
        <v>469</v>
      </c>
      <c r="K907" s="37" t="str">
        <f t="shared" si="16"/>
        <v>Expensive</v>
      </c>
      <c r="L907" s="37"/>
      <c r="N907" s="37"/>
      <c r="O907" s="37"/>
      <c r="P907" s="37"/>
      <c r="Q907" s="37"/>
      <c r="R907" s="37"/>
      <c r="S907" s="37"/>
      <c r="T907" s="37"/>
      <c r="V907"/>
      <c r="X907"/>
    </row>
    <row r="908" spans="1:24" ht="15" customHeight="1" thickBot="1" x14ac:dyDescent="0.35">
      <c r="A908" s="38">
        <v>43484.868055555555</v>
      </c>
      <c r="B908" s="39">
        <v>142104</v>
      </c>
      <c r="C908" s="36" t="s">
        <v>118</v>
      </c>
      <c r="D908" s="17">
        <v>2730000000000</v>
      </c>
      <c r="E908" s="16" t="s">
        <v>131</v>
      </c>
      <c r="F908" s="17">
        <v>1</v>
      </c>
      <c r="G908" s="18">
        <v>150</v>
      </c>
      <c r="H908" s="17">
        <v>97.5</v>
      </c>
      <c r="I908" s="18">
        <v>150</v>
      </c>
      <c r="J908" s="18">
        <v>52.5</v>
      </c>
      <c r="K908" s="37" t="str">
        <f t="shared" si="16"/>
        <v>Inexpensive</v>
      </c>
      <c r="L908" s="37"/>
      <c r="N908" s="37"/>
      <c r="O908" s="37"/>
      <c r="P908" s="37"/>
      <c r="Q908" s="37"/>
      <c r="R908" s="37"/>
      <c r="S908" s="37"/>
      <c r="T908" s="37"/>
      <c r="V908"/>
      <c r="X908"/>
    </row>
    <row r="909" spans="1:24" ht="15" customHeight="1" thickBot="1" x14ac:dyDescent="0.35">
      <c r="A909" s="38">
        <v>43496.56527777778</v>
      </c>
      <c r="B909" s="39">
        <v>142105</v>
      </c>
      <c r="C909" s="36" t="s">
        <v>126</v>
      </c>
      <c r="D909" s="17">
        <v>7810000000000</v>
      </c>
      <c r="E909" s="16" t="s">
        <v>132</v>
      </c>
      <c r="F909" s="17">
        <v>1</v>
      </c>
      <c r="G909" s="18">
        <v>999.99</v>
      </c>
      <c r="H909" s="17">
        <v>329.99669999999998</v>
      </c>
      <c r="I909" s="18">
        <v>999.99</v>
      </c>
      <c r="J909" s="18">
        <v>669.99329999999998</v>
      </c>
      <c r="K909" s="37" t="str">
        <f t="shared" si="16"/>
        <v>Expensive</v>
      </c>
      <c r="L909" s="37"/>
      <c r="N909" s="37"/>
      <c r="O909" s="37"/>
      <c r="P909" s="37"/>
      <c r="Q909" s="37"/>
      <c r="R909" s="37"/>
      <c r="S909" s="37"/>
      <c r="T909" s="37"/>
      <c r="V909"/>
      <c r="X909"/>
    </row>
    <row r="910" spans="1:24" ht="15" customHeight="1" thickBot="1" x14ac:dyDescent="0.35">
      <c r="A910" s="38">
        <v>43469.785416666666</v>
      </c>
      <c r="B910" s="39">
        <v>142106</v>
      </c>
      <c r="C910" s="36" t="s">
        <v>115</v>
      </c>
      <c r="D910" s="17">
        <v>8060000000000</v>
      </c>
      <c r="E910" s="16" t="s">
        <v>130</v>
      </c>
      <c r="F910" s="17">
        <v>1</v>
      </c>
      <c r="G910" s="18">
        <v>389.99</v>
      </c>
      <c r="H910" s="17">
        <v>128.69669999999999</v>
      </c>
      <c r="I910" s="18">
        <v>389.99</v>
      </c>
      <c r="J910" s="18">
        <v>261.29329999999999</v>
      </c>
      <c r="K910" s="37" t="str">
        <f t="shared" si="16"/>
        <v>Inexpensive</v>
      </c>
      <c r="L910" s="37"/>
      <c r="N910" s="37"/>
      <c r="O910" s="37"/>
      <c r="P910" s="37"/>
      <c r="Q910" s="37"/>
      <c r="R910" s="37"/>
      <c r="S910" s="37"/>
      <c r="T910" s="37"/>
      <c r="V910"/>
      <c r="X910"/>
    </row>
    <row r="911" spans="1:24" ht="15" customHeight="1" thickBot="1" x14ac:dyDescent="0.35">
      <c r="A911" s="38">
        <v>43471.723611111112</v>
      </c>
      <c r="B911" s="39">
        <v>142107</v>
      </c>
      <c r="C911" s="36" t="s">
        <v>111</v>
      </c>
      <c r="D911" s="17">
        <v>4120000000000</v>
      </c>
      <c r="E911" s="16" t="s">
        <v>131</v>
      </c>
      <c r="F911" s="17">
        <v>1</v>
      </c>
      <c r="G911" s="18">
        <v>14.95</v>
      </c>
      <c r="H911" s="17">
        <v>7.4749999999999996</v>
      </c>
      <c r="I911" s="18">
        <v>14.95</v>
      </c>
      <c r="J911" s="18">
        <v>7.4749999999999996</v>
      </c>
      <c r="K911" s="37" t="str">
        <f t="shared" si="16"/>
        <v>Inexpensive</v>
      </c>
      <c r="L911" s="37"/>
      <c r="N911" s="37"/>
      <c r="O911" s="37"/>
      <c r="P911" s="37"/>
      <c r="Q911" s="37"/>
      <c r="R911" s="37"/>
      <c r="S911" s="37"/>
      <c r="T911" s="37"/>
      <c r="V911"/>
      <c r="X911"/>
    </row>
    <row r="912" spans="1:24" ht="15" customHeight="1" thickBot="1" x14ac:dyDescent="0.35">
      <c r="A912" s="38">
        <v>43496.667361111111</v>
      </c>
      <c r="B912" s="39">
        <v>142108</v>
      </c>
      <c r="C912" s="36" t="s">
        <v>127</v>
      </c>
      <c r="D912" s="17">
        <v>5370000000000</v>
      </c>
      <c r="E912" s="16" t="s">
        <v>130</v>
      </c>
      <c r="F912" s="17">
        <v>1</v>
      </c>
      <c r="G912" s="18">
        <v>600</v>
      </c>
      <c r="H912" s="17">
        <v>198</v>
      </c>
      <c r="I912" s="18">
        <v>600</v>
      </c>
      <c r="J912" s="18">
        <v>402</v>
      </c>
      <c r="K912" s="37" t="str">
        <f t="shared" si="16"/>
        <v>Inexpensive</v>
      </c>
      <c r="L912" s="37"/>
      <c r="N912" s="37"/>
      <c r="O912" s="37"/>
      <c r="P912" s="37"/>
      <c r="Q912" s="37"/>
      <c r="R912" s="37"/>
      <c r="S912" s="37"/>
      <c r="T912" s="37"/>
      <c r="V912"/>
      <c r="X912"/>
    </row>
    <row r="913" spans="1:24" ht="15" customHeight="1" thickBot="1" x14ac:dyDescent="0.35">
      <c r="A913" s="38">
        <v>43473.645138888889</v>
      </c>
      <c r="B913" s="39">
        <v>142109</v>
      </c>
      <c r="C913" s="36" t="s">
        <v>119</v>
      </c>
      <c r="D913" s="17">
        <v>7410000000000</v>
      </c>
      <c r="E913" s="16" t="s">
        <v>132</v>
      </c>
      <c r="F913" s="17">
        <v>1</v>
      </c>
      <c r="G913" s="18">
        <v>1700</v>
      </c>
      <c r="H913" s="17">
        <v>561</v>
      </c>
      <c r="I913" s="18">
        <v>1700</v>
      </c>
      <c r="J913" s="18">
        <v>1139</v>
      </c>
      <c r="K913" s="37" t="str">
        <f t="shared" si="16"/>
        <v>Expensive</v>
      </c>
      <c r="L913" s="37"/>
      <c r="N913" s="37"/>
      <c r="O913" s="37"/>
      <c r="P913" s="37"/>
      <c r="Q913" s="37"/>
      <c r="R913" s="37"/>
      <c r="S913" s="37"/>
      <c r="T913" s="37"/>
      <c r="V913"/>
      <c r="X913"/>
    </row>
    <row r="914" spans="1:24" ht="15" customHeight="1" thickBot="1" x14ac:dyDescent="0.35">
      <c r="A914" s="38">
        <v>43489.597222222219</v>
      </c>
      <c r="B914" s="39">
        <v>142110</v>
      </c>
      <c r="C914" s="36" t="s">
        <v>116</v>
      </c>
      <c r="D914" s="17">
        <v>4270000000000</v>
      </c>
      <c r="E914" s="16" t="s">
        <v>132</v>
      </c>
      <c r="F914" s="17">
        <v>1</v>
      </c>
      <c r="G914" s="18">
        <v>11.95</v>
      </c>
      <c r="H914" s="17">
        <v>5.9749999999999996</v>
      </c>
      <c r="I914" s="18">
        <v>11.95</v>
      </c>
      <c r="J914" s="18">
        <v>5.9749999999999996</v>
      </c>
      <c r="K914" s="37" t="str">
        <f t="shared" si="16"/>
        <v>Inexpensive</v>
      </c>
      <c r="L914" s="37"/>
      <c r="N914" s="37"/>
      <c r="O914" s="37"/>
      <c r="P914" s="37"/>
      <c r="Q914" s="37"/>
      <c r="R914" s="37"/>
      <c r="S914" s="37"/>
      <c r="T914" s="37"/>
      <c r="V914"/>
      <c r="X914"/>
    </row>
    <row r="915" spans="1:24" ht="15" customHeight="1" thickBot="1" x14ac:dyDescent="0.35">
      <c r="A915" s="38">
        <v>43488.950694444444</v>
      </c>
      <c r="B915" s="39">
        <v>142111</v>
      </c>
      <c r="C915" s="36" t="s">
        <v>111</v>
      </c>
      <c r="D915" s="17">
        <v>6470000000000</v>
      </c>
      <c r="E915" s="16" t="s">
        <v>130</v>
      </c>
      <c r="F915" s="17">
        <v>1</v>
      </c>
      <c r="G915" s="18">
        <v>14.95</v>
      </c>
      <c r="H915" s="17">
        <v>7.4749999999999996</v>
      </c>
      <c r="I915" s="18">
        <v>14.95</v>
      </c>
      <c r="J915" s="18">
        <v>7.4749999999999996</v>
      </c>
      <c r="K915" s="37" t="str">
        <f t="shared" si="16"/>
        <v>Inexpensive</v>
      </c>
      <c r="L915" s="37"/>
      <c r="N915" s="37"/>
      <c r="O915" s="37"/>
      <c r="P915" s="37"/>
      <c r="Q915" s="37"/>
      <c r="R915" s="37"/>
      <c r="S915" s="37"/>
      <c r="T915" s="37"/>
      <c r="V915"/>
      <c r="X915"/>
    </row>
    <row r="916" spans="1:24" ht="15" customHeight="1" thickBot="1" x14ac:dyDescent="0.35">
      <c r="A916" s="38">
        <v>43466.57708333333</v>
      </c>
      <c r="B916" s="40">
        <v>142112</v>
      </c>
      <c r="C916" s="36" t="s">
        <v>124</v>
      </c>
      <c r="D916" s="17">
        <v>1840000000000</v>
      </c>
      <c r="E916" s="16" t="s">
        <v>130</v>
      </c>
      <c r="F916" s="17">
        <v>1</v>
      </c>
      <c r="G916" s="18">
        <v>109.99</v>
      </c>
      <c r="H916" s="17">
        <v>71.493499999999997</v>
      </c>
      <c r="I916" s="18">
        <v>109.99</v>
      </c>
      <c r="J916" s="18">
        <v>38.496499999999997</v>
      </c>
      <c r="K916" s="37" t="str">
        <f t="shared" si="16"/>
        <v>Inexpensive</v>
      </c>
      <c r="L916" s="37"/>
      <c r="N916" s="37"/>
      <c r="O916" s="37"/>
      <c r="P916" s="37"/>
      <c r="Q916" s="37"/>
      <c r="R916" s="37"/>
      <c r="S916" s="37"/>
      <c r="T916" s="37"/>
      <c r="V916"/>
      <c r="X916"/>
    </row>
    <row r="917" spans="1:24" ht="15" customHeight="1" thickBot="1" x14ac:dyDescent="0.35">
      <c r="A917" s="38">
        <v>43466.57708333333</v>
      </c>
      <c r="B917" s="40">
        <v>142112</v>
      </c>
      <c r="C917" s="36" t="s">
        <v>117</v>
      </c>
      <c r="D917" s="17">
        <v>5230000000000</v>
      </c>
      <c r="E917" s="16" t="s">
        <v>132</v>
      </c>
      <c r="F917" s="17">
        <v>1</v>
      </c>
      <c r="G917" s="18">
        <v>99.99</v>
      </c>
      <c r="H917" s="17">
        <v>49.994999999999997</v>
      </c>
      <c r="I917" s="18">
        <v>99.99</v>
      </c>
      <c r="J917" s="18">
        <v>49.994999999999997</v>
      </c>
      <c r="K917" s="37" t="str">
        <f t="shared" si="16"/>
        <v>Inexpensive</v>
      </c>
      <c r="L917" s="37"/>
      <c r="N917" s="37"/>
      <c r="O917" s="37"/>
      <c r="P917" s="37"/>
      <c r="Q917" s="37"/>
      <c r="R917" s="37"/>
      <c r="S917" s="37"/>
      <c r="T917" s="37"/>
      <c r="V917"/>
      <c r="X917"/>
    </row>
    <row r="918" spans="1:24" ht="15" customHeight="1" thickBot="1" x14ac:dyDescent="0.35">
      <c r="A918" s="38">
        <v>43475.425000000003</v>
      </c>
      <c r="B918" s="39">
        <v>142113</v>
      </c>
      <c r="C918" s="36" t="s">
        <v>114</v>
      </c>
      <c r="D918" s="17">
        <v>1670000000000</v>
      </c>
      <c r="E918" s="16" t="s">
        <v>132</v>
      </c>
      <c r="F918" s="17">
        <v>3</v>
      </c>
      <c r="G918" s="18">
        <v>2.99</v>
      </c>
      <c r="H918" s="17">
        <v>1.4950000000000001</v>
      </c>
      <c r="I918" s="18">
        <v>8.9700000000000006</v>
      </c>
      <c r="J918" s="18">
        <v>4.4850000000000003</v>
      </c>
      <c r="K918" s="37" t="str">
        <f t="shared" si="16"/>
        <v>Inexpensive</v>
      </c>
      <c r="L918" s="37"/>
      <c r="N918" s="37"/>
      <c r="O918" s="37"/>
      <c r="P918" s="37"/>
      <c r="Q918" s="37"/>
      <c r="R918" s="37"/>
      <c r="S918" s="37"/>
      <c r="T918" s="37"/>
      <c r="V918"/>
      <c r="X918"/>
    </row>
    <row r="919" spans="1:24" ht="15" customHeight="1" thickBot="1" x14ac:dyDescent="0.35">
      <c r="A919" s="38">
        <v>43474.681250000001</v>
      </c>
      <c r="B919" s="39">
        <v>142114</v>
      </c>
      <c r="C919" s="36" t="s">
        <v>117</v>
      </c>
      <c r="D919" s="17">
        <v>5020000000000</v>
      </c>
      <c r="E919" s="16" t="s">
        <v>131</v>
      </c>
      <c r="F919" s="17">
        <v>1</v>
      </c>
      <c r="G919" s="18">
        <v>99.99</v>
      </c>
      <c r="H919" s="17">
        <v>49.994999999999997</v>
      </c>
      <c r="I919" s="18">
        <v>99.99</v>
      </c>
      <c r="J919" s="18">
        <v>49.994999999999997</v>
      </c>
      <c r="K919" s="37" t="str">
        <f t="shared" si="16"/>
        <v>Inexpensive</v>
      </c>
      <c r="L919" s="37"/>
      <c r="N919" s="37"/>
      <c r="O919" s="37"/>
      <c r="P919" s="37"/>
      <c r="Q919" s="37"/>
      <c r="R919" s="37"/>
      <c r="S919" s="37"/>
      <c r="T919" s="37"/>
      <c r="V919"/>
      <c r="X919"/>
    </row>
    <row r="920" spans="1:24" ht="15" customHeight="1" thickBot="1" x14ac:dyDescent="0.35">
      <c r="A920" s="38">
        <v>43476.80972222222</v>
      </c>
      <c r="B920" s="39">
        <v>142115</v>
      </c>
      <c r="C920" s="36" t="s">
        <v>118</v>
      </c>
      <c r="D920" s="17">
        <v>1830000000000</v>
      </c>
      <c r="E920" s="16" t="s">
        <v>130</v>
      </c>
      <c r="F920" s="17">
        <v>1</v>
      </c>
      <c r="G920" s="18">
        <v>150</v>
      </c>
      <c r="H920" s="17">
        <v>97.5</v>
      </c>
      <c r="I920" s="18">
        <v>150</v>
      </c>
      <c r="J920" s="18">
        <v>52.5</v>
      </c>
      <c r="K920" s="37" t="str">
        <f t="shared" si="16"/>
        <v>Inexpensive</v>
      </c>
      <c r="L920" s="37"/>
      <c r="N920" s="37"/>
      <c r="O920" s="37"/>
      <c r="P920" s="37"/>
      <c r="Q920" s="37"/>
      <c r="R920" s="37"/>
      <c r="S920" s="37"/>
      <c r="T920" s="37"/>
      <c r="V920"/>
      <c r="X920"/>
    </row>
    <row r="921" spans="1:24" ht="15" customHeight="1" thickBot="1" x14ac:dyDescent="0.35">
      <c r="A921" s="38">
        <v>43474.787499999999</v>
      </c>
      <c r="B921" s="39">
        <v>142116</v>
      </c>
      <c r="C921" s="36" t="s">
        <v>122</v>
      </c>
      <c r="D921" s="17">
        <v>5620000000000</v>
      </c>
      <c r="E921" s="16" t="s">
        <v>132</v>
      </c>
      <c r="F921" s="17">
        <v>1</v>
      </c>
      <c r="G921" s="18">
        <v>3.84</v>
      </c>
      <c r="H921" s="17">
        <v>1.92</v>
      </c>
      <c r="I921" s="18">
        <v>3.84</v>
      </c>
      <c r="J921" s="18">
        <v>1.92</v>
      </c>
      <c r="K921" s="37" t="str">
        <f t="shared" si="16"/>
        <v>Inexpensive</v>
      </c>
      <c r="L921" s="37"/>
      <c r="N921" s="37"/>
      <c r="O921" s="37"/>
      <c r="P921" s="37"/>
      <c r="Q921" s="37"/>
      <c r="R921" s="37"/>
      <c r="S921" s="37"/>
      <c r="T921" s="37"/>
      <c r="V921"/>
      <c r="X921"/>
    </row>
    <row r="922" spans="1:24" ht="15" customHeight="1" thickBot="1" x14ac:dyDescent="0.35">
      <c r="A922" s="38">
        <v>43473.456944444442</v>
      </c>
      <c r="B922" s="39">
        <v>142117</v>
      </c>
      <c r="C922" s="36" t="s">
        <v>119</v>
      </c>
      <c r="D922" s="17">
        <v>3890000000000</v>
      </c>
      <c r="E922" s="16" t="s">
        <v>131</v>
      </c>
      <c r="F922" s="17">
        <v>1</v>
      </c>
      <c r="G922" s="18">
        <v>1700</v>
      </c>
      <c r="H922" s="17">
        <v>561</v>
      </c>
      <c r="I922" s="18">
        <v>1700</v>
      </c>
      <c r="J922" s="18">
        <v>1139</v>
      </c>
      <c r="K922" s="37" t="str">
        <f t="shared" si="16"/>
        <v>Expensive</v>
      </c>
      <c r="L922" s="37"/>
      <c r="N922" s="37"/>
      <c r="O922" s="37"/>
      <c r="P922" s="37"/>
      <c r="Q922" s="37"/>
      <c r="R922" s="37"/>
      <c r="S922" s="37"/>
      <c r="T922" s="37"/>
      <c r="V922"/>
      <c r="X922"/>
    </row>
    <row r="923" spans="1:24" ht="15" customHeight="1" thickBot="1" x14ac:dyDescent="0.35">
      <c r="A923" s="38">
        <v>43477.648611111108</v>
      </c>
      <c r="B923" s="39">
        <v>142118</v>
      </c>
      <c r="C923" s="36" t="s">
        <v>117</v>
      </c>
      <c r="D923" s="17">
        <v>9740000000000</v>
      </c>
      <c r="E923" s="16" t="s">
        <v>130</v>
      </c>
      <c r="F923" s="17">
        <v>1</v>
      </c>
      <c r="G923" s="18">
        <v>99.99</v>
      </c>
      <c r="H923" s="17">
        <v>49.994999999999997</v>
      </c>
      <c r="I923" s="18">
        <v>99.99</v>
      </c>
      <c r="J923" s="18">
        <v>49.994999999999997</v>
      </c>
      <c r="K923" s="37" t="str">
        <f t="shared" si="16"/>
        <v>Inexpensive</v>
      </c>
      <c r="L923" s="37"/>
      <c r="N923" s="37"/>
      <c r="O923" s="37"/>
      <c r="P923" s="37"/>
      <c r="Q923" s="37"/>
      <c r="R923" s="37"/>
      <c r="S923" s="37"/>
      <c r="T923" s="37"/>
      <c r="V923"/>
      <c r="X923"/>
    </row>
    <row r="924" spans="1:24" ht="15" customHeight="1" thickBot="1" x14ac:dyDescent="0.35">
      <c r="A924" s="38">
        <v>43476.384027777778</v>
      </c>
      <c r="B924" s="39">
        <v>142119</v>
      </c>
      <c r="C924" s="36" t="s">
        <v>116</v>
      </c>
      <c r="D924" s="17">
        <v>1850000000000</v>
      </c>
      <c r="E924" s="16" t="s">
        <v>131</v>
      </c>
      <c r="F924" s="17">
        <v>1</v>
      </c>
      <c r="G924" s="18">
        <v>11.95</v>
      </c>
      <c r="H924" s="17">
        <v>5.9749999999999996</v>
      </c>
      <c r="I924" s="18">
        <v>11.95</v>
      </c>
      <c r="J924" s="18">
        <v>5.9749999999999996</v>
      </c>
      <c r="K924" s="37" t="str">
        <f t="shared" si="16"/>
        <v>Inexpensive</v>
      </c>
      <c r="L924" s="37"/>
      <c r="N924" s="37"/>
      <c r="O924" s="37"/>
      <c r="P924" s="37"/>
      <c r="Q924" s="37"/>
      <c r="R924" s="37"/>
      <c r="S924" s="37"/>
      <c r="T924" s="37"/>
      <c r="V924"/>
      <c r="X924"/>
    </row>
    <row r="925" spans="1:24" ht="15" customHeight="1" thickBot="1" x14ac:dyDescent="0.35">
      <c r="A925" s="38">
        <v>43469.180555555555</v>
      </c>
      <c r="B925" s="39">
        <v>142120</v>
      </c>
      <c r="C925" s="36" t="s">
        <v>115</v>
      </c>
      <c r="D925" s="17">
        <v>4330000000000</v>
      </c>
      <c r="E925" s="16" t="s">
        <v>132</v>
      </c>
      <c r="F925" s="17">
        <v>1</v>
      </c>
      <c r="G925" s="18">
        <v>389.99</v>
      </c>
      <c r="H925" s="17">
        <v>128.69669999999999</v>
      </c>
      <c r="I925" s="18">
        <v>389.99</v>
      </c>
      <c r="J925" s="18">
        <v>261.29329999999999</v>
      </c>
      <c r="K925" s="37" t="str">
        <f t="shared" si="16"/>
        <v>Inexpensive</v>
      </c>
      <c r="L925" s="37"/>
      <c r="N925" s="37"/>
      <c r="O925" s="37"/>
      <c r="P925" s="37"/>
      <c r="Q925" s="37"/>
      <c r="R925" s="37"/>
      <c r="S925" s="37"/>
      <c r="T925" s="37"/>
      <c r="V925"/>
      <c r="X925"/>
    </row>
    <row r="926" spans="1:24" ht="15" customHeight="1" thickBot="1" x14ac:dyDescent="0.35">
      <c r="A926" s="38">
        <v>43479.017361111109</v>
      </c>
      <c r="B926" s="39">
        <v>142121</v>
      </c>
      <c r="C926" s="36" t="s">
        <v>112</v>
      </c>
      <c r="D926" s="17">
        <v>6470000000000</v>
      </c>
      <c r="E926" s="16" t="s">
        <v>130</v>
      </c>
      <c r="F926" s="17">
        <v>1</v>
      </c>
      <c r="G926" s="18">
        <v>11.99</v>
      </c>
      <c r="H926" s="17">
        <v>5.9950000000000001</v>
      </c>
      <c r="I926" s="18">
        <v>11.99</v>
      </c>
      <c r="J926" s="18">
        <v>5.9950000000000001</v>
      </c>
      <c r="K926" s="37" t="str">
        <f t="shared" si="16"/>
        <v>Inexpensive</v>
      </c>
      <c r="L926" s="37"/>
      <c r="N926" s="37"/>
      <c r="O926" s="37"/>
      <c r="P926" s="37"/>
      <c r="Q926" s="37"/>
      <c r="R926" s="37"/>
      <c r="S926" s="37"/>
      <c r="T926" s="37"/>
      <c r="V926"/>
      <c r="X926"/>
    </row>
    <row r="927" spans="1:24" ht="15" customHeight="1" thickBot="1" x14ac:dyDescent="0.35">
      <c r="A927" s="38">
        <v>43476.962500000001</v>
      </c>
      <c r="B927" s="39">
        <v>142122</v>
      </c>
      <c r="C927" s="36" t="s">
        <v>118</v>
      </c>
      <c r="D927" s="17">
        <v>1870000000000</v>
      </c>
      <c r="E927" s="16" t="s">
        <v>132</v>
      </c>
      <c r="F927" s="17">
        <v>1</v>
      </c>
      <c r="G927" s="18">
        <v>150</v>
      </c>
      <c r="H927" s="17">
        <v>97.5</v>
      </c>
      <c r="I927" s="18">
        <v>150</v>
      </c>
      <c r="J927" s="18">
        <v>52.5</v>
      </c>
      <c r="K927" s="37" t="str">
        <f t="shared" si="16"/>
        <v>Inexpensive</v>
      </c>
      <c r="L927" s="37"/>
      <c r="N927" s="37"/>
      <c r="O927" s="37"/>
      <c r="P927" s="37"/>
      <c r="Q927" s="37"/>
      <c r="R927" s="37"/>
      <c r="S927" s="37"/>
      <c r="T927" s="37"/>
      <c r="V927"/>
      <c r="X927"/>
    </row>
    <row r="928" spans="1:24" ht="15" customHeight="1" thickBot="1" x14ac:dyDescent="0.35">
      <c r="A928" s="38">
        <v>43467.864583333336</v>
      </c>
      <c r="B928" s="39">
        <v>142123</v>
      </c>
      <c r="C928" s="36" t="s">
        <v>111</v>
      </c>
      <c r="D928" s="17">
        <v>7760000000000</v>
      </c>
      <c r="E928" s="16" t="s">
        <v>132</v>
      </c>
      <c r="F928" s="17">
        <v>1</v>
      </c>
      <c r="G928" s="18">
        <v>14.95</v>
      </c>
      <c r="H928" s="17">
        <v>7.4749999999999996</v>
      </c>
      <c r="I928" s="18">
        <v>14.95</v>
      </c>
      <c r="J928" s="18">
        <v>7.4749999999999996</v>
      </c>
      <c r="K928" s="37" t="str">
        <f t="shared" si="16"/>
        <v>Inexpensive</v>
      </c>
      <c r="L928" s="37"/>
      <c r="N928" s="37"/>
      <c r="O928" s="37"/>
      <c r="P928" s="37"/>
      <c r="Q928" s="37"/>
      <c r="R928" s="37"/>
      <c r="S928" s="37"/>
      <c r="T928" s="37"/>
      <c r="V928"/>
      <c r="X928"/>
    </row>
    <row r="929" spans="1:24" ht="15" customHeight="1" thickBot="1" x14ac:dyDescent="0.35">
      <c r="A929" s="38">
        <v>43493.549305555556</v>
      </c>
      <c r="B929" s="39">
        <v>142124</v>
      </c>
      <c r="C929" s="36" t="s">
        <v>122</v>
      </c>
      <c r="D929" s="17">
        <v>8060000000000</v>
      </c>
      <c r="E929" s="16" t="s">
        <v>131</v>
      </c>
      <c r="F929" s="17">
        <v>2</v>
      </c>
      <c r="G929" s="18">
        <v>3.84</v>
      </c>
      <c r="H929" s="17">
        <v>1.92</v>
      </c>
      <c r="I929" s="18">
        <v>7.68</v>
      </c>
      <c r="J929" s="18">
        <v>3.84</v>
      </c>
      <c r="K929" s="37" t="str">
        <f t="shared" si="16"/>
        <v>Inexpensive</v>
      </c>
      <c r="L929" s="37"/>
      <c r="N929" s="37"/>
      <c r="O929" s="37"/>
      <c r="P929" s="37"/>
      <c r="Q929" s="37"/>
      <c r="R929" s="37"/>
      <c r="S929" s="37"/>
      <c r="T929" s="37"/>
      <c r="V929"/>
      <c r="X929"/>
    </row>
    <row r="930" spans="1:24" ht="15" customHeight="1" thickBot="1" x14ac:dyDescent="0.35">
      <c r="A930" s="38">
        <v>43491.136111111111</v>
      </c>
      <c r="B930" s="39">
        <v>142125</v>
      </c>
      <c r="C930" s="36" t="s">
        <v>111</v>
      </c>
      <c r="D930" s="17">
        <v>1030000000000</v>
      </c>
      <c r="E930" s="16" t="s">
        <v>131</v>
      </c>
      <c r="F930" s="17">
        <v>1</v>
      </c>
      <c r="G930" s="18">
        <v>14.95</v>
      </c>
      <c r="H930" s="17">
        <v>7.4749999999999996</v>
      </c>
      <c r="I930" s="18">
        <v>14.95</v>
      </c>
      <c r="J930" s="18">
        <v>7.4749999999999996</v>
      </c>
      <c r="K930" s="37" t="str">
        <f t="shared" si="16"/>
        <v>Inexpensive</v>
      </c>
      <c r="L930" s="37"/>
      <c r="N930" s="37"/>
      <c r="O930" s="37"/>
      <c r="P930" s="37"/>
      <c r="Q930" s="37"/>
      <c r="R930" s="37"/>
      <c r="S930" s="37"/>
      <c r="T930" s="37"/>
      <c r="V930"/>
      <c r="X930"/>
    </row>
    <row r="931" spans="1:24" ht="15" customHeight="1" thickBot="1" x14ac:dyDescent="0.35">
      <c r="A931" s="38">
        <v>43491.503472222219</v>
      </c>
      <c r="B931" s="39">
        <v>142126</v>
      </c>
      <c r="C931" s="36" t="s">
        <v>114</v>
      </c>
      <c r="D931" s="17">
        <v>6330000000000</v>
      </c>
      <c r="E931" s="16" t="s">
        <v>131</v>
      </c>
      <c r="F931" s="17">
        <v>2</v>
      </c>
      <c r="G931" s="18">
        <v>2.99</v>
      </c>
      <c r="H931" s="17">
        <v>1.4950000000000001</v>
      </c>
      <c r="I931" s="18">
        <v>5.98</v>
      </c>
      <c r="J931" s="18">
        <v>2.99</v>
      </c>
      <c r="K931" s="37" t="str">
        <f t="shared" si="16"/>
        <v>Inexpensive</v>
      </c>
      <c r="L931" s="37"/>
      <c r="N931" s="37"/>
      <c r="O931" s="37"/>
      <c r="P931" s="37"/>
      <c r="Q931" s="37"/>
      <c r="R931" s="37"/>
      <c r="S931" s="37"/>
      <c r="T931" s="37"/>
      <c r="V931"/>
      <c r="X931"/>
    </row>
    <row r="932" spans="1:24" ht="15" customHeight="1" thickBot="1" x14ac:dyDescent="0.35">
      <c r="A932" s="38">
        <v>43479.388888888891</v>
      </c>
      <c r="B932" s="39">
        <v>142127</v>
      </c>
      <c r="C932" s="36" t="s">
        <v>112</v>
      </c>
      <c r="D932" s="17">
        <v>5220000000000</v>
      </c>
      <c r="E932" s="16" t="s">
        <v>132</v>
      </c>
      <c r="F932" s="17">
        <v>1</v>
      </c>
      <c r="G932" s="18">
        <v>11.99</v>
      </c>
      <c r="H932" s="17">
        <v>5.9950000000000001</v>
      </c>
      <c r="I932" s="18">
        <v>11.99</v>
      </c>
      <c r="J932" s="18">
        <v>5.9950000000000001</v>
      </c>
      <c r="K932" s="37" t="str">
        <f t="shared" si="16"/>
        <v>Inexpensive</v>
      </c>
      <c r="L932" s="37"/>
      <c r="N932" s="37"/>
      <c r="O932" s="37"/>
      <c r="P932" s="37"/>
      <c r="Q932" s="37"/>
      <c r="R932" s="37"/>
      <c r="S932" s="37"/>
      <c r="T932" s="37"/>
      <c r="V932"/>
      <c r="X932"/>
    </row>
    <row r="933" spans="1:24" ht="15" customHeight="1" thickBot="1" x14ac:dyDescent="0.35">
      <c r="A933" s="38">
        <v>43485.122916666667</v>
      </c>
      <c r="B933" s="40">
        <v>142128</v>
      </c>
      <c r="C933" s="36" t="s">
        <v>117</v>
      </c>
      <c r="D933" s="17">
        <v>8400000000000</v>
      </c>
      <c r="E933" s="16" t="s">
        <v>132</v>
      </c>
      <c r="F933" s="17">
        <v>1</v>
      </c>
      <c r="G933" s="18">
        <v>99.99</v>
      </c>
      <c r="H933" s="17">
        <v>49.994999999999997</v>
      </c>
      <c r="I933" s="18">
        <v>99.99</v>
      </c>
      <c r="J933" s="18">
        <v>49.994999999999997</v>
      </c>
      <c r="K933" s="37" t="str">
        <f t="shared" si="16"/>
        <v>Inexpensive</v>
      </c>
      <c r="L933" s="37"/>
      <c r="N933" s="37"/>
      <c r="O933" s="37"/>
      <c r="P933" s="37"/>
      <c r="Q933" s="37"/>
      <c r="R933" s="37"/>
      <c r="S933" s="37"/>
      <c r="T933" s="37"/>
      <c r="V933"/>
      <c r="X933"/>
    </row>
    <row r="934" spans="1:24" ht="15" customHeight="1" thickBot="1" x14ac:dyDescent="0.35">
      <c r="A934" s="38">
        <v>43485.122916666667</v>
      </c>
      <c r="B934" s="40">
        <v>142128</v>
      </c>
      <c r="C934" s="36" t="s">
        <v>123</v>
      </c>
      <c r="D934" s="17">
        <v>7500000000000</v>
      </c>
      <c r="E934" s="16" t="s">
        <v>131</v>
      </c>
      <c r="F934" s="17">
        <v>1</v>
      </c>
      <c r="G934" s="18">
        <v>600</v>
      </c>
      <c r="H934" s="17">
        <v>198</v>
      </c>
      <c r="I934" s="18">
        <v>600</v>
      </c>
      <c r="J934" s="18">
        <v>402</v>
      </c>
      <c r="K934" s="37" t="str">
        <f t="shared" si="16"/>
        <v>Inexpensive</v>
      </c>
      <c r="L934" s="37"/>
      <c r="N934" s="37"/>
      <c r="O934" s="37"/>
      <c r="P934" s="37"/>
      <c r="Q934" s="37"/>
      <c r="R934" s="37"/>
      <c r="S934" s="37"/>
      <c r="T934" s="37"/>
      <c r="V934"/>
      <c r="X934"/>
    </row>
    <row r="935" spans="1:24" ht="15" customHeight="1" thickBot="1" x14ac:dyDescent="0.35">
      <c r="A935" s="38">
        <v>43485.122916666667</v>
      </c>
      <c r="B935" s="40">
        <v>142128</v>
      </c>
      <c r="C935" s="36" t="s">
        <v>112</v>
      </c>
      <c r="D935" s="17">
        <v>2870000000000</v>
      </c>
      <c r="E935" s="16" t="s">
        <v>131</v>
      </c>
      <c r="F935" s="17">
        <v>2</v>
      </c>
      <c r="G935" s="18">
        <v>11.99</v>
      </c>
      <c r="H935" s="17">
        <v>5.9950000000000001</v>
      </c>
      <c r="I935" s="18">
        <v>23.98</v>
      </c>
      <c r="J935" s="18">
        <v>11.99</v>
      </c>
      <c r="K935" s="37" t="str">
        <f t="shared" si="16"/>
        <v>Inexpensive</v>
      </c>
      <c r="L935" s="37"/>
      <c r="N935" s="37"/>
      <c r="O935" s="37"/>
      <c r="P935" s="37"/>
      <c r="Q935" s="37"/>
      <c r="R935" s="37"/>
      <c r="S935" s="37"/>
      <c r="T935" s="37"/>
      <c r="V935"/>
      <c r="X935"/>
    </row>
    <row r="936" spans="1:24" ht="15" customHeight="1" thickBot="1" x14ac:dyDescent="0.35">
      <c r="A936" s="38">
        <v>43496.756249999999</v>
      </c>
      <c r="B936" s="39">
        <v>142129</v>
      </c>
      <c r="C936" s="36" t="s">
        <v>118</v>
      </c>
      <c r="D936" s="17">
        <v>1340000000000</v>
      </c>
      <c r="E936" s="16" t="s">
        <v>131</v>
      </c>
      <c r="F936" s="17">
        <v>1</v>
      </c>
      <c r="G936" s="18">
        <v>150</v>
      </c>
      <c r="H936" s="17">
        <v>97.5</v>
      </c>
      <c r="I936" s="18">
        <v>150</v>
      </c>
      <c r="J936" s="18">
        <v>52.5</v>
      </c>
      <c r="K936" s="37" t="str">
        <f t="shared" si="16"/>
        <v>Inexpensive</v>
      </c>
      <c r="L936" s="37"/>
      <c r="N936" s="37"/>
      <c r="O936" s="37"/>
      <c r="P936" s="37"/>
      <c r="Q936" s="37"/>
      <c r="R936" s="37"/>
      <c r="S936" s="37"/>
      <c r="T936" s="37"/>
      <c r="V936"/>
      <c r="X936"/>
    </row>
    <row r="937" spans="1:24" ht="15" customHeight="1" thickBot="1" x14ac:dyDescent="0.35">
      <c r="A937" s="38">
        <v>43496.7</v>
      </c>
      <c r="B937" s="39">
        <v>142130</v>
      </c>
      <c r="C937" s="36" t="s">
        <v>123</v>
      </c>
      <c r="D937" s="17">
        <v>8690000000000</v>
      </c>
      <c r="E937" s="16" t="s">
        <v>130</v>
      </c>
      <c r="F937" s="17">
        <v>1</v>
      </c>
      <c r="G937" s="18">
        <v>600</v>
      </c>
      <c r="H937" s="17">
        <v>198</v>
      </c>
      <c r="I937" s="18">
        <v>600</v>
      </c>
      <c r="J937" s="18">
        <v>402</v>
      </c>
      <c r="K937" s="37" t="str">
        <f t="shared" si="16"/>
        <v>Inexpensive</v>
      </c>
      <c r="L937" s="37"/>
      <c r="N937" s="37"/>
      <c r="O937" s="37"/>
      <c r="P937" s="37"/>
      <c r="Q937" s="37"/>
      <c r="R937" s="37"/>
      <c r="S937" s="37"/>
      <c r="T937" s="37"/>
      <c r="V937"/>
      <c r="X937"/>
    </row>
    <row r="938" spans="1:24" ht="15" customHeight="1" thickBot="1" x14ac:dyDescent="0.35">
      <c r="A938" s="38">
        <v>43485.53402777778</v>
      </c>
      <c r="B938" s="39">
        <v>142131</v>
      </c>
      <c r="C938" s="36" t="s">
        <v>114</v>
      </c>
      <c r="D938" s="17">
        <v>7980000000000</v>
      </c>
      <c r="E938" s="16" t="s">
        <v>130</v>
      </c>
      <c r="F938" s="17">
        <v>1</v>
      </c>
      <c r="G938" s="18">
        <v>2.99</v>
      </c>
      <c r="H938" s="17">
        <v>1.4950000000000001</v>
      </c>
      <c r="I938" s="18">
        <v>2.99</v>
      </c>
      <c r="J938" s="18">
        <v>1.4950000000000001</v>
      </c>
      <c r="K938" s="37" t="str">
        <f t="shared" si="16"/>
        <v>Inexpensive</v>
      </c>
      <c r="L938" s="37"/>
      <c r="N938" s="37"/>
      <c r="O938" s="37"/>
      <c r="P938" s="37"/>
      <c r="Q938" s="37"/>
      <c r="R938" s="37"/>
      <c r="S938" s="37"/>
      <c r="T938" s="37"/>
      <c r="V938"/>
      <c r="X938"/>
    </row>
    <row r="939" spans="1:24" ht="15" customHeight="1" thickBot="1" x14ac:dyDescent="0.35">
      <c r="A939" s="38">
        <v>43471.940972222219</v>
      </c>
      <c r="B939" s="39">
        <v>142132</v>
      </c>
      <c r="C939" s="36" t="s">
        <v>116</v>
      </c>
      <c r="D939" s="17">
        <v>3360000000000</v>
      </c>
      <c r="E939" s="16" t="s">
        <v>130</v>
      </c>
      <c r="F939" s="17">
        <v>2</v>
      </c>
      <c r="G939" s="18">
        <v>11.95</v>
      </c>
      <c r="H939" s="17">
        <v>5.9749999999999996</v>
      </c>
      <c r="I939" s="18">
        <v>23.9</v>
      </c>
      <c r="J939" s="18">
        <v>11.95</v>
      </c>
      <c r="K939" s="37" t="str">
        <f t="shared" si="16"/>
        <v>Inexpensive</v>
      </c>
      <c r="L939" s="37"/>
      <c r="N939" s="37"/>
      <c r="O939" s="37"/>
      <c r="P939" s="37"/>
      <c r="Q939" s="37"/>
      <c r="R939" s="37"/>
      <c r="S939" s="37"/>
      <c r="T939" s="37"/>
      <c r="V939"/>
      <c r="X939"/>
    </row>
    <row r="940" spans="1:24" ht="15" customHeight="1" thickBot="1" x14ac:dyDescent="0.35">
      <c r="A940" s="38">
        <v>43495.836111111108</v>
      </c>
      <c r="B940" s="39">
        <v>142133</v>
      </c>
      <c r="C940" s="36" t="s">
        <v>116</v>
      </c>
      <c r="D940" s="17">
        <v>1690000000000</v>
      </c>
      <c r="E940" s="16" t="s">
        <v>132</v>
      </c>
      <c r="F940" s="17">
        <v>1</v>
      </c>
      <c r="G940" s="18">
        <v>11.95</v>
      </c>
      <c r="H940" s="17">
        <v>5.9749999999999996</v>
      </c>
      <c r="I940" s="18">
        <v>11.95</v>
      </c>
      <c r="J940" s="18">
        <v>5.9749999999999996</v>
      </c>
      <c r="K940" s="37" t="str">
        <f t="shared" si="16"/>
        <v>Inexpensive</v>
      </c>
      <c r="L940" s="37"/>
      <c r="N940" s="37"/>
      <c r="O940" s="37"/>
      <c r="P940" s="37"/>
      <c r="Q940" s="37"/>
      <c r="R940" s="37"/>
      <c r="S940" s="37"/>
      <c r="T940" s="37"/>
      <c r="V940"/>
      <c r="X940"/>
    </row>
    <row r="941" spans="1:24" ht="15" customHeight="1" thickBot="1" x14ac:dyDescent="0.35">
      <c r="A941" s="38">
        <v>43466.390972222223</v>
      </c>
      <c r="B941" s="39">
        <v>142134</v>
      </c>
      <c r="C941" s="36" t="s">
        <v>123</v>
      </c>
      <c r="D941" s="17">
        <v>7580000000000</v>
      </c>
      <c r="E941" s="16" t="s">
        <v>132</v>
      </c>
      <c r="F941" s="17">
        <v>1</v>
      </c>
      <c r="G941" s="18">
        <v>600</v>
      </c>
      <c r="H941" s="17">
        <v>198</v>
      </c>
      <c r="I941" s="18">
        <v>600</v>
      </c>
      <c r="J941" s="18">
        <v>402</v>
      </c>
      <c r="K941" s="37" t="str">
        <f t="shared" si="16"/>
        <v>Inexpensive</v>
      </c>
      <c r="L941" s="37"/>
      <c r="N941" s="37"/>
      <c r="O941" s="37"/>
      <c r="P941" s="37"/>
      <c r="Q941" s="37"/>
      <c r="R941" s="37"/>
      <c r="S941" s="37"/>
      <c r="T941" s="37"/>
      <c r="V941"/>
      <c r="X941"/>
    </row>
    <row r="942" spans="1:24" ht="15" customHeight="1" thickBot="1" x14ac:dyDescent="0.35">
      <c r="A942" s="38">
        <v>43471.436805555553</v>
      </c>
      <c r="B942" s="39">
        <v>142135</v>
      </c>
      <c r="C942" s="36" t="s">
        <v>116</v>
      </c>
      <c r="D942" s="17">
        <v>6580000000000</v>
      </c>
      <c r="E942" s="16" t="s">
        <v>131</v>
      </c>
      <c r="F942" s="17">
        <v>1</v>
      </c>
      <c r="G942" s="18">
        <v>11.95</v>
      </c>
      <c r="H942" s="17">
        <v>5.9749999999999996</v>
      </c>
      <c r="I942" s="18">
        <v>11.95</v>
      </c>
      <c r="J942" s="18">
        <v>5.9749999999999996</v>
      </c>
      <c r="K942" s="37" t="str">
        <f t="shared" si="16"/>
        <v>Inexpensive</v>
      </c>
      <c r="L942" s="37"/>
      <c r="N942" s="37"/>
      <c r="O942" s="37"/>
      <c r="P942" s="37"/>
      <c r="Q942" s="37"/>
      <c r="R942" s="37"/>
      <c r="S942" s="37"/>
      <c r="T942" s="37"/>
      <c r="V942"/>
      <c r="X942"/>
    </row>
    <row r="943" spans="1:24" ht="15" customHeight="1" thickBot="1" x14ac:dyDescent="0.35">
      <c r="A943" s="38">
        <v>43472.415277777778</v>
      </c>
      <c r="B943" s="39">
        <v>142136</v>
      </c>
      <c r="C943" s="36" t="s">
        <v>122</v>
      </c>
      <c r="D943" s="17">
        <v>8960000000000</v>
      </c>
      <c r="E943" s="16" t="s">
        <v>130</v>
      </c>
      <c r="F943" s="17">
        <v>1</v>
      </c>
      <c r="G943" s="18">
        <v>3.84</v>
      </c>
      <c r="H943" s="17">
        <v>1.92</v>
      </c>
      <c r="I943" s="18">
        <v>3.84</v>
      </c>
      <c r="J943" s="18">
        <v>1.92</v>
      </c>
      <c r="K943" s="37" t="str">
        <f t="shared" si="16"/>
        <v>Inexpensive</v>
      </c>
      <c r="L943" s="37"/>
      <c r="N943" s="37"/>
      <c r="O943" s="37"/>
      <c r="P943" s="37"/>
      <c r="Q943" s="37"/>
      <c r="R943" s="37"/>
      <c r="S943" s="37"/>
      <c r="T943" s="37"/>
      <c r="V943"/>
      <c r="X943"/>
    </row>
    <row r="944" spans="1:24" ht="15" customHeight="1" thickBot="1" x14ac:dyDescent="0.35">
      <c r="A944" s="38">
        <v>43489.250694444447</v>
      </c>
      <c r="B944" s="39">
        <v>142137</v>
      </c>
      <c r="C944" s="36" t="s">
        <v>114</v>
      </c>
      <c r="D944" s="17">
        <v>2310000000000</v>
      </c>
      <c r="E944" s="16" t="s">
        <v>132</v>
      </c>
      <c r="F944" s="17">
        <v>1</v>
      </c>
      <c r="G944" s="18">
        <v>2.99</v>
      </c>
      <c r="H944" s="17">
        <v>1.4950000000000001</v>
      </c>
      <c r="I944" s="18">
        <v>2.99</v>
      </c>
      <c r="J944" s="18">
        <v>1.4950000000000001</v>
      </c>
      <c r="K944" s="37" t="str">
        <f t="shared" si="16"/>
        <v>Inexpensive</v>
      </c>
      <c r="L944" s="37"/>
      <c r="N944" s="37"/>
      <c r="O944" s="37"/>
      <c r="P944" s="37"/>
      <c r="Q944" s="37"/>
      <c r="R944" s="37"/>
      <c r="S944" s="37"/>
      <c r="T944" s="37"/>
      <c r="V944"/>
      <c r="X944"/>
    </row>
    <row r="945" spans="1:24" ht="15" customHeight="1" thickBot="1" x14ac:dyDescent="0.35">
      <c r="A945" s="38">
        <v>43472.377083333333</v>
      </c>
      <c r="B945" s="39">
        <v>142138</v>
      </c>
      <c r="C945" s="36" t="s">
        <v>122</v>
      </c>
      <c r="D945" s="17">
        <v>1530000000000</v>
      </c>
      <c r="E945" s="16" t="s">
        <v>132</v>
      </c>
      <c r="F945" s="17">
        <v>1</v>
      </c>
      <c r="G945" s="18">
        <v>3.84</v>
      </c>
      <c r="H945" s="17">
        <v>1.92</v>
      </c>
      <c r="I945" s="18">
        <v>3.84</v>
      </c>
      <c r="J945" s="18">
        <v>1.92</v>
      </c>
      <c r="K945" s="37" t="str">
        <f t="shared" si="16"/>
        <v>Inexpensive</v>
      </c>
      <c r="L945" s="37"/>
      <c r="N945" s="37"/>
      <c r="O945" s="37"/>
      <c r="P945" s="37"/>
      <c r="Q945" s="37"/>
      <c r="R945" s="37"/>
      <c r="S945" s="37"/>
      <c r="T945" s="37"/>
      <c r="V945"/>
      <c r="X945"/>
    </row>
    <row r="946" spans="1:24" ht="15" customHeight="1" thickBot="1" x14ac:dyDescent="0.35">
      <c r="A946" s="38">
        <v>43482.339583333334</v>
      </c>
      <c r="B946" s="39">
        <v>142139</v>
      </c>
      <c r="C946" s="36" t="s">
        <v>122</v>
      </c>
      <c r="D946" s="17">
        <v>6870000000000</v>
      </c>
      <c r="E946" s="16" t="s">
        <v>131</v>
      </c>
      <c r="F946" s="17">
        <v>2</v>
      </c>
      <c r="G946" s="18">
        <v>3.84</v>
      </c>
      <c r="H946" s="17">
        <v>1.92</v>
      </c>
      <c r="I946" s="18">
        <v>7.68</v>
      </c>
      <c r="J946" s="18">
        <v>3.84</v>
      </c>
      <c r="K946" s="37" t="str">
        <f t="shared" si="16"/>
        <v>Inexpensive</v>
      </c>
      <c r="L946" s="37"/>
      <c r="N946" s="37"/>
      <c r="O946" s="37"/>
      <c r="P946" s="37"/>
      <c r="Q946" s="37"/>
      <c r="R946" s="37"/>
      <c r="S946" s="37"/>
      <c r="T946" s="37"/>
      <c r="V946"/>
      <c r="X946"/>
    </row>
    <row r="947" spans="1:24" ht="15" customHeight="1" thickBot="1" x14ac:dyDescent="0.35">
      <c r="A947" s="38">
        <v>43489.811805555553</v>
      </c>
      <c r="B947" s="39">
        <v>142140</v>
      </c>
      <c r="C947" s="36" t="s">
        <v>111</v>
      </c>
      <c r="D947" s="17">
        <v>7450000000000</v>
      </c>
      <c r="E947" s="16" t="s">
        <v>130</v>
      </c>
      <c r="F947" s="17">
        <v>1</v>
      </c>
      <c r="G947" s="18">
        <v>14.95</v>
      </c>
      <c r="H947" s="17">
        <v>7.4749999999999996</v>
      </c>
      <c r="I947" s="18">
        <v>14.95</v>
      </c>
      <c r="J947" s="18">
        <v>7.4749999999999996</v>
      </c>
      <c r="K947" s="37" t="str">
        <f t="shared" si="16"/>
        <v>Inexpensive</v>
      </c>
      <c r="L947" s="37"/>
      <c r="N947" s="37"/>
      <c r="O947" s="37"/>
      <c r="P947" s="37"/>
      <c r="Q947" s="37"/>
      <c r="R947" s="37"/>
      <c r="S947" s="37"/>
      <c r="T947" s="37"/>
      <c r="V947"/>
      <c r="X947"/>
    </row>
    <row r="948" spans="1:24" ht="15" customHeight="1" thickBot="1" x14ac:dyDescent="0.35">
      <c r="A948" s="38">
        <v>43494.71875</v>
      </c>
      <c r="B948" s="39">
        <v>142141</v>
      </c>
      <c r="C948" s="36" t="s">
        <v>112</v>
      </c>
      <c r="D948" s="17">
        <v>5740000000000</v>
      </c>
      <c r="E948" s="16" t="s">
        <v>130</v>
      </c>
      <c r="F948" s="17">
        <v>1</v>
      </c>
      <c r="G948" s="18">
        <v>11.99</v>
      </c>
      <c r="H948" s="17">
        <v>5.9950000000000001</v>
      </c>
      <c r="I948" s="18">
        <v>11.99</v>
      </c>
      <c r="J948" s="18">
        <v>5.9950000000000001</v>
      </c>
      <c r="K948" s="37" t="str">
        <f t="shared" si="16"/>
        <v>Inexpensive</v>
      </c>
      <c r="L948" s="37"/>
      <c r="N948" s="37"/>
      <c r="O948" s="37"/>
      <c r="P948" s="37"/>
      <c r="Q948" s="37"/>
      <c r="R948" s="37"/>
      <c r="S948" s="37"/>
      <c r="T948" s="37"/>
      <c r="V948"/>
      <c r="X948"/>
    </row>
    <row r="949" spans="1:24" ht="15" customHeight="1" thickBot="1" x14ac:dyDescent="0.35">
      <c r="A949" s="38">
        <v>43487.541666666664</v>
      </c>
      <c r="B949" s="39">
        <v>142142</v>
      </c>
      <c r="C949" s="36" t="s">
        <v>112</v>
      </c>
      <c r="D949" s="17">
        <v>2030000000000</v>
      </c>
      <c r="E949" s="16" t="s">
        <v>132</v>
      </c>
      <c r="F949" s="17">
        <v>1</v>
      </c>
      <c r="G949" s="18">
        <v>11.99</v>
      </c>
      <c r="H949" s="17">
        <v>5.9950000000000001</v>
      </c>
      <c r="I949" s="18">
        <v>11.99</v>
      </c>
      <c r="J949" s="18">
        <v>5.9950000000000001</v>
      </c>
      <c r="K949" s="37" t="str">
        <f t="shared" si="16"/>
        <v>Inexpensive</v>
      </c>
      <c r="L949" s="37"/>
      <c r="N949" s="37"/>
      <c r="O949" s="37"/>
      <c r="P949" s="37"/>
      <c r="Q949" s="37"/>
      <c r="R949" s="37"/>
      <c r="S949" s="37"/>
      <c r="T949" s="37"/>
      <c r="V949"/>
      <c r="X949"/>
    </row>
    <row r="950" spans="1:24" ht="15" customHeight="1" thickBot="1" x14ac:dyDescent="0.35">
      <c r="A950" s="38">
        <v>43468.488888888889</v>
      </c>
      <c r="B950" s="39">
        <v>142143</v>
      </c>
      <c r="C950" s="36" t="s">
        <v>116</v>
      </c>
      <c r="D950" s="17">
        <v>6870000000000</v>
      </c>
      <c r="E950" s="16" t="s">
        <v>130</v>
      </c>
      <c r="F950" s="17">
        <v>1</v>
      </c>
      <c r="G950" s="18">
        <v>11.95</v>
      </c>
      <c r="H950" s="17">
        <v>5.9749999999999996</v>
      </c>
      <c r="I950" s="18">
        <v>11.95</v>
      </c>
      <c r="J950" s="18">
        <v>5.9749999999999996</v>
      </c>
      <c r="K950" s="37" t="str">
        <f t="shared" si="16"/>
        <v>Inexpensive</v>
      </c>
      <c r="L950" s="37"/>
      <c r="N950" s="37"/>
      <c r="O950" s="37"/>
      <c r="P950" s="37"/>
      <c r="Q950" s="37"/>
      <c r="R950" s="37"/>
      <c r="S950" s="37"/>
      <c r="T950" s="37"/>
      <c r="V950"/>
      <c r="X950"/>
    </row>
    <row r="951" spans="1:24" ht="15" customHeight="1" thickBot="1" x14ac:dyDescent="0.35">
      <c r="A951" s="38">
        <v>43469.188194444447</v>
      </c>
      <c r="B951" s="40">
        <v>142144</v>
      </c>
      <c r="C951" s="36" t="s">
        <v>116</v>
      </c>
      <c r="D951" s="17">
        <v>1360000000000</v>
      </c>
      <c r="E951" s="16" t="s">
        <v>132</v>
      </c>
      <c r="F951" s="17">
        <v>1</v>
      </c>
      <c r="G951" s="18">
        <v>11.95</v>
      </c>
      <c r="H951" s="17">
        <v>5.9749999999999996</v>
      </c>
      <c r="I951" s="18">
        <v>11.95</v>
      </c>
      <c r="J951" s="18">
        <v>5.9749999999999996</v>
      </c>
      <c r="K951" s="37" t="str">
        <f t="shared" si="16"/>
        <v>Inexpensive</v>
      </c>
      <c r="L951" s="37"/>
      <c r="N951" s="37"/>
      <c r="O951" s="37"/>
      <c r="P951" s="37"/>
      <c r="Q951" s="37"/>
      <c r="R951" s="37"/>
      <c r="S951" s="37"/>
      <c r="T951" s="37"/>
      <c r="V951"/>
      <c r="X951"/>
    </row>
    <row r="952" spans="1:24" ht="15" customHeight="1" thickBot="1" x14ac:dyDescent="0.35">
      <c r="A952" s="38">
        <v>43469.188194444447</v>
      </c>
      <c r="B952" s="40">
        <v>142144</v>
      </c>
      <c r="C952" s="36" t="s">
        <v>121</v>
      </c>
      <c r="D952" s="17">
        <v>4940000000000</v>
      </c>
      <c r="E952" s="16" t="s">
        <v>130</v>
      </c>
      <c r="F952" s="17">
        <v>1</v>
      </c>
      <c r="G952" s="18">
        <v>400</v>
      </c>
      <c r="H952" s="17">
        <v>132</v>
      </c>
      <c r="I952" s="18">
        <v>400</v>
      </c>
      <c r="J952" s="18">
        <v>268</v>
      </c>
      <c r="K952" s="37" t="str">
        <f t="shared" si="16"/>
        <v>Inexpensive</v>
      </c>
      <c r="L952" s="37"/>
      <c r="N952" s="37"/>
      <c r="O952" s="37"/>
      <c r="P952" s="37"/>
      <c r="Q952" s="37"/>
      <c r="R952" s="37"/>
      <c r="S952" s="37"/>
      <c r="T952" s="37"/>
      <c r="V952"/>
      <c r="X952"/>
    </row>
    <row r="953" spans="1:24" ht="15" customHeight="1" thickBot="1" x14ac:dyDescent="0.35">
      <c r="A953" s="38">
        <v>43483.854166666664</v>
      </c>
      <c r="B953" s="40">
        <v>142145</v>
      </c>
      <c r="C953" s="36" t="s">
        <v>118</v>
      </c>
      <c r="D953" s="17">
        <v>8510000000000</v>
      </c>
      <c r="E953" s="16" t="s">
        <v>130</v>
      </c>
      <c r="F953" s="17">
        <v>1</v>
      </c>
      <c r="G953" s="18">
        <v>150</v>
      </c>
      <c r="H953" s="17">
        <v>97.5</v>
      </c>
      <c r="I953" s="18">
        <v>150</v>
      </c>
      <c r="J953" s="18">
        <v>52.5</v>
      </c>
      <c r="K953" s="37" t="str">
        <f t="shared" si="16"/>
        <v>Inexpensive</v>
      </c>
      <c r="L953" s="37"/>
      <c r="N953" s="37"/>
      <c r="O953" s="37"/>
      <c r="P953" s="37"/>
      <c r="Q953" s="37"/>
      <c r="R953" s="37"/>
      <c r="S953" s="37"/>
      <c r="T953" s="37"/>
      <c r="V953"/>
      <c r="X953"/>
    </row>
    <row r="954" spans="1:24" ht="15" customHeight="1" thickBot="1" x14ac:dyDescent="0.35">
      <c r="A954" s="38">
        <v>43483.854166666664</v>
      </c>
      <c r="B954" s="40">
        <v>142145</v>
      </c>
      <c r="C954" s="36" t="s">
        <v>116</v>
      </c>
      <c r="D954" s="17">
        <v>4100000000000</v>
      </c>
      <c r="E954" s="16" t="s">
        <v>131</v>
      </c>
      <c r="F954" s="17">
        <v>1</v>
      </c>
      <c r="G954" s="18">
        <v>11.95</v>
      </c>
      <c r="H954" s="17">
        <v>5.9749999999999996</v>
      </c>
      <c r="I954" s="18">
        <v>11.95</v>
      </c>
      <c r="J954" s="18">
        <v>5.9749999999999996</v>
      </c>
      <c r="K954" s="37" t="str">
        <f t="shared" si="16"/>
        <v>Inexpensive</v>
      </c>
      <c r="L954" s="37"/>
      <c r="N954" s="37"/>
      <c r="O954" s="37"/>
      <c r="P954" s="37"/>
      <c r="Q954" s="37"/>
      <c r="R954" s="37"/>
      <c r="S954" s="37"/>
      <c r="T954" s="37"/>
      <c r="V954"/>
      <c r="X954"/>
    </row>
    <row r="955" spans="1:24" ht="15" customHeight="1" thickBot="1" x14ac:dyDescent="0.35">
      <c r="A955" s="38">
        <v>43467.73541666667</v>
      </c>
      <c r="B955" s="39">
        <v>142146</v>
      </c>
      <c r="C955" s="36" t="s">
        <v>114</v>
      </c>
      <c r="D955" s="17">
        <v>2100000000000</v>
      </c>
      <c r="E955" s="16" t="s">
        <v>131</v>
      </c>
      <c r="F955" s="17">
        <v>4</v>
      </c>
      <c r="G955" s="18">
        <v>2.99</v>
      </c>
      <c r="H955" s="17">
        <v>1.4950000000000001</v>
      </c>
      <c r="I955" s="18">
        <v>11.96</v>
      </c>
      <c r="J955" s="18">
        <v>5.98</v>
      </c>
      <c r="K955" s="37" t="str">
        <f t="shared" si="16"/>
        <v>Inexpensive</v>
      </c>
      <c r="L955" s="37"/>
      <c r="N955" s="37"/>
      <c r="O955" s="37"/>
      <c r="P955" s="37"/>
      <c r="Q955" s="37"/>
      <c r="R955" s="37"/>
      <c r="S955" s="37"/>
      <c r="T955" s="37"/>
      <c r="V955"/>
      <c r="X955"/>
    </row>
    <row r="956" spans="1:24" ht="15" customHeight="1" thickBot="1" x14ac:dyDescent="0.35">
      <c r="A956" s="38">
        <v>43474.777083333334</v>
      </c>
      <c r="B956" s="39">
        <v>142147</v>
      </c>
      <c r="C956" s="36" t="s">
        <v>115</v>
      </c>
      <c r="D956" s="17">
        <v>1920000000000</v>
      </c>
      <c r="E956" s="16" t="s">
        <v>131</v>
      </c>
      <c r="F956" s="17">
        <v>1</v>
      </c>
      <c r="G956" s="18">
        <v>389.99</v>
      </c>
      <c r="H956" s="17">
        <v>128.69669999999999</v>
      </c>
      <c r="I956" s="18">
        <v>389.99</v>
      </c>
      <c r="J956" s="18">
        <v>261.29329999999999</v>
      </c>
      <c r="K956" s="37" t="str">
        <f t="shared" si="16"/>
        <v>Inexpensive</v>
      </c>
      <c r="L956" s="37"/>
      <c r="N956" s="37"/>
      <c r="O956" s="37"/>
      <c r="P956" s="37"/>
      <c r="Q956" s="37"/>
      <c r="R956" s="37"/>
      <c r="S956" s="37"/>
      <c r="T956" s="37"/>
      <c r="V956"/>
      <c r="X956"/>
    </row>
    <row r="957" spans="1:24" ht="15" customHeight="1" thickBot="1" x14ac:dyDescent="0.35">
      <c r="A957" s="38">
        <v>43489.115277777775</v>
      </c>
      <c r="B957" s="39">
        <v>142148</v>
      </c>
      <c r="C957" s="36" t="s">
        <v>125</v>
      </c>
      <c r="D957" s="17">
        <v>3400000000000</v>
      </c>
      <c r="E957" s="16" t="s">
        <v>132</v>
      </c>
      <c r="F957" s="17">
        <v>1</v>
      </c>
      <c r="G957" s="18">
        <v>379.99</v>
      </c>
      <c r="H957" s="17">
        <v>125.3967</v>
      </c>
      <c r="I957" s="18">
        <v>379.99</v>
      </c>
      <c r="J957" s="18">
        <v>254.5933</v>
      </c>
      <c r="K957" s="37" t="str">
        <f t="shared" si="16"/>
        <v>Inexpensive</v>
      </c>
      <c r="L957" s="37"/>
      <c r="N957" s="37"/>
      <c r="O957" s="37"/>
      <c r="P957" s="37"/>
      <c r="Q957" s="37"/>
      <c r="R957" s="37"/>
      <c r="S957" s="37"/>
      <c r="T957" s="37"/>
      <c r="V957"/>
      <c r="X957"/>
    </row>
    <row r="958" spans="1:24" ht="15" customHeight="1" thickBot="1" x14ac:dyDescent="0.35">
      <c r="A958" s="38">
        <v>43480.489583333336</v>
      </c>
      <c r="B958" s="39">
        <v>142149</v>
      </c>
      <c r="C958" s="36" t="s">
        <v>122</v>
      </c>
      <c r="D958" s="17">
        <v>6730000000000</v>
      </c>
      <c r="E958" s="16" t="s">
        <v>130</v>
      </c>
      <c r="F958" s="17">
        <v>3</v>
      </c>
      <c r="G958" s="18">
        <v>3.84</v>
      </c>
      <c r="H958" s="17">
        <v>1.92</v>
      </c>
      <c r="I958" s="18">
        <v>11.52</v>
      </c>
      <c r="J958" s="18">
        <v>5.76</v>
      </c>
      <c r="K958" s="37" t="str">
        <f t="shared" si="16"/>
        <v>Inexpensive</v>
      </c>
      <c r="L958" s="37"/>
      <c r="N958" s="37"/>
      <c r="O958" s="37"/>
      <c r="P958" s="37"/>
      <c r="Q958" s="37"/>
      <c r="R958" s="37"/>
      <c r="S958" s="37"/>
      <c r="T958" s="37"/>
      <c r="V958"/>
      <c r="X958"/>
    </row>
    <row r="959" spans="1:24" ht="15" customHeight="1" thickBot="1" x14ac:dyDescent="0.35">
      <c r="A959" s="38">
        <v>43491.476388888892</v>
      </c>
      <c r="B959" s="39">
        <v>142150</v>
      </c>
      <c r="C959" s="36" t="s">
        <v>122</v>
      </c>
      <c r="D959" s="17">
        <v>2070000000000</v>
      </c>
      <c r="E959" s="16" t="s">
        <v>132</v>
      </c>
      <c r="F959" s="17">
        <v>2</v>
      </c>
      <c r="G959" s="18">
        <v>3.84</v>
      </c>
      <c r="H959" s="17">
        <v>1.92</v>
      </c>
      <c r="I959" s="18">
        <v>7.68</v>
      </c>
      <c r="J959" s="18">
        <v>3.84</v>
      </c>
      <c r="K959" s="37" t="str">
        <f t="shared" si="16"/>
        <v>Inexpensive</v>
      </c>
      <c r="L959" s="37"/>
      <c r="N959" s="37"/>
      <c r="O959" s="37"/>
      <c r="P959" s="37"/>
      <c r="Q959" s="37"/>
      <c r="R959" s="37"/>
      <c r="S959" s="37"/>
      <c r="T959" s="37"/>
      <c r="V959"/>
      <c r="X959"/>
    </row>
    <row r="960" spans="1:24" ht="15" customHeight="1" thickBot="1" x14ac:dyDescent="0.35">
      <c r="A960" s="38">
        <v>43491.749305555553</v>
      </c>
      <c r="B960" s="39">
        <v>142151</v>
      </c>
      <c r="C960" s="36" t="s">
        <v>122</v>
      </c>
      <c r="D960" s="17">
        <v>1520000000000</v>
      </c>
      <c r="E960" s="16" t="s">
        <v>131</v>
      </c>
      <c r="F960" s="17">
        <v>3</v>
      </c>
      <c r="G960" s="18">
        <v>3.84</v>
      </c>
      <c r="H960" s="17">
        <v>1.92</v>
      </c>
      <c r="I960" s="18">
        <v>11.52</v>
      </c>
      <c r="J960" s="18">
        <v>5.76</v>
      </c>
      <c r="K960" s="37" t="str">
        <f t="shared" si="16"/>
        <v>Inexpensive</v>
      </c>
      <c r="L960" s="37"/>
      <c r="N960" s="37"/>
      <c r="O960" s="37"/>
      <c r="P960" s="37"/>
      <c r="Q960" s="37"/>
      <c r="R960" s="37"/>
      <c r="S960" s="37"/>
      <c r="T960" s="37"/>
      <c r="V960"/>
      <c r="X960"/>
    </row>
    <row r="961" spans="1:24" ht="15" customHeight="1" thickBot="1" x14ac:dyDescent="0.35">
      <c r="A961" s="38">
        <v>43476.729861111111</v>
      </c>
      <c r="B961" s="39">
        <v>142152</v>
      </c>
      <c r="C961" s="36" t="s">
        <v>119</v>
      </c>
      <c r="D961" s="17">
        <v>1360000000000</v>
      </c>
      <c r="E961" s="16" t="s">
        <v>130</v>
      </c>
      <c r="F961" s="17">
        <v>1</v>
      </c>
      <c r="G961" s="18">
        <v>1700</v>
      </c>
      <c r="H961" s="17">
        <v>561</v>
      </c>
      <c r="I961" s="18">
        <v>1700</v>
      </c>
      <c r="J961" s="18">
        <v>1139</v>
      </c>
      <c r="K961" s="37" t="str">
        <f t="shared" si="16"/>
        <v>Expensive</v>
      </c>
      <c r="L961" s="37"/>
      <c r="N961" s="37"/>
      <c r="O961" s="37"/>
      <c r="P961" s="37"/>
      <c r="Q961" s="37"/>
      <c r="R961" s="37"/>
      <c r="S961" s="37"/>
      <c r="T961" s="37"/>
      <c r="V961"/>
      <c r="X961"/>
    </row>
    <row r="962" spans="1:24" ht="15" customHeight="1" thickBot="1" x14ac:dyDescent="0.35">
      <c r="A962" s="38">
        <v>43488.536805555559</v>
      </c>
      <c r="B962" s="39">
        <v>142153</v>
      </c>
      <c r="C962" s="36" t="s">
        <v>112</v>
      </c>
      <c r="D962" s="17">
        <v>9560000000000</v>
      </c>
      <c r="E962" s="16" t="s">
        <v>131</v>
      </c>
      <c r="F962" s="17">
        <v>1</v>
      </c>
      <c r="G962" s="18">
        <v>11.99</v>
      </c>
      <c r="H962" s="17">
        <v>5.9950000000000001</v>
      </c>
      <c r="I962" s="18">
        <v>11.99</v>
      </c>
      <c r="J962" s="18">
        <v>5.9950000000000001</v>
      </c>
      <c r="K962" s="37" t="str">
        <f t="shared" si="16"/>
        <v>Inexpensive</v>
      </c>
      <c r="L962" s="37"/>
      <c r="N962" s="37"/>
      <c r="O962" s="37"/>
      <c r="P962" s="37"/>
      <c r="Q962" s="37"/>
      <c r="R962" s="37"/>
      <c r="S962" s="37"/>
      <c r="T962" s="37"/>
      <c r="V962"/>
      <c r="X962"/>
    </row>
    <row r="963" spans="1:24" ht="15" customHeight="1" thickBot="1" x14ac:dyDescent="0.35">
      <c r="A963" s="38">
        <v>43478.410416666666</v>
      </c>
      <c r="B963" s="39">
        <v>142154</v>
      </c>
      <c r="C963" s="36" t="s">
        <v>116</v>
      </c>
      <c r="D963" s="17">
        <v>7820000000000</v>
      </c>
      <c r="E963" s="16" t="s">
        <v>130</v>
      </c>
      <c r="F963" s="17">
        <v>1</v>
      </c>
      <c r="G963" s="18">
        <v>11.95</v>
      </c>
      <c r="H963" s="17">
        <v>5.9749999999999996</v>
      </c>
      <c r="I963" s="18">
        <v>11.95</v>
      </c>
      <c r="J963" s="18">
        <v>5.9749999999999996</v>
      </c>
      <c r="K963" s="37" t="str">
        <f t="shared" ref="K963:K1026" si="17">IF(G963&gt;=700,"Expensive","Inexpensive")</f>
        <v>Inexpensive</v>
      </c>
      <c r="L963" s="37"/>
      <c r="N963" s="37"/>
      <c r="O963" s="37"/>
      <c r="P963" s="37"/>
      <c r="Q963" s="37"/>
      <c r="R963" s="37"/>
      <c r="S963" s="37"/>
      <c r="T963" s="37"/>
      <c r="V963"/>
      <c r="X963"/>
    </row>
    <row r="964" spans="1:24" ht="15" customHeight="1" thickBot="1" x14ac:dyDescent="0.35">
      <c r="A964" s="38">
        <v>43496.663194444445</v>
      </c>
      <c r="B964" s="39">
        <v>142155</v>
      </c>
      <c r="C964" s="36" t="s">
        <v>118</v>
      </c>
      <c r="D964" s="17">
        <v>5850000000000</v>
      </c>
      <c r="E964" s="16" t="s">
        <v>132</v>
      </c>
      <c r="F964" s="17">
        <v>1</v>
      </c>
      <c r="G964" s="18">
        <v>150</v>
      </c>
      <c r="H964" s="17">
        <v>97.5</v>
      </c>
      <c r="I964" s="18">
        <v>150</v>
      </c>
      <c r="J964" s="18">
        <v>52.5</v>
      </c>
      <c r="K964" s="37" t="str">
        <f t="shared" si="17"/>
        <v>Inexpensive</v>
      </c>
      <c r="L964" s="37"/>
      <c r="N964" s="37"/>
      <c r="O964" s="37"/>
      <c r="P964" s="37"/>
      <c r="Q964" s="37"/>
      <c r="R964" s="37"/>
      <c r="S964" s="37"/>
      <c r="T964" s="37"/>
      <c r="V964"/>
      <c r="X964"/>
    </row>
    <row r="965" spans="1:24" ht="15" customHeight="1" thickBot="1" x14ac:dyDescent="0.35">
      <c r="A965" s="38">
        <v>43466.344444444447</v>
      </c>
      <c r="B965" s="39">
        <v>142156</v>
      </c>
      <c r="C965" s="36" t="s">
        <v>125</v>
      </c>
      <c r="D965" s="17">
        <v>7690000000000</v>
      </c>
      <c r="E965" s="16" t="s">
        <v>131</v>
      </c>
      <c r="F965" s="17">
        <v>1</v>
      </c>
      <c r="G965" s="18">
        <v>379.99</v>
      </c>
      <c r="H965" s="17">
        <v>125.3967</v>
      </c>
      <c r="I965" s="18">
        <v>379.99</v>
      </c>
      <c r="J965" s="18">
        <v>254.5933</v>
      </c>
      <c r="K965" s="37" t="str">
        <f t="shared" si="17"/>
        <v>Inexpensive</v>
      </c>
      <c r="L965" s="37"/>
      <c r="N965" s="37"/>
      <c r="O965" s="37"/>
      <c r="P965" s="37"/>
      <c r="Q965" s="37"/>
      <c r="R965" s="37"/>
      <c r="S965" s="37"/>
      <c r="T965" s="37"/>
      <c r="V965"/>
      <c r="X965"/>
    </row>
    <row r="966" spans="1:24" ht="15" customHeight="1" thickBot="1" x14ac:dyDescent="0.35">
      <c r="A966" s="38">
        <v>43473.376388888886</v>
      </c>
      <c r="B966" s="39">
        <v>142157</v>
      </c>
      <c r="C966" s="36" t="s">
        <v>119</v>
      </c>
      <c r="D966" s="17">
        <v>7870000000000</v>
      </c>
      <c r="E966" s="16" t="s">
        <v>132</v>
      </c>
      <c r="F966" s="17">
        <v>1</v>
      </c>
      <c r="G966" s="18">
        <v>1700</v>
      </c>
      <c r="H966" s="17">
        <v>561</v>
      </c>
      <c r="I966" s="18">
        <v>1700</v>
      </c>
      <c r="J966" s="18">
        <v>1139</v>
      </c>
      <c r="K966" s="37" t="str">
        <f t="shared" si="17"/>
        <v>Expensive</v>
      </c>
      <c r="L966" s="37"/>
      <c r="N966" s="37"/>
      <c r="O966" s="37"/>
      <c r="P966" s="37"/>
      <c r="Q966" s="37"/>
      <c r="R966" s="37"/>
      <c r="S966" s="37"/>
      <c r="T966" s="37"/>
      <c r="V966"/>
      <c r="X966"/>
    </row>
    <row r="967" spans="1:24" ht="15" customHeight="1" thickBot="1" x14ac:dyDescent="0.35">
      <c r="A967" s="38">
        <v>43480.730555555558</v>
      </c>
      <c r="B967" s="39">
        <v>142158</v>
      </c>
      <c r="C967" s="36" t="s">
        <v>112</v>
      </c>
      <c r="D967" s="17">
        <v>8850000000000</v>
      </c>
      <c r="E967" s="16" t="s">
        <v>130</v>
      </c>
      <c r="F967" s="17">
        <v>1</v>
      </c>
      <c r="G967" s="18">
        <v>11.99</v>
      </c>
      <c r="H967" s="17">
        <v>5.9950000000000001</v>
      </c>
      <c r="I967" s="18">
        <v>11.99</v>
      </c>
      <c r="J967" s="18">
        <v>5.9950000000000001</v>
      </c>
      <c r="K967" s="37" t="str">
        <f t="shared" si="17"/>
        <v>Inexpensive</v>
      </c>
      <c r="L967" s="37"/>
      <c r="N967" s="37"/>
      <c r="O967" s="37"/>
      <c r="P967" s="37"/>
      <c r="Q967" s="37"/>
      <c r="R967" s="37"/>
      <c r="S967" s="37"/>
      <c r="T967" s="37"/>
      <c r="V967"/>
      <c r="X967"/>
    </row>
    <row r="968" spans="1:24" ht="15" customHeight="1" thickBot="1" x14ac:dyDescent="0.35">
      <c r="A968" s="38">
        <v>43491.09097222222</v>
      </c>
      <c r="B968" s="39">
        <v>142159</v>
      </c>
      <c r="C968" s="36" t="s">
        <v>112</v>
      </c>
      <c r="D968" s="17">
        <v>3850000000000</v>
      </c>
      <c r="E968" s="16" t="s">
        <v>132</v>
      </c>
      <c r="F968" s="17">
        <v>1</v>
      </c>
      <c r="G968" s="18">
        <v>11.99</v>
      </c>
      <c r="H968" s="17">
        <v>5.9950000000000001</v>
      </c>
      <c r="I968" s="18">
        <v>11.99</v>
      </c>
      <c r="J968" s="18">
        <v>5.9950000000000001</v>
      </c>
      <c r="K968" s="37" t="str">
        <f t="shared" si="17"/>
        <v>Inexpensive</v>
      </c>
      <c r="L968" s="37"/>
      <c r="N968" s="37"/>
      <c r="O968" s="37"/>
      <c r="P968" s="37"/>
      <c r="Q968" s="37"/>
      <c r="R968" s="37"/>
      <c r="S968" s="37"/>
      <c r="T968" s="37"/>
      <c r="V968"/>
      <c r="X968"/>
    </row>
    <row r="969" spans="1:24" ht="15" customHeight="1" thickBot="1" x14ac:dyDescent="0.35">
      <c r="A969" s="38">
        <v>43466.497916666667</v>
      </c>
      <c r="B969" s="39">
        <v>142160</v>
      </c>
      <c r="C969" s="36" t="s">
        <v>112</v>
      </c>
      <c r="D969" s="17">
        <v>5660000000000</v>
      </c>
      <c r="E969" s="16" t="s">
        <v>131</v>
      </c>
      <c r="F969" s="17">
        <v>1</v>
      </c>
      <c r="G969" s="18">
        <v>11.99</v>
      </c>
      <c r="H969" s="17">
        <v>5.9950000000000001</v>
      </c>
      <c r="I969" s="18">
        <v>11.99</v>
      </c>
      <c r="J969" s="18">
        <v>5.9950000000000001</v>
      </c>
      <c r="K969" s="37" t="str">
        <f t="shared" si="17"/>
        <v>Inexpensive</v>
      </c>
      <c r="L969" s="37"/>
      <c r="N969" s="37"/>
      <c r="O969" s="37"/>
      <c r="P969" s="37"/>
      <c r="Q969" s="37"/>
      <c r="R969" s="37"/>
      <c r="S969" s="37"/>
      <c r="T969" s="37"/>
      <c r="V969"/>
      <c r="X969"/>
    </row>
    <row r="970" spans="1:24" ht="15" customHeight="1" thickBot="1" x14ac:dyDescent="0.35">
      <c r="A970" s="38">
        <v>43486.946527777778</v>
      </c>
      <c r="B970" s="39">
        <v>142161</v>
      </c>
      <c r="C970" s="36" t="s">
        <v>117</v>
      </c>
      <c r="D970" s="17">
        <v>3660000000000</v>
      </c>
      <c r="E970" s="16" t="s">
        <v>131</v>
      </c>
      <c r="F970" s="17">
        <v>1</v>
      </c>
      <c r="G970" s="18">
        <v>99.99</v>
      </c>
      <c r="H970" s="17">
        <v>49.994999999999997</v>
      </c>
      <c r="I970" s="18">
        <v>99.99</v>
      </c>
      <c r="J970" s="18">
        <v>49.994999999999997</v>
      </c>
      <c r="K970" s="37" t="str">
        <f t="shared" si="17"/>
        <v>Inexpensive</v>
      </c>
      <c r="L970" s="37"/>
      <c r="N970" s="37"/>
      <c r="O970" s="37"/>
      <c r="P970" s="37"/>
      <c r="Q970" s="37"/>
      <c r="R970" s="37"/>
      <c r="S970" s="37"/>
      <c r="T970" s="37"/>
      <c r="V970"/>
      <c r="X970"/>
    </row>
    <row r="971" spans="1:24" ht="15" customHeight="1" thickBot="1" x14ac:dyDescent="0.35">
      <c r="A971" s="38">
        <v>43471.419444444444</v>
      </c>
      <c r="B971" s="39">
        <v>142162</v>
      </c>
      <c r="C971" s="36" t="s">
        <v>113</v>
      </c>
      <c r="D971" s="17">
        <v>5700000000000</v>
      </c>
      <c r="E971" s="16" t="s">
        <v>131</v>
      </c>
      <c r="F971" s="17">
        <v>1</v>
      </c>
      <c r="G971" s="18">
        <v>149.99</v>
      </c>
      <c r="H971" s="17">
        <v>97.493499999999997</v>
      </c>
      <c r="I971" s="18">
        <v>149.99</v>
      </c>
      <c r="J971" s="18">
        <v>52.496499999999997</v>
      </c>
      <c r="K971" s="37" t="str">
        <f t="shared" si="17"/>
        <v>Inexpensive</v>
      </c>
      <c r="L971" s="37"/>
      <c r="N971" s="37"/>
      <c r="O971" s="37"/>
      <c r="P971" s="37"/>
      <c r="Q971" s="37"/>
      <c r="R971" s="37"/>
      <c r="S971" s="37"/>
      <c r="T971" s="37"/>
      <c r="V971"/>
      <c r="X971"/>
    </row>
    <row r="972" spans="1:24" ht="15" customHeight="1" thickBot="1" x14ac:dyDescent="0.35">
      <c r="A972" s="38">
        <v>43469.912499999999</v>
      </c>
      <c r="B972" s="39">
        <v>142163</v>
      </c>
      <c r="C972" s="36" t="s">
        <v>118</v>
      </c>
      <c r="D972" s="17">
        <v>5720000000000</v>
      </c>
      <c r="E972" s="16" t="s">
        <v>131</v>
      </c>
      <c r="F972" s="17">
        <v>1</v>
      </c>
      <c r="G972" s="18">
        <v>150</v>
      </c>
      <c r="H972" s="17">
        <v>97.5</v>
      </c>
      <c r="I972" s="18">
        <v>150</v>
      </c>
      <c r="J972" s="18">
        <v>52.5</v>
      </c>
      <c r="K972" s="37" t="str">
        <f t="shared" si="17"/>
        <v>Inexpensive</v>
      </c>
      <c r="L972" s="37"/>
      <c r="N972" s="37"/>
      <c r="O972" s="37"/>
      <c r="P972" s="37"/>
      <c r="Q972" s="37"/>
      <c r="R972" s="37"/>
      <c r="S972" s="37"/>
      <c r="T972" s="37"/>
      <c r="V972"/>
      <c r="X972"/>
    </row>
    <row r="973" spans="1:24" ht="15" customHeight="1" thickBot="1" x14ac:dyDescent="0.35">
      <c r="A973" s="38">
        <v>43487.76458333333</v>
      </c>
      <c r="B973" s="39">
        <v>142164</v>
      </c>
      <c r="C973" s="36" t="s">
        <v>116</v>
      </c>
      <c r="D973" s="17">
        <v>9740000000000</v>
      </c>
      <c r="E973" s="16" t="s">
        <v>132</v>
      </c>
      <c r="F973" s="17">
        <v>1</v>
      </c>
      <c r="G973" s="18">
        <v>11.95</v>
      </c>
      <c r="H973" s="17">
        <v>5.9749999999999996</v>
      </c>
      <c r="I973" s="18">
        <v>11.95</v>
      </c>
      <c r="J973" s="18">
        <v>5.9749999999999996</v>
      </c>
      <c r="K973" s="37" t="str">
        <f t="shared" si="17"/>
        <v>Inexpensive</v>
      </c>
      <c r="L973" s="37"/>
      <c r="N973" s="37"/>
      <c r="O973" s="37"/>
      <c r="P973" s="37"/>
      <c r="Q973" s="37"/>
      <c r="R973" s="37"/>
      <c r="S973" s="37"/>
      <c r="T973" s="37"/>
      <c r="V973"/>
      <c r="X973"/>
    </row>
    <row r="974" spans="1:24" ht="15" customHeight="1" thickBot="1" x14ac:dyDescent="0.35">
      <c r="A974" s="38">
        <v>43482.992361111108</v>
      </c>
      <c r="B974" s="39">
        <v>142165</v>
      </c>
      <c r="C974" s="36" t="s">
        <v>122</v>
      </c>
      <c r="D974" s="17">
        <v>7880000000000</v>
      </c>
      <c r="E974" s="16" t="s">
        <v>130</v>
      </c>
      <c r="F974" s="17">
        <v>2</v>
      </c>
      <c r="G974" s="18">
        <v>3.84</v>
      </c>
      <c r="H974" s="17">
        <v>1.92</v>
      </c>
      <c r="I974" s="18">
        <v>7.68</v>
      </c>
      <c r="J974" s="18">
        <v>3.84</v>
      </c>
      <c r="K974" s="37" t="str">
        <f t="shared" si="17"/>
        <v>Inexpensive</v>
      </c>
      <c r="L974" s="37"/>
      <c r="N974" s="37"/>
      <c r="O974" s="37"/>
      <c r="P974" s="37"/>
      <c r="Q974" s="37"/>
      <c r="R974" s="37"/>
      <c r="S974" s="37"/>
      <c r="T974" s="37"/>
      <c r="V974"/>
      <c r="X974"/>
    </row>
    <row r="975" spans="1:24" ht="15" customHeight="1" thickBot="1" x14ac:dyDescent="0.35">
      <c r="A975" s="38">
        <v>43489.643750000003</v>
      </c>
      <c r="B975" s="39">
        <v>142166</v>
      </c>
      <c r="C975" s="36" t="s">
        <v>116</v>
      </c>
      <c r="D975" s="17">
        <v>1860000000000</v>
      </c>
      <c r="E975" s="16" t="s">
        <v>131</v>
      </c>
      <c r="F975" s="17">
        <v>1</v>
      </c>
      <c r="G975" s="18">
        <v>11.95</v>
      </c>
      <c r="H975" s="17">
        <v>5.9749999999999996</v>
      </c>
      <c r="I975" s="18">
        <v>11.95</v>
      </c>
      <c r="J975" s="18">
        <v>5.9749999999999996</v>
      </c>
      <c r="K975" s="37" t="str">
        <f t="shared" si="17"/>
        <v>Inexpensive</v>
      </c>
      <c r="L975" s="37"/>
      <c r="N975" s="37"/>
      <c r="O975" s="37"/>
      <c r="P975" s="37"/>
      <c r="Q975" s="37"/>
      <c r="R975" s="37"/>
      <c r="S975" s="37"/>
      <c r="T975" s="37"/>
      <c r="V975"/>
      <c r="X975"/>
    </row>
    <row r="976" spans="1:24" ht="15" customHeight="1" thickBot="1" x14ac:dyDescent="0.35">
      <c r="A976" s="38">
        <v>43489.837500000001</v>
      </c>
      <c r="B976" s="39">
        <v>142167</v>
      </c>
      <c r="C976" s="36" t="s">
        <v>116</v>
      </c>
      <c r="D976" s="17">
        <v>7300000000000</v>
      </c>
      <c r="E976" s="16" t="s">
        <v>130</v>
      </c>
      <c r="F976" s="17">
        <v>1</v>
      </c>
      <c r="G976" s="18">
        <v>11.95</v>
      </c>
      <c r="H976" s="17">
        <v>5.9749999999999996</v>
      </c>
      <c r="I976" s="18">
        <v>11.95</v>
      </c>
      <c r="J976" s="18">
        <v>5.9749999999999996</v>
      </c>
      <c r="K976" s="37" t="str">
        <f t="shared" si="17"/>
        <v>Inexpensive</v>
      </c>
      <c r="L976" s="37"/>
      <c r="N976" s="37"/>
      <c r="O976" s="37"/>
      <c r="P976" s="37"/>
      <c r="Q976" s="37"/>
      <c r="R976" s="37"/>
      <c r="S976" s="37"/>
      <c r="T976" s="37"/>
      <c r="V976"/>
      <c r="X976"/>
    </row>
    <row r="977" spans="1:24" ht="15" customHeight="1" thickBot="1" x14ac:dyDescent="0.35">
      <c r="A977" s="38">
        <v>43486.492361111108</v>
      </c>
      <c r="B977" s="39">
        <v>142168</v>
      </c>
      <c r="C977" s="36" t="s">
        <v>111</v>
      </c>
      <c r="D977" s="17">
        <v>6340000000000</v>
      </c>
      <c r="E977" s="16" t="s">
        <v>132</v>
      </c>
      <c r="F977" s="17">
        <v>1</v>
      </c>
      <c r="G977" s="18">
        <v>14.95</v>
      </c>
      <c r="H977" s="17">
        <v>7.4749999999999996</v>
      </c>
      <c r="I977" s="18">
        <v>14.95</v>
      </c>
      <c r="J977" s="18">
        <v>7.4749999999999996</v>
      </c>
      <c r="K977" s="37" t="str">
        <f t="shared" si="17"/>
        <v>Inexpensive</v>
      </c>
      <c r="L977" s="37"/>
      <c r="N977" s="37"/>
      <c r="O977" s="37"/>
      <c r="P977" s="37"/>
      <c r="Q977" s="37"/>
      <c r="R977" s="37"/>
      <c r="S977" s="37"/>
      <c r="T977" s="37"/>
      <c r="V977"/>
      <c r="X977"/>
    </row>
    <row r="978" spans="1:24" ht="15" customHeight="1" thickBot="1" x14ac:dyDescent="0.35">
      <c r="A978" s="38">
        <v>43480.902083333334</v>
      </c>
      <c r="B978" s="39">
        <v>142169</v>
      </c>
      <c r="C978" s="36" t="s">
        <v>114</v>
      </c>
      <c r="D978" s="17">
        <v>8950000000000</v>
      </c>
      <c r="E978" s="16" t="s">
        <v>130</v>
      </c>
      <c r="F978" s="17">
        <v>4</v>
      </c>
      <c r="G978" s="18">
        <v>2.99</v>
      </c>
      <c r="H978" s="17">
        <v>1.4950000000000001</v>
      </c>
      <c r="I978" s="18">
        <v>11.96</v>
      </c>
      <c r="J978" s="18">
        <v>5.98</v>
      </c>
      <c r="K978" s="37" t="str">
        <f t="shared" si="17"/>
        <v>Inexpensive</v>
      </c>
      <c r="L978" s="37"/>
      <c r="N978" s="37"/>
      <c r="O978" s="37"/>
      <c r="P978" s="37"/>
      <c r="Q978" s="37"/>
      <c r="R978" s="37"/>
      <c r="S978" s="37"/>
      <c r="T978" s="37"/>
      <c r="V978"/>
      <c r="X978"/>
    </row>
    <row r="979" spans="1:24" ht="15" customHeight="1" thickBot="1" x14ac:dyDescent="0.35">
      <c r="A979" s="38">
        <v>43485.354861111111</v>
      </c>
      <c r="B979" s="39">
        <v>142170</v>
      </c>
      <c r="C979" s="36" t="s">
        <v>112</v>
      </c>
      <c r="D979" s="17">
        <v>1180000000000</v>
      </c>
      <c r="E979" s="16" t="s">
        <v>130</v>
      </c>
      <c r="F979" s="17">
        <v>1</v>
      </c>
      <c r="G979" s="18">
        <v>11.99</v>
      </c>
      <c r="H979" s="17">
        <v>5.9950000000000001</v>
      </c>
      <c r="I979" s="18">
        <v>11.99</v>
      </c>
      <c r="J979" s="18">
        <v>5.9950000000000001</v>
      </c>
      <c r="K979" s="37" t="str">
        <f t="shared" si="17"/>
        <v>Inexpensive</v>
      </c>
      <c r="L979" s="37"/>
      <c r="N979" s="37"/>
      <c r="O979" s="37"/>
      <c r="P979" s="37"/>
      <c r="Q979" s="37"/>
      <c r="R979" s="37"/>
      <c r="S979" s="37"/>
      <c r="T979" s="37"/>
      <c r="V979"/>
      <c r="X979"/>
    </row>
    <row r="980" spans="1:24" ht="15" customHeight="1" thickBot="1" x14ac:dyDescent="0.35">
      <c r="A980" s="38">
        <v>43481.424305555556</v>
      </c>
      <c r="B980" s="39">
        <v>142171</v>
      </c>
      <c r="C980" s="36" t="s">
        <v>112</v>
      </c>
      <c r="D980" s="17">
        <v>9240000000000</v>
      </c>
      <c r="E980" s="16" t="s">
        <v>132</v>
      </c>
      <c r="F980" s="17">
        <v>1</v>
      </c>
      <c r="G980" s="18">
        <v>11.99</v>
      </c>
      <c r="H980" s="17">
        <v>5.9950000000000001</v>
      </c>
      <c r="I980" s="18">
        <v>11.99</v>
      </c>
      <c r="J980" s="18">
        <v>5.9950000000000001</v>
      </c>
      <c r="K980" s="37" t="str">
        <f t="shared" si="17"/>
        <v>Inexpensive</v>
      </c>
      <c r="L980" s="37"/>
      <c r="N980" s="37"/>
      <c r="O980" s="37"/>
      <c r="P980" s="37"/>
      <c r="Q980" s="37"/>
      <c r="R980" s="37"/>
      <c r="S980" s="37"/>
      <c r="T980" s="37"/>
      <c r="V980"/>
      <c r="X980"/>
    </row>
    <row r="981" spans="1:24" ht="15" customHeight="1" thickBot="1" x14ac:dyDescent="0.35">
      <c r="A981" s="38">
        <v>43489.975694444445</v>
      </c>
      <c r="B981" s="39">
        <v>142172</v>
      </c>
      <c r="C981" s="36" t="s">
        <v>118</v>
      </c>
      <c r="D981" s="17">
        <v>5500000000000</v>
      </c>
      <c r="E981" s="16" t="s">
        <v>130</v>
      </c>
      <c r="F981" s="17">
        <v>1</v>
      </c>
      <c r="G981" s="18">
        <v>150</v>
      </c>
      <c r="H981" s="17">
        <v>97.5</v>
      </c>
      <c r="I981" s="18">
        <v>150</v>
      </c>
      <c r="J981" s="18">
        <v>52.5</v>
      </c>
      <c r="K981" s="37" t="str">
        <f t="shared" si="17"/>
        <v>Inexpensive</v>
      </c>
      <c r="L981" s="37"/>
      <c r="N981" s="37"/>
      <c r="O981" s="37"/>
      <c r="P981" s="37"/>
      <c r="Q981" s="37"/>
      <c r="R981" s="37"/>
      <c r="S981" s="37"/>
      <c r="T981" s="37"/>
      <c r="V981"/>
      <c r="X981"/>
    </row>
    <row r="982" spans="1:24" ht="15" customHeight="1" thickBot="1" x14ac:dyDescent="0.35">
      <c r="A982" s="38">
        <v>43475.561805555553</v>
      </c>
      <c r="B982" s="39">
        <v>142173</v>
      </c>
      <c r="C982" s="36" t="s">
        <v>110</v>
      </c>
      <c r="D982" s="17">
        <v>7320000000000</v>
      </c>
      <c r="E982" s="16" t="s">
        <v>130</v>
      </c>
      <c r="F982" s="17">
        <v>1</v>
      </c>
      <c r="G982" s="18">
        <v>700</v>
      </c>
      <c r="H982" s="17">
        <v>231</v>
      </c>
      <c r="I982" s="18">
        <v>700</v>
      </c>
      <c r="J982" s="18">
        <v>469</v>
      </c>
      <c r="K982" s="37" t="str">
        <f t="shared" si="17"/>
        <v>Expensive</v>
      </c>
      <c r="L982" s="37"/>
      <c r="N982" s="37"/>
      <c r="O982" s="37"/>
      <c r="P982" s="37"/>
      <c r="Q982" s="37"/>
      <c r="R982" s="37"/>
      <c r="S982" s="37"/>
      <c r="T982" s="37"/>
      <c r="V982"/>
      <c r="X982"/>
    </row>
    <row r="983" spans="1:24" ht="15" customHeight="1" thickBot="1" x14ac:dyDescent="0.35">
      <c r="A983" s="38">
        <v>43475.970138888886</v>
      </c>
      <c r="B983" s="39">
        <v>142174</v>
      </c>
      <c r="C983" s="36" t="s">
        <v>111</v>
      </c>
      <c r="D983" s="17">
        <v>7560000000000</v>
      </c>
      <c r="E983" s="16" t="s">
        <v>131</v>
      </c>
      <c r="F983" s="17">
        <v>1</v>
      </c>
      <c r="G983" s="18">
        <v>14.95</v>
      </c>
      <c r="H983" s="17">
        <v>7.4749999999999996</v>
      </c>
      <c r="I983" s="18">
        <v>14.95</v>
      </c>
      <c r="J983" s="18">
        <v>7.4749999999999996</v>
      </c>
      <c r="K983" s="37" t="str">
        <f t="shared" si="17"/>
        <v>Inexpensive</v>
      </c>
      <c r="L983" s="37"/>
      <c r="N983" s="37"/>
      <c r="O983" s="37"/>
      <c r="P983" s="37"/>
      <c r="Q983" s="37"/>
      <c r="R983" s="37"/>
      <c r="S983" s="37"/>
      <c r="T983" s="37"/>
      <c r="V983"/>
      <c r="X983"/>
    </row>
    <row r="984" spans="1:24" ht="15" customHeight="1" thickBot="1" x14ac:dyDescent="0.35">
      <c r="A984" s="38">
        <v>43477.822916666664</v>
      </c>
      <c r="B984" s="39">
        <v>142175</v>
      </c>
      <c r="C984" s="36" t="s">
        <v>114</v>
      </c>
      <c r="D984" s="17">
        <v>9000000000000</v>
      </c>
      <c r="E984" s="16" t="s">
        <v>132</v>
      </c>
      <c r="F984" s="17">
        <v>1</v>
      </c>
      <c r="G984" s="18">
        <v>2.99</v>
      </c>
      <c r="H984" s="17">
        <v>1.4950000000000001</v>
      </c>
      <c r="I984" s="18">
        <v>2.99</v>
      </c>
      <c r="J984" s="18">
        <v>1.4950000000000001</v>
      </c>
      <c r="K984" s="37" t="str">
        <f t="shared" si="17"/>
        <v>Inexpensive</v>
      </c>
      <c r="L984" s="37"/>
      <c r="N984" s="37"/>
      <c r="O984" s="37"/>
      <c r="P984" s="37"/>
      <c r="Q984" s="37"/>
      <c r="R984" s="37"/>
      <c r="S984" s="37"/>
      <c r="T984" s="37"/>
      <c r="V984"/>
      <c r="X984"/>
    </row>
    <row r="985" spans="1:24" ht="15" customHeight="1" thickBot="1" x14ac:dyDescent="0.35">
      <c r="A985" s="38">
        <v>43477.547222222223</v>
      </c>
      <c r="B985" s="39">
        <v>142176</v>
      </c>
      <c r="C985" s="36" t="s">
        <v>118</v>
      </c>
      <c r="D985" s="17">
        <v>5590000000000</v>
      </c>
      <c r="E985" s="16" t="s">
        <v>132</v>
      </c>
      <c r="F985" s="17">
        <v>1</v>
      </c>
      <c r="G985" s="18">
        <v>150</v>
      </c>
      <c r="H985" s="17">
        <v>97.5</v>
      </c>
      <c r="I985" s="18">
        <v>150</v>
      </c>
      <c r="J985" s="18">
        <v>52.5</v>
      </c>
      <c r="K985" s="37" t="str">
        <f t="shared" si="17"/>
        <v>Inexpensive</v>
      </c>
      <c r="L985" s="37"/>
      <c r="N985" s="37"/>
      <c r="O985" s="37"/>
      <c r="P985" s="37"/>
      <c r="Q985" s="37"/>
      <c r="R985" s="37"/>
      <c r="S985" s="37"/>
      <c r="T985" s="37"/>
      <c r="V985"/>
      <c r="X985"/>
    </row>
    <row r="986" spans="1:24" ht="15" customHeight="1" thickBot="1" x14ac:dyDescent="0.35">
      <c r="A986" s="38">
        <v>43478.61041666667</v>
      </c>
      <c r="B986" s="39">
        <v>142177</v>
      </c>
      <c r="C986" s="36" t="s">
        <v>119</v>
      </c>
      <c r="D986" s="17">
        <v>3100000000000</v>
      </c>
      <c r="E986" s="16" t="s">
        <v>131</v>
      </c>
      <c r="F986" s="17">
        <v>1</v>
      </c>
      <c r="G986" s="18">
        <v>1700</v>
      </c>
      <c r="H986" s="17">
        <v>561</v>
      </c>
      <c r="I986" s="18">
        <v>1700</v>
      </c>
      <c r="J986" s="18">
        <v>1139</v>
      </c>
      <c r="K986" s="37" t="str">
        <f t="shared" si="17"/>
        <v>Expensive</v>
      </c>
      <c r="L986" s="37"/>
      <c r="N986" s="37"/>
      <c r="O986" s="37"/>
      <c r="P986" s="37"/>
      <c r="Q986" s="37"/>
      <c r="R986" s="37"/>
      <c r="S986" s="37"/>
      <c r="T986" s="37"/>
      <c r="V986"/>
      <c r="X986"/>
    </row>
    <row r="987" spans="1:24" ht="15" customHeight="1" thickBot="1" x14ac:dyDescent="0.35">
      <c r="A987" s="38">
        <v>43466.540972222225</v>
      </c>
      <c r="B987" s="39">
        <v>142178</v>
      </c>
      <c r="C987" s="36" t="s">
        <v>114</v>
      </c>
      <c r="D987" s="17">
        <v>8920000000000</v>
      </c>
      <c r="E987" s="16" t="s">
        <v>131</v>
      </c>
      <c r="F987" s="17">
        <v>1</v>
      </c>
      <c r="G987" s="18">
        <v>2.99</v>
      </c>
      <c r="H987" s="17">
        <v>1.4950000000000001</v>
      </c>
      <c r="I987" s="18">
        <v>2.99</v>
      </c>
      <c r="J987" s="18">
        <v>1.4950000000000001</v>
      </c>
      <c r="K987" s="37" t="str">
        <f t="shared" si="17"/>
        <v>Inexpensive</v>
      </c>
      <c r="L987" s="37"/>
      <c r="N987" s="37"/>
      <c r="O987" s="37"/>
      <c r="P987" s="37"/>
      <c r="Q987" s="37"/>
      <c r="R987" s="37"/>
      <c r="S987" s="37"/>
      <c r="T987" s="37"/>
      <c r="V987"/>
      <c r="X987"/>
    </row>
    <row r="988" spans="1:24" ht="15" customHeight="1" thickBot="1" x14ac:dyDescent="0.35">
      <c r="A988" s="38">
        <v>43484.070138888892</v>
      </c>
      <c r="B988" s="39">
        <v>142179</v>
      </c>
      <c r="C988" s="36" t="s">
        <v>126</v>
      </c>
      <c r="D988" s="17">
        <v>5270000000000</v>
      </c>
      <c r="E988" s="16" t="s">
        <v>131</v>
      </c>
      <c r="F988" s="17">
        <v>1</v>
      </c>
      <c r="G988" s="18">
        <v>999.99</v>
      </c>
      <c r="H988" s="17">
        <v>329.99669999999998</v>
      </c>
      <c r="I988" s="18">
        <v>999.99</v>
      </c>
      <c r="J988" s="18">
        <v>669.99329999999998</v>
      </c>
      <c r="K988" s="37" t="str">
        <f t="shared" si="17"/>
        <v>Expensive</v>
      </c>
      <c r="L988" s="37"/>
      <c r="N988" s="37"/>
      <c r="O988" s="37"/>
      <c r="P988" s="37"/>
      <c r="Q988" s="37"/>
      <c r="R988" s="37"/>
      <c r="S988" s="37"/>
      <c r="T988" s="37"/>
      <c r="V988"/>
      <c r="X988"/>
    </row>
    <row r="989" spans="1:24" ht="15" customHeight="1" thickBot="1" x14ac:dyDescent="0.35">
      <c r="A989" s="38">
        <v>43495.799305555556</v>
      </c>
      <c r="B989" s="39">
        <v>142180</v>
      </c>
      <c r="C989" s="36" t="s">
        <v>116</v>
      </c>
      <c r="D989" s="17">
        <v>1440000000000</v>
      </c>
      <c r="E989" s="16" t="s">
        <v>132</v>
      </c>
      <c r="F989" s="17">
        <v>1</v>
      </c>
      <c r="G989" s="18">
        <v>11.95</v>
      </c>
      <c r="H989" s="17">
        <v>5.9749999999999996</v>
      </c>
      <c r="I989" s="18">
        <v>11.95</v>
      </c>
      <c r="J989" s="18">
        <v>5.9749999999999996</v>
      </c>
      <c r="K989" s="37" t="str">
        <f t="shared" si="17"/>
        <v>Inexpensive</v>
      </c>
      <c r="L989" s="37"/>
      <c r="N989" s="37"/>
      <c r="O989" s="37"/>
      <c r="P989" s="37"/>
      <c r="Q989" s="37"/>
      <c r="R989" s="37"/>
      <c r="S989" s="37"/>
      <c r="T989" s="37"/>
      <c r="V989"/>
      <c r="X989"/>
    </row>
    <row r="990" spans="1:24" ht="15" customHeight="1" thickBot="1" x14ac:dyDescent="0.35">
      <c r="A990" s="38">
        <v>43482.770833333336</v>
      </c>
      <c r="B990" s="39">
        <v>142181</v>
      </c>
      <c r="C990" s="36" t="s">
        <v>113</v>
      </c>
      <c r="D990" s="17">
        <v>4620000000000</v>
      </c>
      <c r="E990" s="16" t="s">
        <v>130</v>
      </c>
      <c r="F990" s="17">
        <v>1</v>
      </c>
      <c r="G990" s="18">
        <v>149.99</v>
      </c>
      <c r="H990" s="17">
        <v>97.493499999999997</v>
      </c>
      <c r="I990" s="18">
        <v>149.99</v>
      </c>
      <c r="J990" s="18">
        <v>52.496499999999997</v>
      </c>
      <c r="K990" s="37" t="str">
        <f t="shared" si="17"/>
        <v>Inexpensive</v>
      </c>
      <c r="L990" s="37"/>
      <c r="N990" s="37"/>
      <c r="O990" s="37"/>
      <c r="P990" s="37"/>
      <c r="Q990" s="37"/>
      <c r="R990" s="37"/>
      <c r="S990" s="37"/>
      <c r="T990" s="37"/>
      <c r="V990"/>
      <c r="X990"/>
    </row>
    <row r="991" spans="1:24" ht="15" customHeight="1" thickBot="1" x14ac:dyDescent="0.35">
      <c r="A991" s="38">
        <v>43470.663888888892</v>
      </c>
      <c r="B991" s="39">
        <v>142182</v>
      </c>
      <c r="C991" s="36" t="s">
        <v>112</v>
      </c>
      <c r="D991" s="17">
        <v>9770000000000</v>
      </c>
      <c r="E991" s="16" t="s">
        <v>131</v>
      </c>
      <c r="F991" s="17">
        <v>1</v>
      </c>
      <c r="G991" s="18">
        <v>11.99</v>
      </c>
      <c r="H991" s="17">
        <v>5.9950000000000001</v>
      </c>
      <c r="I991" s="18">
        <v>11.99</v>
      </c>
      <c r="J991" s="18">
        <v>5.9950000000000001</v>
      </c>
      <c r="K991" s="37" t="str">
        <f t="shared" si="17"/>
        <v>Inexpensive</v>
      </c>
      <c r="L991" s="37"/>
      <c r="N991" s="37"/>
      <c r="O991" s="37"/>
      <c r="P991" s="37"/>
      <c r="Q991" s="37"/>
      <c r="R991" s="37"/>
      <c r="S991" s="37"/>
      <c r="T991" s="37"/>
      <c r="V991"/>
      <c r="X991"/>
    </row>
    <row r="992" spans="1:24" ht="15" customHeight="1" thickBot="1" x14ac:dyDescent="0.35">
      <c r="A992" s="38">
        <v>43474.509027777778</v>
      </c>
      <c r="B992" s="39">
        <v>142183</v>
      </c>
      <c r="C992" s="36" t="s">
        <v>125</v>
      </c>
      <c r="D992" s="17">
        <v>7660000000000</v>
      </c>
      <c r="E992" s="16" t="s">
        <v>130</v>
      </c>
      <c r="F992" s="17">
        <v>1</v>
      </c>
      <c r="G992" s="18">
        <v>379.99</v>
      </c>
      <c r="H992" s="17">
        <v>125.3967</v>
      </c>
      <c r="I992" s="18">
        <v>379.99</v>
      </c>
      <c r="J992" s="18">
        <v>254.5933</v>
      </c>
      <c r="K992" s="37" t="str">
        <f t="shared" si="17"/>
        <v>Inexpensive</v>
      </c>
      <c r="L992" s="37"/>
      <c r="N992" s="37"/>
      <c r="O992" s="37"/>
      <c r="P992" s="37"/>
      <c r="Q992" s="37"/>
      <c r="R992" s="37"/>
      <c r="S992" s="37"/>
      <c r="T992" s="37"/>
      <c r="V992"/>
      <c r="X992"/>
    </row>
    <row r="993" spans="1:24" ht="15" customHeight="1" thickBot="1" x14ac:dyDescent="0.35">
      <c r="A993" s="38">
        <v>43488.552083333336</v>
      </c>
      <c r="B993" s="39">
        <v>142184</v>
      </c>
      <c r="C993" s="36" t="s">
        <v>114</v>
      </c>
      <c r="D993" s="17">
        <v>4670000000000</v>
      </c>
      <c r="E993" s="16" t="s">
        <v>130</v>
      </c>
      <c r="F993" s="17">
        <v>2</v>
      </c>
      <c r="G993" s="18">
        <v>2.99</v>
      </c>
      <c r="H993" s="17">
        <v>1.4950000000000001</v>
      </c>
      <c r="I993" s="18">
        <v>5.98</v>
      </c>
      <c r="J993" s="18">
        <v>2.99</v>
      </c>
      <c r="K993" s="37" t="str">
        <f t="shared" si="17"/>
        <v>Inexpensive</v>
      </c>
      <c r="L993" s="37"/>
      <c r="N993" s="37"/>
      <c r="O993" s="37"/>
      <c r="P993" s="37"/>
      <c r="Q993" s="37"/>
      <c r="R993" s="37"/>
      <c r="S993" s="37"/>
      <c r="T993" s="37"/>
      <c r="V993"/>
      <c r="X993"/>
    </row>
    <row r="994" spans="1:24" ht="15" customHeight="1" thickBot="1" x14ac:dyDescent="0.35">
      <c r="A994" s="38">
        <v>43481.584722222222</v>
      </c>
      <c r="B994" s="39">
        <v>142185</v>
      </c>
      <c r="C994" s="36" t="s">
        <v>117</v>
      </c>
      <c r="D994" s="17">
        <v>7460000000000</v>
      </c>
      <c r="E994" s="16" t="s">
        <v>130</v>
      </c>
      <c r="F994" s="17">
        <v>1</v>
      </c>
      <c r="G994" s="18">
        <v>99.99</v>
      </c>
      <c r="H994" s="17">
        <v>49.994999999999997</v>
      </c>
      <c r="I994" s="18">
        <v>99.99</v>
      </c>
      <c r="J994" s="18">
        <v>49.994999999999997</v>
      </c>
      <c r="K994" s="37" t="str">
        <f t="shared" si="17"/>
        <v>Inexpensive</v>
      </c>
      <c r="L994" s="37"/>
      <c r="N994" s="37"/>
      <c r="O994" s="37"/>
      <c r="P994" s="37"/>
      <c r="Q994" s="37"/>
      <c r="R994" s="37"/>
      <c r="S994" s="37"/>
      <c r="T994" s="37"/>
      <c r="V994"/>
      <c r="X994"/>
    </row>
    <row r="995" spans="1:24" ht="15" customHeight="1" thickBot="1" x14ac:dyDescent="0.35">
      <c r="A995" s="38">
        <v>43495.779166666667</v>
      </c>
      <c r="B995" s="39">
        <v>142186</v>
      </c>
      <c r="C995" s="36" t="s">
        <v>125</v>
      </c>
      <c r="D995" s="17">
        <v>3500000000000</v>
      </c>
      <c r="E995" s="16" t="s">
        <v>132</v>
      </c>
      <c r="F995" s="17">
        <v>1</v>
      </c>
      <c r="G995" s="18">
        <v>379.99</v>
      </c>
      <c r="H995" s="17">
        <v>125.3967</v>
      </c>
      <c r="I995" s="18">
        <v>379.99</v>
      </c>
      <c r="J995" s="18">
        <v>254.5933</v>
      </c>
      <c r="K995" s="37" t="str">
        <f t="shared" si="17"/>
        <v>Inexpensive</v>
      </c>
      <c r="L995" s="37"/>
      <c r="N995" s="37"/>
      <c r="O995" s="37"/>
      <c r="P995" s="37"/>
      <c r="Q995" s="37"/>
      <c r="R995" s="37"/>
      <c r="S995" s="37"/>
      <c r="T995" s="37"/>
      <c r="V995"/>
      <c r="X995"/>
    </row>
    <row r="996" spans="1:24" ht="15" customHeight="1" thickBot="1" x14ac:dyDescent="0.35">
      <c r="A996" s="38">
        <v>43495.86041666667</v>
      </c>
      <c r="B996" s="39">
        <v>142187</v>
      </c>
      <c r="C996" s="36" t="s">
        <v>124</v>
      </c>
      <c r="D996" s="17">
        <v>6810000000000</v>
      </c>
      <c r="E996" s="16" t="s">
        <v>132</v>
      </c>
      <c r="F996" s="17">
        <v>1</v>
      </c>
      <c r="G996" s="18">
        <v>109.99</v>
      </c>
      <c r="H996" s="17">
        <v>71.493499999999997</v>
      </c>
      <c r="I996" s="18">
        <v>109.99</v>
      </c>
      <c r="J996" s="18">
        <v>38.496499999999997</v>
      </c>
      <c r="K996" s="37" t="str">
        <f t="shared" si="17"/>
        <v>Inexpensive</v>
      </c>
      <c r="L996" s="37"/>
      <c r="N996" s="37"/>
      <c r="O996" s="37"/>
      <c r="P996" s="37"/>
      <c r="Q996" s="37"/>
      <c r="R996" s="37"/>
      <c r="S996" s="37"/>
      <c r="T996" s="37"/>
      <c r="V996"/>
      <c r="X996"/>
    </row>
    <row r="997" spans="1:24" ht="15" customHeight="1" thickBot="1" x14ac:dyDescent="0.35">
      <c r="A997" s="38">
        <v>43490.575694444444</v>
      </c>
      <c r="B997" s="39">
        <v>142188</v>
      </c>
      <c r="C997" s="36" t="s">
        <v>116</v>
      </c>
      <c r="D997" s="17">
        <v>2690000000000</v>
      </c>
      <c r="E997" s="16" t="s">
        <v>131</v>
      </c>
      <c r="F997" s="17">
        <v>1</v>
      </c>
      <c r="G997" s="18">
        <v>11.95</v>
      </c>
      <c r="H997" s="17">
        <v>5.9749999999999996</v>
      </c>
      <c r="I997" s="18">
        <v>11.95</v>
      </c>
      <c r="J997" s="18">
        <v>5.9749999999999996</v>
      </c>
      <c r="K997" s="37" t="str">
        <f t="shared" si="17"/>
        <v>Inexpensive</v>
      </c>
      <c r="L997" s="37"/>
      <c r="N997" s="37"/>
      <c r="O997" s="37"/>
      <c r="P997" s="37"/>
      <c r="Q997" s="37"/>
      <c r="R997" s="37"/>
      <c r="S997" s="37"/>
      <c r="T997" s="37"/>
      <c r="V997"/>
      <c r="X997"/>
    </row>
    <row r="998" spans="1:24" ht="15" customHeight="1" thickBot="1" x14ac:dyDescent="0.35">
      <c r="A998" s="38">
        <v>43473.490277777775</v>
      </c>
      <c r="B998" s="39">
        <v>142189</v>
      </c>
      <c r="C998" s="36" t="s">
        <v>116</v>
      </c>
      <c r="D998" s="17">
        <v>2750000000000</v>
      </c>
      <c r="E998" s="16" t="s">
        <v>130</v>
      </c>
      <c r="F998" s="17">
        <v>1</v>
      </c>
      <c r="G998" s="18">
        <v>11.95</v>
      </c>
      <c r="H998" s="17">
        <v>5.9749999999999996</v>
      </c>
      <c r="I998" s="18">
        <v>11.95</v>
      </c>
      <c r="J998" s="18">
        <v>5.9749999999999996</v>
      </c>
      <c r="K998" s="37" t="str">
        <f t="shared" si="17"/>
        <v>Inexpensive</v>
      </c>
      <c r="L998" s="37"/>
      <c r="N998" s="37"/>
      <c r="O998" s="37"/>
      <c r="P998" s="37"/>
      <c r="Q998" s="37"/>
      <c r="R998" s="37"/>
      <c r="S998" s="37"/>
      <c r="T998" s="37"/>
      <c r="V998"/>
      <c r="X998"/>
    </row>
    <row r="999" spans="1:24" ht="15" customHeight="1" thickBot="1" x14ac:dyDescent="0.35">
      <c r="A999" s="38">
        <v>43478.623611111114</v>
      </c>
      <c r="B999" s="39">
        <v>142190</v>
      </c>
      <c r="C999" s="36" t="s">
        <v>125</v>
      </c>
      <c r="D999" s="17">
        <v>7220000000000</v>
      </c>
      <c r="E999" s="16" t="s">
        <v>131</v>
      </c>
      <c r="F999" s="17">
        <v>1</v>
      </c>
      <c r="G999" s="18">
        <v>379.99</v>
      </c>
      <c r="H999" s="17">
        <v>125.3967</v>
      </c>
      <c r="I999" s="18">
        <v>379.99</v>
      </c>
      <c r="J999" s="18">
        <v>254.5933</v>
      </c>
      <c r="K999" s="37" t="str">
        <f t="shared" si="17"/>
        <v>Inexpensive</v>
      </c>
      <c r="L999" s="37"/>
      <c r="N999" s="37"/>
      <c r="O999" s="37"/>
      <c r="P999" s="37"/>
      <c r="Q999" s="37"/>
      <c r="R999" s="37"/>
      <c r="S999" s="37"/>
      <c r="T999" s="37"/>
      <c r="V999"/>
      <c r="X999"/>
    </row>
    <row r="1000" spans="1:24" ht="15" customHeight="1" thickBot="1" x14ac:dyDescent="0.35">
      <c r="A1000" s="38">
        <v>43473.65347222222</v>
      </c>
      <c r="B1000" s="39">
        <v>142191</v>
      </c>
      <c r="C1000" s="36" t="s">
        <v>124</v>
      </c>
      <c r="D1000" s="17">
        <v>5690000000000</v>
      </c>
      <c r="E1000" s="16" t="s">
        <v>131</v>
      </c>
      <c r="F1000" s="17">
        <v>1</v>
      </c>
      <c r="G1000" s="18">
        <v>109.99</v>
      </c>
      <c r="H1000" s="17">
        <v>71.493499999999997</v>
      </c>
      <c r="I1000" s="18">
        <v>109.99</v>
      </c>
      <c r="J1000" s="18">
        <v>38.496499999999997</v>
      </c>
      <c r="K1000" s="37" t="str">
        <f t="shared" si="17"/>
        <v>Inexpensive</v>
      </c>
      <c r="L1000" s="37"/>
      <c r="N1000" s="37"/>
      <c r="O1000" s="37"/>
      <c r="P1000" s="37"/>
      <c r="Q1000" s="37"/>
      <c r="R1000" s="37"/>
      <c r="S1000" s="37"/>
      <c r="T1000" s="37"/>
      <c r="V1000"/>
      <c r="X1000"/>
    </row>
    <row r="1001" spans="1:24" ht="15" customHeight="1" thickBot="1" x14ac:dyDescent="0.35">
      <c r="A1001" s="38">
        <v>43493.527083333334</v>
      </c>
      <c r="B1001" s="40">
        <v>142192</v>
      </c>
      <c r="C1001" s="36" t="s">
        <v>123</v>
      </c>
      <c r="D1001" s="17">
        <v>7370000000000</v>
      </c>
      <c r="E1001" s="16" t="s">
        <v>131</v>
      </c>
      <c r="F1001" s="17">
        <v>1</v>
      </c>
      <c r="G1001" s="18">
        <v>600</v>
      </c>
      <c r="H1001" s="17">
        <v>198</v>
      </c>
      <c r="I1001" s="18">
        <v>600</v>
      </c>
      <c r="J1001" s="18">
        <v>402</v>
      </c>
      <c r="K1001" s="37" t="str">
        <f t="shared" si="17"/>
        <v>Inexpensive</v>
      </c>
      <c r="L1001" s="37"/>
      <c r="N1001" s="37"/>
      <c r="O1001" s="37"/>
      <c r="P1001" s="37"/>
      <c r="Q1001" s="37"/>
      <c r="R1001" s="37"/>
      <c r="S1001" s="37"/>
      <c r="T1001" s="37"/>
      <c r="V1001"/>
      <c r="X1001"/>
    </row>
    <row r="1002" spans="1:24" ht="15" customHeight="1" thickBot="1" x14ac:dyDescent="0.35">
      <c r="A1002" s="38">
        <v>43493.527083333334</v>
      </c>
      <c r="B1002" s="40">
        <v>142192</v>
      </c>
      <c r="C1002" s="36" t="s">
        <v>116</v>
      </c>
      <c r="D1002" s="17">
        <v>1850000000000</v>
      </c>
      <c r="E1002" s="16" t="s">
        <v>132</v>
      </c>
      <c r="F1002" s="17">
        <v>1</v>
      </c>
      <c r="G1002" s="18">
        <v>11.95</v>
      </c>
      <c r="H1002" s="17">
        <v>5.9749999999999996</v>
      </c>
      <c r="I1002" s="18">
        <v>11.95</v>
      </c>
      <c r="J1002" s="18">
        <v>5.9749999999999996</v>
      </c>
      <c r="K1002" s="37" t="str">
        <f t="shared" si="17"/>
        <v>Inexpensive</v>
      </c>
      <c r="L1002" s="37"/>
      <c r="N1002" s="37"/>
      <c r="O1002" s="37"/>
      <c r="P1002" s="37"/>
      <c r="Q1002" s="37"/>
      <c r="R1002" s="37"/>
      <c r="S1002" s="37"/>
      <c r="T1002" s="37"/>
      <c r="V1002"/>
      <c r="X1002"/>
    </row>
    <row r="1003" spans="1:24" ht="15" customHeight="1" thickBot="1" x14ac:dyDescent="0.35">
      <c r="A1003" s="38">
        <v>43466.380555555559</v>
      </c>
      <c r="B1003" s="39">
        <v>142193</v>
      </c>
      <c r="C1003" s="36" t="s">
        <v>113</v>
      </c>
      <c r="D1003" s="17">
        <v>7270000000000</v>
      </c>
      <c r="E1003" s="16" t="s">
        <v>132</v>
      </c>
      <c r="F1003" s="17">
        <v>1</v>
      </c>
      <c r="G1003" s="18">
        <v>149.99</v>
      </c>
      <c r="H1003" s="17">
        <v>97.493499999999997</v>
      </c>
      <c r="I1003" s="18">
        <v>149.99</v>
      </c>
      <c r="J1003" s="18">
        <v>52.496499999999997</v>
      </c>
      <c r="K1003" s="37" t="str">
        <f t="shared" si="17"/>
        <v>Inexpensive</v>
      </c>
      <c r="L1003" s="37"/>
      <c r="N1003" s="37"/>
      <c r="O1003" s="37"/>
      <c r="P1003" s="37"/>
      <c r="Q1003" s="37"/>
      <c r="R1003" s="37"/>
      <c r="S1003" s="37"/>
      <c r="T1003" s="37"/>
      <c r="V1003"/>
      <c r="X1003"/>
    </row>
    <row r="1004" spans="1:24" ht="15" customHeight="1" thickBot="1" x14ac:dyDescent="0.35">
      <c r="A1004" s="38">
        <v>43491.722916666666</v>
      </c>
      <c r="B1004" s="39">
        <v>142194</v>
      </c>
      <c r="C1004" s="36" t="s">
        <v>126</v>
      </c>
      <c r="D1004" s="17">
        <v>5340000000000</v>
      </c>
      <c r="E1004" s="16" t="s">
        <v>130</v>
      </c>
      <c r="F1004" s="17">
        <v>1</v>
      </c>
      <c r="G1004" s="18">
        <v>999.99</v>
      </c>
      <c r="H1004" s="17">
        <v>329.99669999999998</v>
      </c>
      <c r="I1004" s="18">
        <v>999.99</v>
      </c>
      <c r="J1004" s="18">
        <v>669.99329999999998</v>
      </c>
      <c r="K1004" s="37" t="str">
        <f t="shared" si="17"/>
        <v>Expensive</v>
      </c>
      <c r="L1004" s="37"/>
      <c r="N1004" s="37"/>
      <c r="O1004" s="37"/>
      <c r="P1004" s="37"/>
      <c r="Q1004" s="37"/>
      <c r="R1004" s="37"/>
      <c r="S1004" s="37"/>
      <c r="T1004" s="37"/>
      <c r="V1004"/>
      <c r="X1004"/>
    </row>
    <row r="1005" spans="1:24" ht="15" customHeight="1" thickBot="1" x14ac:dyDescent="0.35">
      <c r="A1005" s="38">
        <v>43467.526388888888</v>
      </c>
      <c r="B1005" s="39">
        <v>142195</v>
      </c>
      <c r="C1005" s="36" t="s">
        <v>118</v>
      </c>
      <c r="D1005" s="17">
        <v>6250000000000</v>
      </c>
      <c r="E1005" s="16" t="s">
        <v>131</v>
      </c>
      <c r="F1005" s="17">
        <v>1</v>
      </c>
      <c r="G1005" s="18">
        <v>150</v>
      </c>
      <c r="H1005" s="17">
        <v>97.5</v>
      </c>
      <c r="I1005" s="18">
        <v>150</v>
      </c>
      <c r="J1005" s="18">
        <v>52.5</v>
      </c>
      <c r="K1005" s="37" t="str">
        <f t="shared" si="17"/>
        <v>Inexpensive</v>
      </c>
      <c r="L1005" s="37"/>
      <c r="N1005" s="37"/>
      <c r="O1005" s="37"/>
      <c r="P1005" s="37"/>
      <c r="Q1005" s="37"/>
      <c r="R1005" s="37"/>
      <c r="S1005" s="37"/>
      <c r="T1005" s="37"/>
      <c r="V1005"/>
      <c r="X1005"/>
    </row>
    <row r="1006" spans="1:24" ht="15" customHeight="1" thickBot="1" x14ac:dyDescent="0.35">
      <c r="A1006" s="38">
        <v>43492.739583333336</v>
      </c>
      <c r="B1006" s="39">
        <v>142196</v>
      </c>
      <c r="C1006" s="36" t="s">
        <v>122</v>
      </c>
      <c r="D1006" s="17">
        <v>7160000000000</v>
      </c>
      <c r="E1006" s="16" t="s">
        <v>132</v>
      </c>
      <c r="F1006" s="17">
        <v>1</v>
      </c>
      <c r="G1006" s="18">
        <v>3.84</v>
      </c>
      <c r="H1006" s="17">
        <v>1.92</v>
      </c>
      <c r="I1006" s="18">
        <v>3.84</v>
      </c>
      <c r="J1006" s="18">
        <v>1.92</v>
      </c>
      <c r="K1006" s="37" t="str">
        <f t="shared" si="17"/>
        <v>Inexpensive</v>
      </c>
      <c r="L1006" s="37"/>
      <c r="N1006" s="37"/>
      <c r="O1006" s="37"/>
      <c r="P1006" s="37"/>
      <c r="Q1006" s="37"/>
      <c r="R1006" s="37"/>
      <c r="S1006" s="37"/>
      <c r="T1006" s="37"/>
      <c r="V1006"/>
      <c r="X1006"/>
    </row>
    <row r="1007" spans="1:24" ht="15" customHeight="1" thickBot="1" x14ac:dyDescent="0.35">
      <c r="A1007" s="38">
        <v>43481.624305555553</v>
      </c>
      <c r="B1007" s="39">
        <v>142197</v>
      </c>
      <c r="C1007" s="36" t="s">
        <v>122</v>
      </c>
      <c r="D1007" s="17">
        <v>7280000000000</v>
      </c>
      <c r="E1007" s="16" t="s">
        <v>131</v>
      </c>
      <c r="F1007" s="17">
        <v>1</v>
      </c>
      <c r="G1007" s="18">
        <v>3.84</v>
      </c>
      <c r="H1007" s="17">
        <v>1.92</v>
      </c>
      <c r="I1007" s="18">
        <v>3.84</v>
      </c>
      <c r="J1007" s="18">
        <v>1.92</v>
      </c>
      <c r="K1007" s="37" t="str">
        <f t="shared" si="17"/>
        <v>Inexpensive</v>
      </c>
      <c r="L1007" s="37"/>
      <c r="N1007" s="37"/>
      <c r="O1007" s="37"/>
      <c r="P1007" s="37"/>
      <c r="Q1007" s="37"/>
      <c r="R1007" s="37"/>
      <c r="S1007" s="37"/>
      <c r="T1007" s="37"/>
      <c r="V1007"/>
      <c r="X1007"/>
    </row>
    <row r="1008" spans="1:24" ht="15" customHeight="1" thickBot="1" x14ac:dyDescent="0.35">
      <c r="A1008" s="38">
        <v>43489.495833333334</v>
      </c>
      <c r="B1008" s="39">
        <v>142198</v>
      </c>
      <c r="C1008" s="36" t="s">
        <v>122</v>
      </c>
      <c r="D1008" s="17">
        <v>8660000000000</v>
      </c>
      <c r="E1008" s="16" t="s">
        <v>130</v>
      </c>
      <c r="F1008" s="17">
        <v>2</v>
      </c>
      <c r="G1008" s="18">
        <v>3.84</v>
      </c>
      <c r="H1008" s="17">
        <v>1.92</v>
      </c>
      <c r="I1008" s="18">
        <v>7.68</v>
      </c>
      <c r="J1008" s="18">
        <v>3.84</v>
      </c>
      <c r="K1008" s="37" t="str">
        <f t="shared" si="17"/>
        <v>Inexpensive</v>
      </c>
      <c r="L1008" s="37"/>
      <c r="N1008" s="37"/>
      <c r="O1008" s="37"/>
      <c r="P1008" s="37"/>
      <c r="Q1008" s="37"/>
      <c r="R1008" s="37"/>
      <c r="S1008" s="37"/>
      <c r="T1008" s="37"/>
      <c r="V1008"/>
      <c r="X1008"/>
    </row>
    <row r="1009" spans="1:24" ht="15" customHeight="1" thickBot="1" x14ac:dyDescent="0.35">
      <c r="A1009" s="38">
        <v>43470.439583333333</v>
      </c>
      <c r="B1009" s="39">
        <v>142199</v>
      </c>
      <c r="C1009" s="36" t="s">
        <v>124</v>
      </c>
      <c r="D1009" s="17">
        <v>4580000000000</v>
      </c>
      <c r="E1009" s="16" t="s">
        <v>130</v>
      </c>
      <c r="F1009" s="17">
        <v>1</v>
      </c>
      <c r="G1009" s="18">
        <v>109.99</v>
      </c>
      <c r="H1009" s="17">
        <v>71.493499999999997</v>
      </c>
      <c r="I1009" s="18">
        <v>109.99</v>
      </c>
      <c r="J1009" s="18">
        <v>38.496499999999997</v>
      </c>
      <c r="K1009" s="37" t="str">
        <f t="shared" si="17"/>
        <v>Inexpensive</v>
      </c>
      <c r="L1009" s="37"/>
      <c r="N1009" s="37"/>
      <c r="O1009" s="37"/>
      <c r="P1009" s="37"/>
      <c r="Q1009" s="37"/>
      <c r="R1009" s="37"/>
      <c r="S1009" s="37"/>
      <c r="T1009" s="37"/>
      <c r="V1009"/>
      <c r="X1009"/>
    </row>
    <row r="1010" spans="1:24" ht="15" customHeight="1" thickBot="1" x14ac:dyDescent="0.35">
      <c r="A1010" s="38">
        <v>43479.331944444442</v>
      </c>
      <c r="B1010" s="39">
        <v>142200</v>
      </c>
      <c r="C1010" s="36" t="s">
        <v>120</v>
      </c>
      <c r="D1010" s="17">
        <v>4860000000000</v>
      </c>
      <c r="E1010" s="16" t="s">
        <v>130</v>
      </c>
      <c r="F1010" s="17">
        <v>1</v>
      </c>
      <c r="G1010" s="18">
        <v>300</v>
      </c>
      <c r="H1010" s="17">
        <v>99</v>
      </c>
      <c r="I1010" s="18">
        <v>300</v>
      </c>
      <c r="J1010" s="18">
        <v>201</v>
      </c>
      <c r="K1010" s="37" t="str">
        <f t="shared" si="17"/>
        <v>Inexpensive</v>
      </c>
      <c r="L1010" s="37"/>
      <c r="N1010" s="37"/>
      <c r="O1010" s="37"/>
      <c r="P1010" s="37"/>
      <c r="Q1010" s="37"/>
      <c r="R1010" s="37"/>
      <c r="S1010" s="37"/>
      <c r="T1010" s="37"/>
      <c r="V1010"/>
      <c r="X1010"/>
    </row>
    <row r="1011" spans="1:24" ht="15" customHeight="1" thickBot="1" x14ac:dyDescent="0.35">
      <c r="A1011" s="38">
        <v>43483.431944444441</v>
      </c>
      <c r="B1011" s="39">
        <v>142201</v>
      </c>
      <c r="C1011" s="36" t="s">
        <v>114</v>
      </c>
      <c r="D1011" s="17">
        <v>9500000000000</v>
      </c>
      <c r="E1011" s="16" t="s">
        <v>132</v>
      </c>
      <c r="F1011" s="17">
        <v>1</v>
      </c>
      <c r="G1011" s="18">
        <v>2.99</v>
      </c>
      <c r="H1011" s="17">
        <v>1.4950000000000001</v>
      </c>
      <c r="I1011" s="18">
        <v>2.99</v>
      </c>
      <c r="J1011" s="18">
        <v>1.4950000000000001</v>
      </c>
      <c r="K1011" s="37" t="str">
        <f t="shared" si="17"/>
        <v>Inexpensive</v>
      </c>
      <c r="L1011" s="37"/>
      <c r="N1011" s="37"/>
      <c r="O1011" s="37"/>
      <c r="P1011" s="37"/>
      <c r="Q1011" s="37"/>
      <c r="R1011" s="37"/>
      <c r="S1011" s="37"/>
      <c r="T1011" s="37"/>
      <c r="V1011"/>
      <c r="X1011"/>
    </row>
    <row r="1012" spans="1:24" ht="15" customHeight="1" thickBot="1" x14ac:dyDescent="0.35">
      <c r="A1012" s="38">
        <v>43488.245138888888</v>
      </c>
      <c r="B1012" s="39">
        <v>142202</v>
      </c>
      <c r="C1012" s="36" t="s">
        <v>113</v>
      </c>
      <c r="D1012" s="17">
        <v>8500000000000</v>
      </c>
      <c r="E1012" s="16" t="s">
        <v>131</v>
      </c>
      <c r="F1012" s="17">
        <v>1</v>
      </c>
      <c r="G1012" s="18">
        <v>149.99</v>
      </c>
      <c r="H1012" s="17">
        <v>97.493499999999997</v>
      </c>
      <c r="I1012" s="18">
        <v>149.99</v>
      </c>
      <c r="J1012" s="18">
        <v>52.496499999999997</v>
      </c>
      <c r="K1012" s="37" t="str">
        <f t="shared" si="17"/>
        <v>Inexpensive</v>
      </c>
      <c r="L1012" s="37"/>
      <c r="N1012" s="37"/>
      <c r="O1012" s="37"/>
      <c r="P1012" s="37"/>
      <c r="Q1012" s="37"/>
      <c r="R1012" s="37"/>
      <c r="S1012" s="37"/>
      <c r="T1012" s="37"/>
      <c r="V1012"/>
      <c r="X1012"/>
    </row>
    <row r="1013" spans="1:24" ht="15" customHeight="1" thickBot="1" x14ac:dyDescent="0.35">
      <c r="A1013" s="38">
        <v>43471.354861111111</v>
      </c>
      <c r="B1013" s="39">
        <v>142203</v>
      </c>
      <c r="C1013" s="36" t="s">
        <v>117</v>
      </c>
      <c r="D1013" s="17">
        <v>1730000000000</v>
      </c>
      <c r="E1013" s="16" t="s">
        <v>132</v>
      </c>
      <c r="F1013" s="17">
        <v>1</v>
      </c>
      <c r="G1013" s="18">
        <v>99.99</v>
      </c>
      <c r="H1013" s="17">
        <v>49.994999999999997</v>
      </c>
      <c r="I1013" s="18">
        <v>99.99</v>
      </c>
      <c r="J1013" s="18">
        <v>49.994999999999997</v>
      </c>
      <c r="K1013" s="37" t="str">
        <f t="shared" si="17"/>
        <v>Inexpensive</v>
      </c>
      <c r="L1013" s="37"/>
      <c r="N1013" s="37"/>
      <c r="O1013" s="37"/>
      <c r="P1013" s="37"/>
      <c r="Q1013" s="37"/>
      <c r="R1013" s="37"/>
      <c r="S1013" s="37"/>
      <c r="T1013" s="37"/>
      <c r="V1013"/>
      <c r="X1013"/>
    </row>
    <row r="1014" spans="1:24" ht="15" customHeight="1" thickBot="1" x14ac:dyDescent="0.35">
      <c r="A1014" s="38">
        <v>43471.478472222225</v>
      </c>
      <c r="B1014" s="39">
        <v>142204</v>
      </c>
      <c r="C1014" s="36" t="s">
        <v>117</v>
      </c>
      <c r="D1014" s="17">
        <v>6940000000000</v>
      </c>
      <c r="E1014" s="16" t="s">
        <v>131</v>
      </c>
      <c r="F1014" s="17">
        <v>1</v>
      </c>
      <c r="G1014" s="18">
        <v>99.99</v>
      </c>
      <c r="H1014" s="17">
        <v>49.994999999999997</v>
      </c>
      <c r="I1014" s="18">
        <v>99.99</v>
      </c>
      <c r="J1014" s="18">
        <v>49.994999999999997</v>
      </c>
      <c r="K1014" s="37" t="str">
        <f t="shared" si="17"/>
        <v>Inexpensive</v>
      </c>
      <c r="L1014" s="37"/>
      <c r="N1014" s="37"/>
      <c r="O1014" s="37"/>
      <c r="P1014" s="37"/>
      <c r="Q1014" s="37"/>
      <c r="R1014" s="37"/>
      <c r="S1014" s="37"/>
      <c r="T1014" s="37"/>
      <c r="V1014"/>
      <c r="X1014"/>
    </row>
    <row r="1015" spans="1:24" ht="15" customHeight="1" thickBot="1" x14ac:dyDescent="0.35">
      <c r="A1015" s="38">
        <v>43479.550694444442</v>
      </c>
      <c r="B1015" s="39">
        <v>142205</v>
      </c>
      <c r="C1015" s="36" t="s">
        <v>117</v>
      </c>
      <c r="D1015" s="17">
        <v>7050000000000</v>
      </c>
      <c r="E1015" s="16" t="s">
        <v>130</v>
      </c>
      <c r="F1015" s="17">
        <v>1</v>
      </c>
      <c r="G1015" s="18">
        <v>99.99</v>
      </c>
      <c r="H1015" s="17">
        <v>49.994999999999997</v>
      </c>
      <c r="I1015" s="18">
        <v>99.99</v>
      </c>
      <c r="J1015" s="18">
        <v>49.994999999999997</v>
      </c>
      <c r="K1015" s="37" t="str">
        <f t="shared" si="17"/>
        <v>Inexpensive</v>
      </c>
      <c r="L1015" s="37"/>
      <c r="N1015" s="37"/>
      <c r="O1015" s="37"/>
      <c r="P1015" s="37"/>
      <c r="Q1015" s="37"/>
      <c r="R1015" s="37"/>
      <c r="S1015" s="37"/>
      <c r="T1015" s="37"/>
      <c r="V1015"/>
      <c r="X1015"/>
    </row>
    <row r="1016" spans="1:24" ht="15" customHeight="1" thickBot="1" x14ac:dyDescent="0.35">
      <c r="A1016" s="38">
        <v>43467.40347222222</v>
      </c>
      <c r="B1016" s="39">
        <v>142206</v>
      </c>
      <c r="C1016" s="36" t="s">
        <v>119</v>
      </c>
      <c r="D1016" s="17">
        <v>5230000000000</v>
      </c>
      <c r="E1016" s="16" t="s">
        <v>130</v>
      </c>
      <c r="F1016" s="17">
        <v>1</v>
      </c>
      <c r="G1016" s="18">
        <v>1700</v>
      </c>
      <c r="H1016" s="17">
        <v>561</v>
      </c>
      <c r="I1016" s="18">
        <v>1700</v>
      </c>
      <c r="J1016" s="18">
        <v>1139</v>
      </c>
      <c r="K1016" s="37" t="str">
        <f t="shared" si="17"/>
        <v>Expensive</v>
      </c>
      <c r="L1016" s="37"/>
      <c r="N1016" s="37"/>
      <c r="O1016" s="37"/>
      <c r="P1016" s="37"/>
      <c r="Q1016" s="37"/>
      <c r="R1016" s="37"/>
      <c r="S1016" s="37"/>
      <c r="T1016" s="37"/>
      <c r="V1016"/>
      <c r="X1016"/>
    </row>
    <row r="1017" spans="1:24" ht="15" customHeight="1" thickBot="1" x14ac:dyDescent="0.35">
      <c r="A1017" s="38">
        <v>43474.874305555553</v>
      </c>
      <c r="B1017" s="39">
        <v>142207</v>
      </c>
      <c r="C1017" s="36" t="s">
        <v>117</v>
      </c>
      <c r="D1017" s="17">
        <v>5710000000000</v>
      </c>
      <c r="E1017" s="16" t="s">
        <v>132</v>
      </c>
      <c r="F1017" s="17">
        <v>1</v>
      </c>
      <c r="G1017" s="18">
        <v>99.99</v>
      </c>
      <c r="H1017" s="17">
        <v>49.994999999999997</v>
      </c>
      <c r="I1017" s="18">
        <v>99.99</v>
      </c>
      <c r="J1017" s="18">
        <v>49.994999999999997</v>
      </c>
      <c r="K1017" s="37" t="str">
        <f t="shared" si="17"/>
        <v>Inexpensive</v>
      </c>
      <c r="L1017" s="37"/>
      <c r="N1017" s="37"/>
      <c r="O1017" s="37"/>
      <c r="P1017" s="37"/>
      <c r="Q1017" s="37"/>
      <c r="R1017" s="37"/>
      <c r="S1017" s="37"/>
      <c r="T1017" s="37"/>
      <c r="V1017"/>
      <c r="X1017"/>
    </row>
    <row r="1018" spans="1:24" ht="15" customHeight="1" thickBot="1" x14ac:dyDescent="0.35">
      <c r="A1018" s="38">
        <v>43478.367361111108</v>
      </c>
      <c r="B1018" s="39">
        <v>142208</v>
      </c>
      <c r="C1018" s="36" t="s">
        <v>117</v>
      </c>
      <c r="D1018" s="17">
        <v>4850000000000</v>
      </c>
      <c r="E1018" s="16" t="s">
        <v>131</v>
      </c>
      <c r="F1018" s="17">
        <v>1</v>
      </c>
      <c r="G1018" s="18">
        <v>99.99</v>
      </c>
      <c r="H1018" s="17">
        <v>49.994999999999997</v>
      </c>
      <c r="I1018" s="18">
        <v>99.99</v>
      </c>
      <c r="J1018" s="18">
        <v>49.994999999999997</v>
      </c>
      <c r="K1018" s="37" t="str">
        <f t="shared" si="17"/>
        <v>Inexpensive</v>
      </c>
      <c r="L1018" s="37"/>
      <c r="N1018" s="37"/>
      <c r="O1018" s="37"/>
      <c r="P1018" s="37"/>
      <c r="Q1018" s="37"/>
      <c r="R1018" s="37"/>
      <c r="S1018" s="37"/>
      <c r="T1018" s="37"/>
      <c r="V1018"/>
      <c r="X1018"/>
    </row>
    <row r="1019" spans="1:24" ht="15" customHeight="1" thickBot="1" x14ac:dyDescent="0.35">
      <c r="A1019" s="38">
        <v>43474.599305555559</v>
      </c>
      <c r="B1019" s="39">
        <v>142209</v>
      </c>
      <c r="C1019" s="36" t="s">
        <v>125</v>
      </c>
      <c r="D1019" s="17">
        <v>1790000000000</v>
      </c>
      <c r="E1019" s="16" t="s">
        <v>130</v>
      </c>
      <c r="F1019" s="17">
        <v>1</v>
      </c>
      <c r="G1019" s="18">
        <v>379.99</v>
      </c>
      <c r="H1019" s="17">
        <v>125.3967</v>
      </c>
      <c r="I1019" s="18">
        <v>379.99</v>
      </c>
      <c r="J1019" s="18">
        <v>254.5933</v>
      </c>
      <c r="K1019" s="37" t="str">
        <f t="shared" si="17"/>
        <v>Inexpensive</v>
      </c>
      <c r="L1019" s="37"/>
      <c r="N1019" s="37"/>
      <c r="O1019" s="37"/>
      <c r="P1019" s="37"/>
      <c r="Q1019" s="37"/>
      <c r="R1019" s="37"/>
      <c r="S1019" s="37"/>
      <c r="T1019" s="37"/>
      <c r="V1019"/>
      <c r="X1019"/>
    </row>
    <row r="1020" spans="1:24" ht="15" customHeight="1" thickBot="1" x14ac:dyDescent="0.35">
      <c r="A1020" s="38">
        <v>43481.814583333333</v>
      </c>
      <c r="B1020" s="39">
        <v>142210</v>
      </c>
      <c r="C1020" s="36" t="s">
        <v>122</v>
      </c>
      <c r="D1020" s="17">
        <v>5440000000000</v>
      </c>
      <c r="E1020" s="16" t="s">
        <v>132</v>
      </c>
      <c r="F1020" s="17">
        <v>1</v>
      </c>
      <c r="G1020" s="18">
        <v>3.84</v>
      </c>
      <c r="H1020" s="17">
        <v>1.92</v>
      </c>
      <c r="I1020" s="18">
        <v>3.84</v>
      </c>
      <c r="J1020" s="18">
        <v>1.92</v>
      </c>
      <c r="K1020" s="37" t="str">
        <f t="shared" si="17"/>
        <v>Inexpensive</v>
      </c>
      <c r="L1020" s="37"/>
      <c r="N1020" s="37"/>
      <c r="O1020" s="37"/>
      <c r="P1020" s="37"/>
      <c r="Q1020" s="37"/>
      <c r="R1020" s="37"/>
      <c r="S1020" s="37"/>
      <c r="T1020" s="37"/>
      <c r="V1020"/>
      <c r="X1020"/>
    </row>
    <row r="1021" spans="1:24" ht="15" customHeight="1" thickBot="1" x14ac:dyDescent="0.35">
      <c r="A1021" s="38">
        <v>43468.667361111111</v>
      </c>
      <c r="B1021" s="39">
        <v>142211</v>
      </c>
      <c r="C1021" s="36" t="s">
        <v>112</v>
      </c>
      <c r="D1021" s="17">
        <v>1090000000000</v>
      </c>
      <c r="E1021" s="16" t="s">
        <v>130</v>
      </c>
      <c r="F1021" s="17">
        <v>1</v>
      </c>
      <c r="G1021" s="18">
        <v>11.99</v>
      </c>
      <c r="H1021" s="17">
        <v>5.9950000000000001</v>
      </c>
      <c r="I1021" s="18">
        <v>11.99</v>
      </c>
      <c r="J1021" s="18">
        <v>5.9950000000000001</v>
      </c>
      <c r="K1021" s="37" t="str">
        <f t="shared" si="17"/>
        <v>Inexpensive</v>
      </c>
      <c r="L1021" s="37"/>
      <c r="N1021" s="37"/>
      <c r="O1021" s="37"/>
      <c r="P1021" s="37"/>
      <c r="Q1021" s="37"/>
      <c r="R1021" s="37"/>
      <c r="S1021" s="37"/>
      <c r="T1021" s="37"/>
      <c r="V1021"/>
      <c r="X1021"/>
    </row>
    <row r="1022" spans="1:24" ht="15" customHeight="1" thickBot="1" x14ac:dyDescent="0.35">
      <c r="A1022" s="38">
        <v>43483.640277777777</v>
      </c>
      <c r="B1022" s="39">
        <v>142212</v>
      </c>
      <c r="C1022" s="36" t="s">
        <v>122</v>
      </c>
      <c r="D1022" s="17">
        <v>6310000000000</v>
      </c>
      <c r="E1022" s="16" t="s">
        <v>131</v>
      </c>
      <c r="F1022" s="17">
        <v>3</v>
      </c>
      <c r="G1022" s="18">
        <v>3.84</v>
      </c>
      <c r="H1022" s="17">
        <v>1.92</v>
      </c>
      <c r="I1022" s="18">
        <v>11.52</v>
      </c>
      <c r="J1022" s="18">
        <v>5.76</v>
      </c>
      <c r="K1022" s="37" t="str">
        <f t="shared" si="17"/>
        <v>Inexpensive</v>
      </c>
      <c r="L1022" s="37"/>
      <c r="N1022" s="37"/>
      <c r="O1022" s="37"/>
      <c r="P1022" s="37"/>
      <c r="Q1022" s="37"/>
      <c r="R1022" s="37"/>
      <c r="S1022" s="37"/>
      <c r="T1022" s="37"/>
      <c r="V1022"/>
      <c r="X1022"/>
    </row>
    <row r="1023" spans="1:24" ht="15" customHeight="1" thickBot="1" x14ac:dyDescent="0.35">
      <c r="A1023" s="38">
        <v>43494.961111111108</v>
      </c>
      <c r="B1023" s="39">
        <v>142213</v>
      </c>
      <c r="C1023" s="36" t="s">
        <v>118</v>
      </c>
      <c r="D1023" s="17">
        <v>3610000000000</v>
      </c>
      <c r="E1023" s="16" t="s">
        <v>130</v>
      </c>
      <c r="F1023" s="17">
        <v>1</v>
      </c>
      <c r="G1023" s="18">
        <v>150</v>
      </c>
      <c r="H1023" s="17">
        <v>97.5</v>
      </c>
      <c r="I1023" s="18">
        <v>150</v>
      </c>
      <c r="J1023" s="18">
        <v>52.5</v>
      </c>
      <c r="K1023" s="37" t="str">
        <f t="shared" si="17"/>
        <v>Inexpensive</v>
      </c>
      <c r="L1023" s="37"/>
      <c r="N1023" s="37"/>
      <c r="O1023" s="37"/>
      <c r="P1023" s="37"/>
      <c r="Q1023" s="37"/>
      <c r="R1023" s="37"/>
      <c r="S1023" s="37"/>
      <c r="T1023" s="37"/>
      <c r="V1023"/>
      <c r="X1023"/>
    </row>
    <row r="1024" spans="1:24" ht="15" customHeight="1" thickBot="1" x14ac:dyDescent="0.35">
      <c r="A1024" s="38">
        <v>43488.32916666667</v>
      </c>
      <c r="B1024" s="39">
        <v>142214</v>
      </c>
      <c r="C1024" s="36" t="s">
        <v>114</v>
      </c>
      <c r="D1024" s="17">
        <v>4070000000000</v>
      </c>
      <c r="E1024" s="16" t="s">
        <v>131</v>
      </c>
      <c r="F1024" s="17">
        <v>3</v>
      </c>
      <c r="G1024" s="18">
        <v>2.99</v>
      </c>
      <c r="H1024" s="17">
        <v>1.4950000000000001</v>
      </c>
      <c r="I1024" s="18">
        <v>8.9700000000000006</v>
      </c>
      <c r="J1024" s="18">
        <v>4.4850000000000003</v>
      </c>
      <c r="K1024" s="37" t="str">
        <f t="shared" si="17"/>
        <v>Inexpensive</v>
      </c>
      <c r="L1024" s="37"/>
      <c r="N1024" s="37"/>
      <c r="O1024" s="37"/>
      <c r="P1024" s="37"/>
      <c r="Q1024" s="37"/>
      <c r="R1024" s="37"/>
      <c r="S1024" s="37"/>
      <c r="T1024" s="37"/>
      <c r="V1024"/>
      <c r="X1024"/>
    </row>
    <row r="1025" spans="1:24" ht="15" customHeight="1" thickBot="1" x14ac:dyDescent="0.35">
      <c r="A1025" s="38">
        <v>43478.256249999999</v>
      </c>
      <c r="B1025" s="39">
        <v>142215</v>
      </c>
      <c r="C1025" s="36" t="s">
        <v>120</v>
      </c>
      <c r="D1025" s="17">
        <v>9370000000000</v>
      </c>
      <c r="E1025" s="16" t="s">
        <v>132</v>
      </c>
      <c r="F1025" s="17">
        <v>1</v>
      </c>
      <c r="G1025" s="18">
        <v>300</v>
      </c>
      <c r="H1025" s="17">
        <v>99</v>
      </c>
      <c r="I1025" s="18">
        <v>300</v>
      </c>
      <c r="J1025" s="18">
        <v>201</v>
      </c>
      <c r="K1025" s="37" t="str">
        <f t="shared" si="17"/>
        <v>Inexpensive</v>
      </c>
      <c r="L1025" s="37"/>
      <c r="N1025" s="37"/>
      <c r="O1025" s="37"/>
      <c r="P1025" s="37"/>
      <c r="Q1025" s="37"/>
      <c r="R1025" s="37"/>
      <c r="S1025" s="37"/>
      <c r="T1025" s="37"/>
      <c r="V1025"/>
      <c r="X1025"/>
    </row>
    <row r="1026" spans="1:24" ht="15" customHeight="1" thickBot="1" x14ac:dyDescent="0.35">
      <c r="A1026" s="38">
        <v>43479.113888888889</v>
      </c>
      <c r="B1026" s="39">
        <v>142216</v>
      </c>
      <c r="C1026" s="36" t="s">
        <v>114</v>
      </c>
      <c r="D1026" s="17">
        <v>8310000000000</v>
      </c>
      <c r="E1026" s="16" t="s">
        <v>130</v>
      </c>
      <c r="F1026" s="17">
        <v>1</v>
      </c>
      <c r="G1026" s="18">
        <v>2.99</v>
      </c>
      <c r="H1026" s="17">
        <v>1.4950000000000001</v>
      </c>
      <c r="I1026" s="18">
        <v>2.99</v>
      </c>
      <c r="J1026" s="18">
        <v>1.4950000000000001</v>
      </c>
      <c r="K1026" s="37" t="str">
        <f t="shared" si="17"/>
        <v>Inexpensive</v>
      </c>
      <c r="L1026" s="37"/>
      <c r="N1026" s="37"/>
      <c r="O1026" s="37"/>
      <c r="P1026" s="37"/>
      <c r="Q1026" s="37"/>
      <c r="R1026" s="37"/>
      <c r="S1026" s="37"/>
      <c r="T1026" s="37"/>
      <c r="V1026"/>
      <c r="X1026"/>
    </row>
    <row r="1027" spans="1:24" ht="15" customHeight="1" thickBot="1" x14ac:dyDescent="0.35">
      <c r="A1027" s="38">
        <v>43484.595833333333</v>
      </c>
      <c r="B1027" s="39">
        <v>142217</v>
      </c>
      <c r="C1027" s="36" t="s">
        <v>117</v>
      </c>
      <c r="D1027" s="17">
        <v>5330000000000</v>
      </c>
      <c r="E1027" s="16" t="s">
        <v>130</v>
      </c>
      <c r="F1027" s="17">
        <v>1</v>
      </c>
      <c r="G1027" s="18">
        <v>99.99</v>
      </c>
      <c r="H1027" s="17">
        <v>49.994999999999997</v>
      </c>
      <c r="I1027" s="18">
        <v>99.99</v>
      </c>
      <c r="J1027" s="18">
        <v>49.994999999999997</v>
      </c>
      <c r="K1027" s="37" t="str">
        <f t="shared" ref="K1027:K1040" si="18">IF(G1027&gt;=700,"Expensive","Inexpensive")</f>
        <v>Inexpensive</v>
      </c>
      <c r="L1027" s="37"/>
      <c r="N1027" s="37"/>
      <c r="O1027" s="37"/>
      <c r="P1027" s="37"/>
      <c r="Q1027" s="37"/>
      <c r="R1027" s="37"/>
      <c r="S1027" s="37"/>
      <c r="T1027" s="37"/>
      <c r="V1027"/>
      <c r="X1027"/>
    </row>
    <row r="1028" spans="1:24" ht="15" customHeight="1" thickBot="1" x14ac:dyDescent="0.35">
      <c r="A1028" s="38">
        <v>43495.834027777775</v>
      </c>
      <c r="B1028" s="39">
        <v>142218</v>
      </c>
      <c r="C1028" s="36" t="s">
        <v>112</v>
      </c>
      <c r="D1028" s="17">
        <v>6880000000000</v>
      </c>
      <c r="E1028" s="16" t="s">
        <v>132</v>
      </c>
      <c r="F1028" s="17">
        <v>1</v>
      </c>
      <c r="G1028" s="18">
        <v>11.99</v>
      </c>
      <c r="H1028" s="17">
        <v>5.9950000000000001</v>
      </c>
      <c r="I1028" s="18">
        <v>11.99</v>
      </c>
      <c r="J1028" s="18">
        <v>5.9950000000000001</v>
      </c>
      <c r="K1028" s="37" t="str">
        <f t="shared" si="18"/>
        <v>Inexpensive</v>
      </c>
      <c r="L1028" s="37"/>
      <c r="N1028" s="37"/>
      <c r="O1028" s="37"/>
      <c r="P1028" s="37"/>
      <c r="Q1028" s="37"/>
      <c r="R1028" s="37"/>
      <c r="S1028" s="37"/>
      <c r="T1028" s="37"/>
      <c r="V1028"/>
      <c r="X1028"/>
    </row>
    <row r="1029" spans="1:24" ht="15" customHeight="1" thickBot="1" x14ac:dyDescent="0.35">
      <c r="A1029" s="38">
        <v>43469.854861111111</v>
      </c>
      <c r="B1029" s="39">
        <v>142219</v>
      </c>
      <c r="C1029" s="36" t="s">
        <v>113</v>
      </c>
      <c r="D1029" s="17">
        <v>2410000000000</v>
      </c>
      <c r="E1029" s="16" t="s">
        <v>130</v>
      </c>
      <c r="F1029" s="17">
        <v>1</v>
      </c>
      <c r="G1029" s="18">
        <v>149.99</v>
      </c>
      <c r="H1029" s="17">
        <v>97.493499999999997</v>
      </c>
      <c r="I1029" s="18">
        <v>149.99</v>
      </c>
      <c r="J1029" s="18">
        <v>52.496499999999997</v>
      </c>
      <c r="K1029" s="37" t="str">
        <f t="shared" si="18"/>
        <v>Inexpensive</v>
      </c>
      <c r="L1029" s="37"/>
      <c r="N1029" s="37"/>
      <c r="O1029" s="37"/>
      <c r="P1029" s="37"/>
      <c r="Q1029" s="37"/>
      <c r="R1029" s="37"/>
      <c r="S1029" s="37"/>
      <c r="T1029" s="37"/>
      <c r="V1029"/>
      <c r="X1029"/>
    </row>
    <row r="1030" spans="1:24" ht="15" customHeight="1" thickBot="1" x14ac:dyDescent="0.35">
      <c r="A1030" s="38">
        <v>43468.668749999997</v>
      </c>
      <c r="B1030" s="39">
        <v>142220</v>
      </c>
      <c r="C1030" s="36" t="s">
        <v>120</v>
      </c>
      <c r="D1030" s="17">
        <v>4130000000000</v>
      </c>
      <c r="E1030" s="16" t="s">
        <v>131</v>
      </c>
      <c r="F1030" s="17">
        <v>1</v>
      </c>
      <c r="G1030" s="18">
        <v>300</v>
      </c>
      <c r="H1030" s="17">
        <v>99</v>
      </c>
      <c r="I1030" s="18">
        <v>300</v>
      </c>
      <c r="J1030" s="18">
        <v>201</v>
      </c>
      <c r="K1030" s="37" t="str">
        <f t="shared" si="18"/>
        <v>Inexpensive</v>
      </c>
      <c r="L1030" s="37"/>
      <c r="N1030" s="37"/>
      <c r="O1030" s="37"/>
      <c r="P1030" s="37"/>
      <c r="Q1030" s="37"/>
      <c r="R1030" s="37"/>
      <c r="S1030" s="37"/>
      <c r="T1030" s="37"/>
      <c r="V1030"/>
      <c r="X1030"/>
    </row>
    <row r="1031" spans="1:24" ht="15" customHeight="1" thickBot="1" x14ac:dyDescent="0.35">
      <c r="A1031" s="38">
        <v>43477.106249999997</v>
      </c>
      <c r="B1031" s="39">
        <v>142221</v>
      </c>
      <c r="C1031" s="36" t="s">
        <v>120</v>
      </c>
      <c r="D1031" s="17">
        <v>2780000000000</v>
      </c>
      <c r="E1031" s="16" t="s">
        <v>130</v>
      </c>
      <c r="F1031" s="17">
        <v>1</v>
      </c>
      <c r="G1031" s="18">
        <v>300</v>
      </c>
      <c r="H1031" s="17">
        <v>99</v>
      </c>
      <c r="I1031" s="18">
        <v>300</v>
      </c>
      <c r="J1031" s="18">
        <v>201</v>
      </c>
      <c r="K1031" s="37" t="str">
        <f t="shared" si="18"/>
        <v>Inexpensive</v>
      </c>
      <c r="L1031" s="37"/>
      <c r="N1031" s="37"/>
      <c r="O1031" s="37"/>
      <c r="P1031" s="37"/>
      <c r="Q1031" s="37"/>
      <c r="R1031" s="37"/>
      <c r="S1031" s="37"/>
      <c r="T1031" s="37"/>
      <c r="V1031"/>
      <c r="X1031"/>
    </row>
    <row r="1032" spans="1:24" ht="15" customHeight="1" thickBot="1" x14ac:dyDescent="0.35">
      <c r="A1032" s="38">
        <v>43484.804166666669</v>
      </c>
      <c r="B1032" s="39">
        <v>142222</v>
      </c>
      <c r="C1032" s="36" t="s">
        <v>122</v>
      </c>
      <c r="D1032" s="17">
        <v>7710000000000</v>
      </c>
      <c r="E1032" s="16" t="s">
        <v>130</v>
      </c>
      <c r="F1032" s="17">
        <v>1</v>
      </c>
      <c r="G1032" s="18">
        <v>3.84</v>
      </c>
      <c r="H1032" s="17">
        <v>1.92</v>
      </c>
      <c r="I1032" s="18">
        <v>3.84</v>
      </c>
      <c r="J1032" s="18">
        <v>1.92</v>
      </c>
      <c r="K1032" s="37" t="str">
        <f t="shared" si="18"/>
        <v>Inexpensive</v>
      </c>
      <c r="L1032" s="37"/>
      <c r="N1032" s="37"/>
      <c r="O1032" s="37"/>
      <c r="P1032" s="37"/>
      <c r="Q1032" s="37"/>
      <c r="R1032" s="37"/>
      <c r="S1032" s="37"/>
      <c r="T1032" s="37"/>
      <c r="V1032"/>
      <c r="X1032"/>
    </row>
    <row r="1033" spans="1:24" ht="15" customHeight="1" thickBot="1" x14ac:dyDescent="0.35">
      <c r="A1033" s="38">
        <v>43493.700694444444</v>
      </c>
      <c r="B1033" s="39">
        <v>142223</v>
      </c>
      <c r="C1033" s="36" t="s">
        <v>112</v>
      </c>
      <c r="D1033" s="17">
        <v>6530000000000</v>
      </c>
      <c r="E1033" s="16" t="s">
        <v>131</v>
      </c>
      <c r="F1033" s="17">
        <v>1</v>
      </c>
      <c r="G1033" s="18">
        <v>11.99</v>
      </c>
      <c r="H1033" s="17">
        <v>5.9950000000000001</v>
      </c>
      <c r="I1033" s="18">
        <v>11.99</v>
      </c>
      <c r="J1033" s="18">
        <v>5.9950000000000001</v>
      </c>
      <c r="K1033" s="37" t="str">
        <f t="shared" si="18"/>
        <v>Inexpensive</v>
      </c>
      <c r="L1033" s="37"/>
      <c r="N1033" s="37"/>
      <c r="O1033" s="37"/>
      <c r="P1033" s="37"/>
      <c r="Q1033" s="37"/>
      <c r="R1033" s="37"/>
      <c r="S1033" s="37"/>
      <c r="T1033" s="37"/>
      <c r="V1033"/>
      <c r="X1033"/>
    </row>
    <row r="1034" spans="1:24" ht="15" customHeight="1" thickBot="1" x14ac:dyDescent="0.35">
      <c r="A1034" s="38">
        <v>43476.87222222222</v>
      </c>
      <c r="B1034" s="39">
        <v>142224</v>
      </c>
      <c r="C1034" s="36" t="s">
        <v>116</v>
      </c>
      <c r="D1034" s="17">
        <v>5820000000000</v>
      </c>
      <c r="E1034" s="16" t="s">
        <v>131</v>
      </c>
      <c r="F1034" s="17">
        <v>1</v>
      </c>
      <c r="G1034" s="18">
        <v>11.95</v>
      </c>
      <c r="H1034" s="17">
        <v>5.9749999999999996</v>
      </c>
      <c r="I1034" s="18">
        <v>11.95</v>
      </c>
      <c r="J1034" s="18">
        <v>5.9749999999999996</v>
      </c>
      <c r="K1034" s="37" t="str">
        <f t="shared" si="18"/>
        <v>Inexpensive</v>
      </c>
      <c r="L1034" s="37"/>
      <c r="N1034" s="37"/>
      <c r="O1034" s="37"/>
      <c r="P1034" s="37"/>
      <c r="Q1034" s="37"/>
      <c r="R1034" s="37"/>
      <c r="S1034" s="37"/>
      <c r="T1034" s="37"/>
      <c r="V1034"/>
      <c r="X1034"/>
    </row>
    <row r="1035" spans="1:24" ht="15" customHeight="1" thickBot="1" x14ac:dyDescent="0.35">
      <c r="A1035" s="38">
        <v>43484.407638888886</v>
      </c>
      <c r="B1035" s="39">
        <v>142225</v>
      </c>
      <c r="C1035" s="36" t="s">
        <v>111</v>
      </c>
      <c r="D1035" s="17">
        <v>9970000000000</v>
      </c>
      <c r="E1035" s="16" t="s">
        <v>130</v>
      </c>
      <c r="F1035" s="17">
        <v>1</v>
      </c>
      <c r="G1035" s="18">
        <v>14.95</v>
      </c>
      <c r="H1035" s="17">
        <v>7.4749999999999996</v>
      </c>
      <c r="I1035" s="18">
        <v>14.95</v>
      </c>
      <c r="J1035" s="18">
        <v>7.4749999999999996</v>
      </c>
      <c r="K1035" s="37" t="str">
        <f t="shared" si="18"/>
        <v>Inexpensive</v>
      </c>
      <c r="L1035" s="37"/>
      <c r="N1035" s="37"/>
      <c r="O1035" s="37"/>
      <c r="P1035" s="37"/>
      <c r="Q1035" s="37"/>
      <c r="R1035" s="37"/>
      <c r="S1035" s="37"/>
      <c r="T1035" s="37"/>
      <c r="V1035"/>
      <c r="X1035"/>
    </row>
    <row r="1036" spans="1:24" ht="15" customHeight="1" thickBot="1" x14ac:dyDescent="0.35">
      <c r="A1036" s="38">
        <v>43487.913194444445</v>
      </c>
      <c r="B1036" s="39">
        <v>142226</v>
      </c>
      <c r="C1036" s="36" t="s">
        <v>114</v>
      </c>
      <c r="D1036" s="17">
        <v>6270000000000</v>
      </c>
      <c r="E1036" s="16" t="s">
        <v>132</v>
      </c>
      <c r="F1036" s="17">
        <v>3</v>
      </c>
      <c r="G1036" s="18">
        <v>2.99</v>
      </c>
      <c r="H1036" s="17">
        <v>1.4950000000000001</v>
      </c>
      <c r="I1036" s="18">
        <v>8.9700000000000006</v>
      </c>
      <c r="J1036" s="18">
        <v>4.4850000000000003</v>
      </c>
      <c r="K1036" s="37" t="str">
        <f t="shared" si="18"/>
        <v>Inexpensive</v>
      </c>
      <c r="L1036" s="37"/>
      <c r="N1036" s="37"/>
      <c r="O1036" s="37"/>
      <c r="P1036" s="37"/>
      <c r="Q1036" s="37"/>
      <c r="R1036" s="37"/>
      <c r="S1036" s="37"/>
      <c r="T1036" s="37"/>
      <c r="V1036"/>
      <c r="X1036"/>
    </row>
    <row r="1037" spans="1:24" ht="15" customHeight="1" thickBot="1" x14ac:dyDescent="0.35">
      <c r="A1037" s="38">
        <v>43496.848611111112</v>
      </c>
      <c r="B1037" s="39">
        <v>142227</v>
      </c>
      <c r="C1037" s="36" t="s">
        <v>112</v>
      </c>
      <c r="D1037" s="17">
        <v>8650000000000</v>
      </c>
      <c r="E1037" s="16" t="s">
        <v>130</v>
      </c>
      <c r="F1037" s="17">
        <v>1</v>
      </c>
      <c r="G1037" s="18">
        <v>11.99</v>
      </c>
      <c r="H1037" s="17">
        <v>5.9950000000000001</v>
      </c>
      <c r="I1037" s="18">
        <v>11.99</v>
      </c>
      <c r="J1037" s="18">
        <v>5.9950000000000001</v>
      </c>
      <c r="K1037" s="37" t="str">
        <f t="shared" si="18"/>
        <v>Inexpensive</v>
      </c>
      <c r="L1037" s="37"/>
      <c r="N1037" s="37"/>
      <c r="O1037" s="37"/>
      <c r="P1037" s="37"/>
      <c r="Q1037" s="37"/>
      <c r="R1037" s="37"/>
      <c r="S1037" s="37"/>
      <c r="T1037" s="37"/>
      <c r="V1037"/>
      <c r="X1037"/>
    </row>
    <row r="1038" spans="1:24" ht="15" customHeight="1" thickBot="1" x14ac:dyDescent="0.35">
      <c r="A1038" s="38">
        <v>43487.484027777777</v>
      </c>
      <c r="B1038" s="39">
        <v>142228</v>
      </c>
      <c r="C1038" s="36" t="s">
        <v>119</v>
      </c>
      <c r="D1038" s="17">
        <v>5260000000000</v>
      </c>
      <c r="E1038" s="16" t="s">
        <v>132</v>
      </c>
      <c r="F1038" s="17">
        <v>1</v>
      </c>
      <c r="G1038" s="18">
        <v>1700</v>
      </c>
      <c r="H1038" s="17">
        <v>561</v>
      </c>
      <c r="I1038" s="18">
        <v>1700</v>
      </c>
      <c r="J1038" s="18">
        <v>1139</v>
      </c>
      <c r="K1038" s="37" t="str">
        <f t="shared" si="18"/>
        <v>Expensive</v>
      </c>
      <c r="L1038" s="37"/>
      <c r="N1038" s="37"/>
      <c r="O1038" s="37"/>
      <c r="P1038" s="37"/>
      <c r="Q1038" s="37"/>
      <c r="R1038" s="37"/>
      <c r="S1038" s="37"/>
      <c r="T1038" s="37"/>
      <c r="V1038"/>
      <c r="X1038"/>
    </row>
    <row r="1039" spans="1:24" ht="15" customHeight="1" thickBot="1" x14ac:dyDescent="0.35">
      <c r="A1039" s="38">
        <v>43469.436805555553</v>
      </c>
      <c r="B1039" s="39">
        <v>142229</v>
      </c>
      <c r="C1039" s="36" t="s">
        <v>113</v>
      </c>
      <c r="D1039" s="17">
        <v>2050000000000</v>
      </c>
      <c r="E1039" s="16" t="s">
        <v>132</v>
      </c>
      <c r="F1039" s="17">
        <v>1</v>
      </c>
      <c r="G1039" s="18">
        <v>149.99</v>
      </c>
      <c r="H1039" s="17">
        <v>97.493499999999997</v>
      </c>
      <c r="I1039" s="18">
        <v>149.99</v>
      </c>
      <c r="J1039" s="18">
        <v>52.496499999999997</v>
      </c>
      <c r="K1039" s="37" t="str">
        <f t="shared" si="18"/>
        <v>Inexpensive</v>
      </c>
      <c r="L1039" s="37"/>
      <c r="N1039" s="37"/>
      <c r="O1039" s="37"/>
      <c r="P1039" s="37"/>
      <c r="Q1039" s="37"/>
      <c r="R1039" s="37"/>
      <c r="S1039" s="37"/>
      <c r="T1039" s="37"/>
      <c r="V1039"/>
      <c r="X1039"/>
    </row>
    <row r="1040" spans="1:24" ht="15" customHeight="1" thickBot="1" x14ac:dyDescent="0.35">
      <c r="A1040" s="38">
        <v>43494.503472222219</v>
      </c>
      <c r="B1040" s="39">
        <v>142230</v>
      </c>
      <c r="C1040" s="36" t="s">
        <v>123</v>
      </c>
      <c r="D1040" s="17">
        <v>9920000000000</v>
      </c>
      <c r="E1040" s="16" t="s">
        <v>130</v>
      </c>
      <c r="F1040" s="17">
        <v>1</v>
      </c>
      <c r="G1040" s="18">
        <v>600</v>
      </c>
      <c r="H1040" s="17">
        <v>198</v>
      </c>
      <c r="I1040" s="18">
        <v>600</v>
      </c>
      <c r="J1040" s="18">
        <v>402</v>
      </c>
      <c r="K1040" s="37" t="str">
        <f t="shared" si="18"/>
        <v>Inexpensive</v>
      </c>
      <c r="L1040" s="37"/>
      <c r="N1040" s="37"/>
      <c r="O1040" s="37"/>
      <c r="P1040" s="37"/>
      <c r="Q1040" s="37"/>
      <c r="R1040" s="37"/>
      <c r="S1040" s="37"/>
      <c r="T1040" s="37"/>
      <c r="V1040"/>
      <c r="X1040"/>
    </row>
    <row r="1041" spans="22:24" ht="15" customHeight="1" x14ac:dyDescent="0.3">
      <c r="V1041"/>
      <c r="X1041"/>
    </row>
  </sheetData>
  <autoFilter ref="A1:J1040" xr:uid="{FC3FC3C0-857D-474A-B3B2-10560EDDA584}"/>
  <sortState xmlns:xlrd2="http://schemas.microsoft.com/office/spreadsheetml/2017/richdata2" ref="A1:T1041">
    <sortCondition sortBy="cellColor" ref="A1:A1041" dxfId="0"/>
  </sortState>
  <mergeCells count="1">
    <mergeCell ref="N14:N1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3276-01EF-4BEC-9DAF-0CE51328B9D2}">
  <dimension ref="A30:A34"/>
  <sheetViews>
    <sheetView zoomScale="88" workbookViewId="0">
      <selection activeCell="A33" sqref="A33"/>
    </sheetView>
  </sheetViews>
  <sheetFormatPr defaultRowHeight="14.4" x14ac:dyDescent="0.3"/>
  <cols>
    <col min="1" max="1" width="130.44140625" bestFit="1" customWidth="1"/>
  </cols>
  <sheetData>
    <row r="30" spans="1:1" ht="18" x14ac:dyDescent="0.35">
      <c r="A30" s="96" t="s">
        <v>180</v>
      </c>
    </row>
    <row r="31" spans="1:1" ht="18" x14ac:dyDescent="0.35">
      <c r="A31" s="96" t="s">
        <v>181</v>
      </c>
    </row>
    <row r="32" spans="1:1" ht="18" x14ac:dyDescent="0.35">
      <c r="A32" s="96" t="s">
        <v>182</v>
      </c>
    </row>
    <row r="33" spans="1:1" ht="18" x14ac:dyDescent="0.35">
      <c r="A33" s="96" t="s">
        <v>183</v>
      </c>
    </row>
    <row r="34" spans="1:1" ht="18" x14ac:dyDescent="0.35">
      <c r="A34" s="96" t="s">
        <v>184</v>
      </c>
    </row>
  </sheetData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Basics </vt:lpstr>
      <vt:lpstr>Text to Columns</vt:lpstr>
      <vt:lpstr>LogicalComparitive Operators</vt:lpstr>
      <vt:lpstr>Text Functions</vt:lpstr>
      <vt:lpstr>Round Functions</vt:lpstr>
      <vt:lpstr>IF Function</vt:lpstr>
      <vt:lpstr>Exercise</vt:lpstr>
      <vt:lpstr>Aggregate Functions</vt:lpstr>
      <vt:lpstr>Sumif,Averageif, Countif</vt:lpstr>
      <vt:lpstr>DV</vt:lpstr>
      <vt:lpstr>Data Validation</vt:lpstr>
      <vt:lpstr>Vlookup</vt:lpstr>
      <vt:lpstr>Vloopup exercise</vt:lpstr>
      <vt:lpstr>Match</vt:lpstr>
      <vt:lpstr>Index</vt:lpstr>
      <vt:lpstr>Charts</vt:lpstr>
      <vt:lpstr>Sheet2</vt:lpstr>
      <vt:lpstr>Sales Table</vt:lpstr>
      <vt:lpstr>Data Description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vaibhav umbarkar</cp:lastModifiedBy>
  <cp:revision/>
  <dcterms:created xsi:type="dcterms:W3CDTF">2024-02-22T05:06:55Z</dcterms:created>
  <dcterms:modified xsi:type="dcterms:W3CDTF">2025-09-22T12:14:17Z</dcterms:modified>
  <cp:category/>
  <cp:contentStatus/>
</cp:coreProperties>
</file>